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4000" windowHeight="9600"/>
  </bookViews>
  <sheets>
    <sheet name="Product cost-Y-cone " sheetId="1" r:id="rId1"/>
  </sheets>
  <definedNames>
    <definedName name="_xlnm._FilterDatabase" localSheetId="0" hidden="1">'Product cost-Y-cone '!$A$2:$C$59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70" i="1" l="1"/>
  <c r="Z70" i="1"/>
  <c r="Y70" i="1"/>
  <c r="E67" i="1"/>
  <c r="Q61" i="1"/>
  <c r="Q62" i="1" s="1"/>
  <c r="I61" i="1"/>
  <c r="I62" i="1" s="1"/>
  <c r="Q60" i="1"/>
  <c r="I60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X52" i="1"/>
  <c r="W52" i="1"/>
  <c r="U52" i="1"/>
  <c r="P52" i="1"/>
  <c r="O52" i="1"/>
  <c r="M52" i="1"/>
  <c r="H52" i="1"/>
  <c r="G52" i="1"/>
  <c r="E52" i="1"/>
  <c r="X51" i="1"/>
  <c r="W51" i="1"/>
  <c r="V51" i="1"/>
  <c r="V52" i="1" s="1"/>
  <c r="U51" i="1"/>
  <c r="T51" i="1"/>
  <c r="T52" i="1" s="1"/>
  <c r="S51" i="1"/>
  <c r="S52" i="1" s="1"/>
  <c r="R51" i="1"/>
  <c r="R52" i="1" s="1"/>
  <c r="Q51" i="1"/>
  <c r="Q52" i="1" s="1"/>
  <c r="P51" i="1"/>
  <c r="O51" i="1"/>
  <c r="N51" i="1"/>
  <c r="N52" i="1" s="1"/>
  <c r="M51" i="1"/>
  <c r="L51" i="1"/>
  <c r="L52" i="1" s="1"/>
  <c r="K51" i="1"/>
  <c r="K52" i="1" s="1"/>
  <c r="J51" i="1"/>
  <c r="J52" i="1" s="1"/>
  <c r="I51" i="1"/>
  <c r="I52" i="1" s="1"/>
  <c r="H51" i="1"/>
  <c r="G51" i="1"/>
  <c r="F51" i="1"/>
  <c r="F52" i="1" s="1"/>
  <c r="E51" i="1"/>
  <c r="D51" i="1"/>
  <c r="D52" i="1" s="1"/>
  <c r="C51" i="1"/>
  <c r="C52" i="1" s="1"/>
  <c r="G47" i="1"/>
  <c r="G48" i="1" s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X31" i="1"/>
  <c r="W31" i="1"/>
  <c r="V31" i="1"/>
  <c r="U31" i="1"/>
  <c r="T31" i="1"/>
  <c r="S31" i="1"/>
  <c r="R31" i="1"/>
  <c r="Q31" i="1"/>
  <c r="Q32" i="1" s="1"/>
  <c r="P31" i="1"/>
  <c r="O31" i="1"/>
  <c r="N31" i="1"/>
  <c r="M31" i="1"/>
  <c r="L31" i="1"/>
  <c r="K31" i="1"/>
  <c r="J31" i="1"/>
  <c r="I31" i="1"/>
  <c r="I32" i="1" s="1"/>
  <c r="H31" i="1"/>
  <c r="G31" i="1"/>
  <c r="F31" i="1"/>
  <c r="E31" i="1"/>
  <c r="D31" i="1"/>
  <c r="C31" i="1"/>
  <c r="I28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G28" i="1" s="1"/>
  <c r="F27" i="1"/>
  <c r="E27" i="1"/>
  <c r="D27" i="1"/>
  <c r="C27" i="1"/>
  <c r="X23" i="1"/>
  <c r="W23" i="1"/>
  <c r="V23" i="1"/>
  <c r="U23" i="1"/>
  <c r="T23" i="1"/>
  <c r="S23" i="1"/>
  <c r="R23" i="1"/>
  <c r="Q23" i="1"/>
  <c r="Q24" i="1" s="1"/>
  <c r="P23" i="1"/>
  <c r="O23" i="1"/>
  <c r="N23" i="1"/>
  <c r="M23" i="1"/>
  <c r="L23" i="1"/>
  <c r="K23" i="1"/>
  <c r="J23" i="1"/>
  <c r="I23" i="1"/>
  <c r="I24" i="1" s="1"/>
  <c r="H23" i="1"/>
  <c r="G23" i="1"/>
  <c r="F23" i="1"/>
  <c r="E23" i="1"/>
  <c r="D23" i="1"/>
  <c r="C23" i="1"/>
  <c r="W20" i="1"/>
  <c r="T20" i="1"/>
  <c r="S20" i="1"/>
  <c r="Q20" i="1"/>
  <c r="P20" i="1"/>
  <c r="L20" i="1"/>
  <c r="K20" i="1"/>
  <c r="I20" i="1"/>
  <c r="D20" i="1"/>
  <c r="C20" i="1"/>
  <c r="X19" i="1"/>
  <c r="X20" i="1" s="1"/>
  <c r="W19" i="1"/>
  <c r="V19" i="1"/>
  <c r="V20" i="1" s="1"/>
  <c r="U19" i="1"/>
  <c r="U20" i="1" s="1"/>
  <c r="T19" i="1"/>
  <c r="S19" i="1"/>
  <c r="R19" i="1"/>
  <c r="R20" i="1" s="1"/>
  <c r="Q19" i="1"/>
  <c r="P19" i="1"/>
  <c r="O19" i="1"/>
  <c r="O20" i="1" s="1"/>
  <c r="N19" i="1"/>
  <c r="N20" i="1" s="1"/>
  <c r="M19" i="1"/>
  <c r="M20" i="1" s="1"/>
  <c r="L19" i="1"/>
  <c r="K19" i="1"/>
  <c r="J19" i="1"/>
  <c r="J20" i="1" s="1"/>
  <c r="I19" i="1"/>
  <c r="H19" i="1"/>
  <c r="H20" i="1" s="1"/>
  <c r="G19" i="1"/>
  <c r="G20" i="1" s="1"/>
  <c r="F19" i="1"/>
  <c r="F20" i="1" s="1"/>
  <c r="E19" i="1"/>
  <c r="E20" i="1" s="1"/>
  <c r="D19" i="1"/>
  <c r="C19" i="1"/>
  <c r="Q14" i="1"/>
  <c r="I14" i="1"/>
  <c r="Q12" i="1"/>
  <c r="I12" i="1"/>
  <c r="I56" i="1" s="1"/>
  <c r="G12" i="1"/>
  <c r="G56" i="1" s="1"/>
  <c r="W10" i="1"/>
  <c r="W12" i="1" s="1"/>
  <c r="R10" i="1"/>
  <c r="R60" i="1" s="1"/>
  <c r="R61" i="1" s="1"/>
  <c r="R62" i="1" s="1"/>
  <c r="Q10" i="1"/>
  <c r="O10" i="1"/>
  <c r="O60" i="1" s="1"/>
  <c r="O61" i="1" s="1"/>
  <c r="O62" i="1" s="1"/>
  <c r="M10" i="1"/>
  <c r="J10" i="1"/>
  <c r="J60" i="1" s="1"/>
  <c r="J61" i="1" s="1"/>
  <c r="J62" i="1" s="1"/>
  <c r="I10" i="1"/>
  <c r="G10" i="1"/>
  <c r="G60" i="1" s="1"/>
  <c r="G61" i="1" s="1"/>
  <c r="G62" i="1" s="1"/>
  <c r="E10" i="1"/>
  <c r="X9" i="1"/>
  <c r="X67" i="1" s="1"/>
  <c r="W9" i="1"/>
  <c r="W67" i="1" s="1"/>
  <c r="W70" i="1" s="1"/>
  <c r="V9" i="1"/>
  <c r="V67" i="1" s="1"/>
  <c r="U9" i="1"/>
  <c r="U67" i="1" s="1"/>
  <c r="T9" i="1"/>
  <c r="S9" i="1"/>
  <c r="R9" i="1"/>
  <c r="R67" i="1" s="1"/>
  <c r="Q9" i="1"/>
  <c r="Q67" i="1" s="1"/>
  <c r="P9" i="1"/>
  <c r="P67" i="1" s="1"/>
  <c r="O9" i="1"/>
  <c r="O67" i="1" s="1"/>
  <c r="O70" i="1" s="1"/>
  <c r="N9" i="1"/>
  <c r="N67" i="1" s="1"/>
  <c r="M9" i="1"/>
  <c r="M67" i="1" s="1"/>
  <c r="L9" i="1"/>
  <c r="K9" i="1"/>
  <c r="J9" i="1"/>
  <c r="J67" i="1" s="1"/>
  <c r="I9" i="1"/>
  <c r="I67" i="1" s="1"/>
  <c r="H9" i="1"/>
  <c r="H67" i="1" s="1"/>
  <c r="G9" i="1"/>
  <c r="G67" i="1" s="1"/>
  <c r="G70" i="1" s="1"/>
  <c r="F9" i="1"/>
  <c r="F67" i="1" s="1"/>
  <c r="E9" i="1"/>
  <c r="D9" i="1"/>
  <c r="C9" i="1"/>
  <c r="W14" i="1" l="1"/>
  <c r="W32" i="1"/>
  <c r="W24" i="1"/>
  <c r="W16" i="1"/>
  <c r="W28" i="1"/>
  <c r="W56" i="1"/>
  <c r="W47" i="1"/>
  <c r="W48" i="1" s="1"/>
  <c r="I57" i="1"/>
  <c r="I58" i="1" s="1"/>
  <c r="M70" i="1"/>
  <c r="U70" i="1"/>
  <c r="Q16" i="1"/>
  <c r="Q57" i="1" s="1"/>
  <c r="Q58" i="1" s="1"/>
  <c r="Q47" i="1"/>
  <c r="Q48" i="1" s="1"/>
  <c r="U10" i="1"/>
  <c r="J12" i="1"/>
  <c r="W60" i="1"/>
  <c r="W61" i="1" s="1"/>
  <c r="W62" i="1" s="1"/>
  <c r="V10" i="1"/>
  <c r="M60" i="1"/>
  <c r="M61" i="1" s="1"/>
  <c r="M62" i="1" s="1"/>
  <c r="M12" i="1"/>
  <c r="O12" i="1"/>
  <c r="O56" i="1" s="1"/>
  <c r="J32" i="1"/>
  <c r="R32" i="1"/>
  <c r="J56" i="1"/>
  <c r="N70" i="1"/>
  <c r="E70" i="1"/>
  <c r="J24" i="1"/>
  <c r="M28" i="1"/>
  <c r="H70" i="1"/>
  <c r="P70" i="1"/>
  <c r="X70" i="1"/>
  <c r="N10" i="1"/>
  <c r="X10" i="1"/>
  <c r="V70" i="1"/>
  <c r="Q70" i="1"/>
  <c r="J70" i="1"/>
  <c r="F10" i="1"/>
  <c r="P10" i="1"/>
  <c r="R12" i="1"/>
  <c r="E56" i="1"/>
  <c r="M56" i="1"/>
  <c r="F70" i="1"/>
  <c r="E12" i="1"/>
  <c r="E60" i="1"/>
  <c r="E61" i="1" s="1"/>
  <c r="E62" i="1" s="1"/>
  <c r="R70" i="1"/>
  <c r="G14" i="1"/>
  <c r="G32" i="1"/>
  <c r="G24" i="1"/>
  <c r="G16" i="1"/>
  <c r="C67" i="1"/>
  <c r="C10" i="1"/>
  <c r="K67" i="1"/>
  <c r="K10" i="1"/>
  <c r="S67" i="1"/>
  <c r="S10" i="1"/>
  <c r="Q28" i="1"/>
  <c r="Q56" i="1"/>
  <c r="I70" i="1"/>
  <c r="D10" i="1"/>
  <c r="D67" i="1"/>
  <c r="L10" i="1"/>
  <c r="L67" i="1"/>
  <c r="T10" i="1"/>
  <c r="T67" i="1"/>
  <c r="H10" i="1"/>
  <c r="I16" i="1"/>
  <c r="I47" i="1"/>
  <c r="I48" i="1" s="1"/>
  <c r="Q63" i="1" l="1"/>
  <c r="Q64" i="1" s="1"/>
  <c r="Q59" i="1"/>
  <c r="T70" i="1"/>
  <c r="K60" i="1"/>
  <c r="K61" i="1" s="1"/>
  <c r="K62" i="1" s="1"/>
  <c r="K12" i="1"/>
  <c r="N60" i="1"/>
  <c r="N61" i="1" s="1"/>
  <c r="N62" i="1" s="1"/>
  <c r="N12" i="1"/>
  <c r="U60" i="1"/>
  <c r="U61" i="1" s="1"/>
  <c r="U62" i="1" s="1"/>
  <c r="U12" i="1"/>
  <c r="K70" i="1"/>
  <c r="L70" i="1"/>
  <c r="C60" i="1"/>
  <c r="C61" i="1" s="1"/>
  <c r="C62" i="1" s="1"/>
  <c r="C12" i="1"/>
  <c r="R16" i="1"/>
  <c r="R47" i="1"/>
  <c r="R48" i="1" s="1"/>
  <c r="R14" i="1"/>
  <c r="V60" i="1"/>
  <c r="V61" i="1" s="1"/>
  <c r="V62" i="1" s="1"/>
  <c r="V12" i="1"/>
  <c r="T60" i="1"/>
  <c r="T61" i="1" s="1"/>
  <c r="T62" i="1" s="1"/>
  <c r="T12" i="1"/>
  <c r="L60" i="1"/>
  <c r="L61" i="1" s="1"/>
  <c r="L62" i="1" s="1"/>
  <c r="L12" i="1"/>
  <c r="C70" i="1"/>
  <c r="E14" i="1"/>
  <c r="E32" i="1"/>
  <c r="E24" i="1"/>
  <c r="E47" i="1"/>
  <c r="E48" i="1" s="1"/>
  <c r="E16" i="1"/>
  <c r="P60" i="1"/>
  <c r="P61" i="1" s="1"/>
  <c r="P62" i="1" s="1"/>
  <c r="P12" i="1"/>
  <c r="D70" i="1"/>
  <c r="F60" i="1"/>
  <c r="F61" i="1" s="1"/>
  <c r="F62" i="1" s="1"/>
  <c r="F12" i="1"/>
  <c r="E28" i="1"/>
  <c r="R28" i="1"/>
  <c r="I63" i="1"/>
  <c r="I64" i="1" s="1"/>
  <c r="I59" i="1"/>
  <c r="D60" i="1"/>
  <c r="D61" i="1" s="1"/>
  <c r="D62" i="1" s="1"/>
  <c r="D12" i="1"/>
  <c r="R24" i="1"/>
  <c r="S60" i="1"/>
  <c r="S61" i="1" s="1"/>
  <c r="S62" i="1" s="1"/>
  <c r="S12" i="1"/>
  <c r="O14" i="1"/>
  <c r="O32" i="1"/>
  <c r="O24" i="1"/>
  <c r="O16" i="1"/>
  <c r="O47" i="1"/>
  <c r="O48" i="1" s="1"/>
  <c r="W57" i="1"/>
  <c r="W58" i="1" s="1"/>
  <c r="H60" i="1"/>
  <c r="H61" i="1" s="1"/>
  <c r="H62" i="1" s="1"/>
  <c r="H12" i="1"/>
  <c r="S70" i="1"/>
  <c r="G57" i="1"/>
  <c r="G58" i="1" s="1"/>
  <c r="X60" i="1"/>
  <c r="X61" i="1" s="1"/>
  <c r="X62" i="1" s="1"/>
  <c r="X12" i="1"/>
  <c r="R56" i="1"/>
  <c r="M14" i="1"/>
  <c r="M57" i="1" s="1"/>
  <c r="M58" i="1" s="1"/>
  <c r="M16" i="1"/>
  <c r="M47" i="1"/>
  <c r="M48" i="1" s="1"/>
  <c r="M32" i="1"/>
  <c r="M24" i="1"/>
  <c r="J16" i="1"/>
  <c r="J14" i="1"/>
  <c r="J57" i="1" s="1"/>
  <c r="J58" i="1" s="1"/>
  <c r="J47" i="1"/>
  <c r="J48" i="1" s="1"/>
  <c r="J28" i="1"/>
  <c r="O28" i="1"/>
  <c r="G59" i="1" l="1"/>
  <c r="G63" i="1"/>
  <c r="G64" i="1" s="1"/>
  <c r="P14" i="1"/>
  <c r="P47" i="1"/>
  <c r="P48" i="1" s="1"/>
  <c r="P16" i="1"/>
  <c r="P32" i="1"/>
  <c r="P24" i="1"/>
  <c r="P28" i="1"/>
  <c r="P56" i="1"/>
  <c r="L47" i="1"/>
  <c r="L48" i="1" s="1"/>
  <c r="L14" i="1"/>
  <c r="L16" i="1"/>
  <c r="L56" i="1"/>
  <c r="L28" i="1"/>
  <c r="L32" i="1"/>
  <c r="L24" i="1"/>
  <c r="R57" i="1"/>
  <c r="R58" i="1" s="1"/>
  <c r="K47" i="1"/>
  <c r="K48" i="1" s="1"/>
  <c r="K56" i="1"/>
  <c r="K28" i="1"/>
  <c r="K14" i="1"/>
  <c r="K16" i="1"/>
  <c r="K24" i="1"/>
  <c r="K32" i="1"/>
  <c r="S47" i="1"/>
  <c r="S48" i="1" s="1"/>
  <c r="S56" i="1"/>
  <c r="S28" i="1"/>
  <c r="S14" i="1"/>
  <c r="S16" i="1"/>
  <c r="S24" i="1"/>
  <c r="S32" i="1"/>
  <c r="X14" i="1"/>
  <c r="X47" i="1"/>
  <c r="X48" i="1" s="1"/>
  <c r="X32" i="1"/>
  <c r="X24" i="1"/>
  <c r="X16" i="1"/>
  <c r="X28" i="1"/>
  <c r="X56" i="1"/>
  <c r="F47" i="1"/>
  <c r="F48" i="1" s="1"/>
  <c r="F24" i="1"/>
  <c r="F32" i="1"/>
  <c r="F14" i="1"/>
  <c r="F16" i="1"/>
  <c r="F28" i="1"/>
  <c r="F56" i="1"/>
  <c r="T47" i="1"/>
  <c r="T48" i="1" s="1"/>
  <c r="T56" i="1"/>
  <c r="T14" i="1"/>
  <c r="T16" i="1"/>
  <c r="T28" i="1"/>
  <c r="T24" i="1"/>
  <c r="T32" i="1"/>
  <c r="U14" i="1"/>
  <c r="U47" i="1"/>
  <c r="U48" i="1" s="1"/>
  <c r="U32" i="1"/>
  <c r="U24" i="1"/>
  <c r="U16" i="1"/>
  <c r="U56" i="1"/>
  <c r="U28" i="1"/>
  <c r="M63" i="1"/>
  <c r="M64" i="1" s="1"/>
  <c r="M59" i="1"/>
  <c r="O57" i="1"/>
  <c r="O58" i="1" s="1"/>
  <c r="D47" i="1"/>
  <c r="D48" i="1" s="1"/>
  <c r="D16" i="1"/>
  <c r="D28" i="1"/>
  <c r="D14" i="1"/>
  <c r="D56" i="1"/>
  <c r="D24" i="1"/>
  <c r="D32" i="1"/>
  <c r="C47" i="1"/>
  <c r="C48" i="1" s="1"/>
  <c r="C56" i="1"/>
  <c r="C28" i="1"/>
  <c r="C16" i="1"/>
  <c r="C24" i="1"/>
  <c r="C32" i="1"/>
  <c r="C14" i="1"/>
  <c r="J63" i="1"/>
  <c r="J64" i="1" s="1"/>
  <c r="J59" i="1"/>
  <c r="I66" i="1"/>
  <c r="I68" i="1"/>
  <c r="H14" i="1"/>
  <c r="H32" i="1"/>
  <c r="H24" i="1"/>
  <c r="H16" i="1"/>
  <c r="H47" i="1"/>
  <c r="H48" i="1" s="1"/>
  <c r="H28" i="1"/>
  <c r="H56" i="1"/>
  <c r="V47" i="1"/>
  <c r="V48" i="1" s="1"/>
  <c r="V14" i="1"/>
  <c r="V16" i="1"/>
  <c r="V24" i="1"/>
  <c r="V28" i="1"/>
  <c r="V32" i="1"/>
  <c r="V56" i="1"/>
  <c r="N47" i="1"/>
  <c r="N48" i="1" s="1"/>
  <c r="N16" i="1"/>
  <c r="N24" i="1"/>
  <c r="N32" i="1"/>
  <c r="N14" i="1"/>
  <c r="N28" i="1"/>
  <c r="N56" i="1"/>
  <c r="W63" i="1"/>
  <c r="W64" i="1" s="1"/>
  <c r="W59" i="1"/>
  <c r="E57" i="1"/>
  <c r="E58" i="1" s="1"/>
  <c r="Q66" i="1"/>
  <c r="Q68" i="1"/>
  <c r="Q69" i="1" l="1"/>
  <c r="Q71" i="1"/>
  <c r="N57" i="1"/>
  <c r="N58" i="1" s="1"/>
  <c r="C57" i="1"/>
  <c r="C58" i="1" s="1"/>
  <c r="M66" i="1"/>
  <c r="M68" i="1"/>
  <c r="U57" i="1"/>
  <c r="U58" i="1" s="1"/>
  <c r="V57" i="1"/>
  <c r="V58" i="1" s="1"/>
  <c r="D57" i="1"/>
  <c r="D58" i="1" s="1"/>
  <c r="K57" i="1"/>
  <c r="K58" i="1" s="1"/>
  <c r="H57" i="1"/>
  <c r="H58" i="1" s="1"/>
  <c r="F57" i="1"/>
  <c r="F58" i="1" s="1"/>
  <c r="S57" i="1"/>
  <c r="S58" i="1" s="1"/>
  <c r="E59" i="1"/>
  <c r="E63" i="1"/>
  <c r="E64" i="1" s="1"/>
  <c r="I69" i="1"/>
  <c r="I71" i="1"/>
  <c r="L57" i="1"/>
  <c r="L58" i="1" s="1"/>
  <c r="W66" i="1"/>
  <c r="W68" i="1"/>
  <c r="T57" i="1"/>
  <c r="T58" i="1" s="1"/>
  <c r="P57" i="1"/>
  <c r="P58" i="1" s="1"/>
  <c r="X57" i="1"/>
  <c r="X58" i="1" s="1"/>
  <c r="R63" i="1"/>
  <c r="R64" i="1" s="1"/>
  <c r="R59" i="1"/>
  <c r="G66" i="1"/>
  <c r="G68" i="1"/>
  <c r="O63" i="1"/>
  <c r="O64" i="1" s="1"/>
  <c r="O59" i="1"/>
  <c r="J66" i="1"/>
  <c r="J68" i="1"/>
  <c r="X63" i="1" l="1"/>
  <c r="X64" i="1" s="1"/>
  <c r="X59" i="1"/>
  <c r="E66" i="1"/>
  <c r="E68" i="1"/>
  <c r="U59" i="1"/>
  <c r="U63" i="1"/>
  <c r="U64" i="1" s="1"/>
  <c r="V63" i="1"/>
  <c r="V64" i="1" s="1"/>
  <c r="V59" i="1"/>
  <c r="P63" i="1"/>
  <c r="P64" i="1" s="1"/>
  <c r="P59" i="1"/>
  <c r="M69" i="1"/>
  <c r="M71" i="1"/>
  <c r="T63" i="1"/>
  <c r="T64" i="1" s="1"/>
  <c r="T59" i="1"/>
  <c r="S63" i="1"/>
  <c r="S64" i="1" s="1"/>
  <c r="S59" i="1"/>
  <c r="O66" i="1"/>
  <c r="O68" i="1"/>
  <c r="F63" i="1"/>
  <c r="F64" i="1" s="1"/>
  <c r="F59" i="1"/>
  <c r="C63" i="1"/>
  <c r="C64" i="1" s="1"/>
  <c r="C59" i="1"/>
  <c r="G69" i="1"/>
  <c r="G71" i="1"/>
  <c r="H63" i="1"/>
  <c r="H64" i="1" s="1"/>
  <c r="H59" i="1"/>
  <c r="N63" i="1"/>
  <c r="N64" i="1" s="1"/>
  <c r="N59" i="1"/>
  <c r="R66" i="1"/>
  <c r="R68" i="1"/>
  <c r="L63" i="1"/>
  <c r="L64" i="1" s="1"/>
  <c r="L59" i="1"/>
  <c r="K63" i="1"/>
  <c r="K64" i="1" s="1"/>
  <c r="K59" i="1"/>
  <c r="J69" i="1"/>
  <c r="J71" i="1"/>
  <c r="W69" i="1"/>
  <c r="W71" i="1"/>
  <c r="D63" i="1"/>
  <c r="D64" i="1" s="1"/>
  <c r="D59" i="1"/>
  <c r="U66" i="1" l="1"/>
  <c r="U68" i="1"/>
  <c r="T66" i="1"/>
  <c r="T68" i="1"/>
  <c r="S66" i="1"/>
  <c r="S68" i="1"/>
  <c r="E69" i="1"/>
  <c r="E71" i="1"/>
  <c r="V66" i="1"/>
  <c r="V68" i="1"/>
  <c r="R69" i="1"/>
  <c r="R71" i="1"/>
  <c r="N66" i="1"/>
  <c r="N68" i="1"/>
  <c r="F66" i="1"/>
  <c r="F68" i="1"/>
  <c r="D66" i="1"/>
  <c r="D68" i="1"/>
  <c r="O69" i="1"/>
  <c r="O71" i="1"/>
  <c r="L66" i="1"/>
  <c r="L68" i="1"/>
  <c r="C66" i="1"/>
  <c r="C68" i="1"/>
  <c r="K66" i="1"/>
  <c r="K68" i="1"/>
  <c r="H66" i="1"/>
  <c r="H68" i="1"/>
  <c r="P66" i="1"/>
  <c r="P68" i="1"/>
  <c r="X66" i="1"/>
  <c r="X68" i="1"/>
  <c r="C69" i="1" l="1"/>
  <c r="C71" i="1"/>
  <c r="N69" i="1"/>
  <c r="N71" i="1"/>
  <c r="S69" i="1"/>
  <c r="S71" i="1"/>
  <c r="X69" i="1"/>
  <c r="X71" i="1"/>
  <c r="P69" i="1"/>
  <c r="P71" i="1"/>
  <c r="H69" i="1"/>
  <c r="H71" i="1"/>
  <c r="T69" i="1"/>
  <c r="T71" i="1"/>
  <c r="F69" i="1"/>
  <c r="F71" i="1"/>
  <c r="L69" i="1"/>
  <c r="L71" i="1"/>
  <c r="K69" i="1"/>
  <c r="K71" i="1"/>
  <c r="D69" i="1"/>
  <c r="D71" i="1"/>
  <c r="V69" i="1"/>
  <c r="V71" i="1"/>
  <c r="U69" i="1"/>
  <c r="U71" i="1"/>
</calcChain>
</file>

<file path=xl/comments1.xml><?xml version="1.0" encoding="utf-8"?>
<comments xmlns="http://schemas.openxmlformats.org/spreadsheetml/2006/main">
  <authors>
    <author>DELL</author>
  </authors>
  <commentList>
    <comment ref="P13" authorId="0" shapeId="0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195+30</t>
        </r>
      </text>
    </comment>
    <comment ref="Q13" authorId="0" shapeId="0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195+30</t>
        </r>
      </text>
    </comment>
    <comment ref="R13" authorId="0" shapeId="0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195+35</t>
        </r>
      </text>
    </comment>
  </commentList>
</comments>
</file>

<file path=xl/sharedStrings.xml><?xml version="1.0" encoding="utf-8"?>
<sst xmlns="http://schemas.openxmlformats.org/spreadsheetml/2006/main" count="218" uniqueCount="115">
  <si>
    <t>Brand Name</t>
  </si>
  <si>
    <t>TUFF 20</t>
  </si>
  <si>
    <t>TUFF PREMIUM</t>
  </si>
  <si>
    <t>TUFF CLASSIC</t>
  </si>
  <si>
    <t>TUFF 10</t>
  </si>
  <si>
    <t>TUFF 60</t>
  </si>
  <si>
    <t>Art no.</t>
  </si>
  <si>
    <t>2303(3.25 in)</t>
  </si>
  <si>
    <t>2308(3.25 in)</t>
  </si>
  <si>
    <t>2313/SAFIRA(4 in mf)</t>
  </si>
  <si>
    <t>2315/SAFIRA(4 in mf)</t>
  </si>
  <si>
    <t>2306(3.25 in )</t>
  </si>
  <si>
    <t>2321/SAFIRA(4 in mf)</t>
  </si>
  <si>
    <t>2314/SAFIRA</t>
  </si>
  <si>
    <t>2316/SAFIRA</t>
  </si>
  <si>
    <t>2318/SAFIRA</t>
  </si>
  <si>
    <t>2317/SAFIRA</t>
  </si>
  <si>
    <t>FANTAIL</t>
  </si>
  <si>
    <t>2322/SAFIRA(4 IN MF)</t>
  </si>
  <si>
    <t>Dyed/NW/BW</t>
  </si>
  <si>
    <t>Dyed</t>
  </si>
  <si>
    <t>Dope-Dyed black</t>
  </si>
  <si>
    <t>Tkt/ply</t>
  </si>
  <si>
    <t>40(3-ply)</t>
  </si>
  <si>
    <t>30(3-ply)</t>
  </si>
  <si>
    <t>20(3-ply)</t>
  </si>
  <si>
    <t>15(3-ply)</t>
  </si>
  <si>
    <t>10(3-ply)</t>
  </si>
  <si>
    <t>80(2-ply)</t>
  </si>
  <si>
    <t>60(3-ply)</t>
  </si>
  <si>
    <t>60(2-ply)</t>
  </si>
  <si>
    <t>Item Description</t>
  </si>
  <si>
    <t>CFP 210/3-1500m 7.5 gpd</t>
  </si>
  <si>
    <t>CFP 210/3-125gram- 7.5 gpd-</t>
  </si>
  <si>
    <t>CFP 210/3-1500m</t>
  </si>
  <si>
    <t>CFP 210/3-3000m 8 GPD</t>
  </si>
  <si>
    <t>CFP 210/3-3000m</t>
  </si>
  <si>
    <t>CFP 250/3-1500m 7.5 gpd</t>
  </si>
  <si>
    <t>CFP 250/3-2500m 7.5 GPD</t>
  </si>
  <si>
    <t>CFP 420/3- 1500m 8 GPD</t>
  </si>
  <si>
    <t>CFP 420/3- 1500m 7.5 gpd</t>
  </si>
  <si>
    <t>CFP 420/3- 1000m 7.5 gpd</t>
  </si>
  <si>
    <t>CFP 500/3- 1500m 7.5 GPD</t>
  </si>
  <si>
    <t>CFP 840/3- 1000m 7.5 GPD</t>
  </si>
  <si>
    <t>CFP 150/2- 5000m 8 GPD</t>
  </si>
  <si>
    <t>CFP 150/2- 2500m 8 GPD</t>
  </si>
  <si>
    <t>CFP 150/3- 5000m 8 GPD</t>
  </si>
  <si>
    <t>CFN 420/3- 1000m</t>
  </si>
  <si>
    <t>CFN 210/3-500m</t>
  </si>
  <si>
    <t>CFN 210/3-1500m</t>
  </si>
  <si>
    <t>CFN 840/3-500m</t>
  </si>
  <si>
    <t>CFN 210/2-2000m</t>
  </si>
  <si>
    <t>Tex</t>
  </si>
  <si>
    <t>Length</t>
  </si>
  <si>
    <t>Mt.</t>
  </si>
  <si>
    <t>No. of SU/carton</t>
  </si>
  <si>
    <t>No.</t>
  </si>
  <si>
    <t>Dry weight/unit</t>
  </si>
  <si>
    <t>gram</t>
  </si>
  <si>
    <t>Net weight-kg/Carton</t>
  </si>
  <si>
    <t>kg</t>
  </si>
  <si>
    <t>Wastage</t>
  </si>
  <si>
    <t>%</t>
  </si>
  <si>
    <t>Grey yarn cons-kg</t>
  </si>
  <si>
    <t>Grey cost</t>
  </si>
  <si>
    <t>Rs/kg</t>
  </si>
  <si>
    <t>Value</t>
  </si>
  <si>
    <t>Rs</t>
  </si>
  <si>
    <t>AC+Soft package+dyeing cost</t>
  </si>
  <si>
    <t>Winding labour</t>
  </si>
  <si>
    <t>Cones/operator</t>
  </si>
  <si>
    <t>Wage rate</t>
  </si>
  <si>
    <t>Rs/day/operator</t>
  </si>
  <si>
    <t>Wage cost</t>
  </si>
  <si>
    <t>Rs/unit</t>
  </si>
  <si>
    <t>Heat-stretching labour</t>
  </si>
  <si>
    <t>Kg/operator</t>
  </si>
  <si>
    <t>Rs/Kg</t>
  </si>
  <si>
    <t>Heat-stretching Electricity</t>
  </si>
  <si>
    <t>kwh/kg</t>
  </si>
  <si>
    <t>Tariff rate</t>
  </si>
  <si>
    <t>Rs/kwh</t>
  </si>
  <si>
    <t>Cost</t>
  </si>
  <si>
    <t>Winding Electricity</t>
  </si>
  <si>
    <t>Plastic cone/tube</t>
  </si>
  <si>
    <t>Rs/pc</t>
  </si>
  <si>
    <t>Label, sticker, poly-pouch</t>
  </si>
  <si>
    <t>Primary box</t>
  </si>
  <si>
    <t>Primary box Consumption</t>
  </si>
  <si>
    <t>pc</t>
  </si>
  <si>
    <t>Carton</t>
  </si>
  <si>
    <t>Carton Consumption</t>
  </si>
  <si>
    <t>Cello tape, strap etc</t>
  </si>
  <si>
    <t>approx</t>
  </si>
  <si>
    <t>Lubrication consumption</t>
  </si>
  <si>
    <t>Lubrication cost-SUPRASIL TF95</t>
  </si>
  <si>
    <t>Packing labour(inspection+packing)</t>
  </si>
  <si>
    <t>Cones/packer</t>
  </si>
  <si>
    <t>Other Electricity</t>
  </si>
  <si>
    <t>Value of 1 carton FG</t>
  </si>
  <si>
    <t>Gross value of 1 carton FG</t>
  </si>
  <si>
    <t>Value of 1 SU</t>
  </si>
  <si>
    <t>Gross wt of Carton-Kg</t>
  </si>
  <si>
    <t>Carton DESPATCH Charge</t>
  </si>
  <si>
    <t>Rs/carton</t>
  </si>
  <si>
    <t>Break-even cost of 1 carton</t>
  </si>
  <si>
    <t>Break-even price of 1 SU</t>
  </si>
  <si>
    <t>Proposed Sale Price / SU</t>
  </si>
  <si>
    <t>Rs.</t>
  </si>
  <si>
    <t>Mark-up%</t>
  </si>
  <si>
    <t>SU/kg</t>
  </si>
  <si>
    <t>FG Cost/kg</t>
  </si>
  <si>
    <t>Conversion cost</t>
  </si>
  <si>
    <t>Sales price/kg</t>
  </si>
  <si>
    <t>Price cont/kg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</si>
</sst>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left"/>
    </xf>
    <xf numFmtId="43" fontId="1" fillId="3" borderId="1" xfId="1" applyFont="1" applyFill="1" applyBorder="1" applyAlignment="1">
      <alignment horizontal="center"/>
    </xf>
    <xf numFmtId="43" fontId="0" fillId="3" borderId="1" xfId="1" applyFont="1" applyFill="1" applyBorder="1" applyAlignment="1">
      <alignment horizontal="center"/>
    </xf>
    <xf numFmtId="43" fontId="1" fillId="4" borderId="1" xfId="1" applyFont="1" applyFill="1" applyBorder="1" applyAlignment="1">
      <alignment horizontal="center"/>
    </xf>
    <xf numFmtId="43" fontId="0" fillId="4" borderId="1" xfId="1" applyFont="1" applyFill="1" applyBorder="1" applyAlignment="1">
      <alignment horizontal="center"/>
    </xf>
    <xf numFmtId="43" fontId="2" fillId="3" borderId="1" xfId="1" applyFont="1" applyFill="1" applyBorder="1" applyAlignment="1">
      <alignment horizontal="center" wrapText="1"/>
    </xf>
    <xf numFmtId="43" fontId="2" fillId="3" borderId="1" xfId="1" applyFont="1" applyFill="1" applyBorder="1" applyAlignment="1">
      <alignment horizontal="center" vertical="center" wrapText="1"/>
    </xf>
    <xf numFmtId="43" fontId="2" fillId="4" borderId="1" xfId="1" applyFont="1" applyFill="1" applyBorder="1" applyAlignment="1">
      <alignment horizontal="center" wrapText="1"/>
    </xf>
    <xf numFmtId="43" fontId="1" fillId="3" borderId="1" xfId="1" applyFont="1" applyFill="1" applyBorder="1" applyAlignment="1"/>
    <xf numFmtId="43" fontId="1" fillId="4" borderId="1" xfId="1" applyFont="1" applyFill="1" applyBorder="1" applyAlignment="1"/>
    <xf numFmtId="164" fontId="1" fillId="3" borderId="1" xfId="1" applyNumberFormat="1" applyFont="1" applyFill="1" applyBorder="1" applyAlignment="1"/>
    <xf numFmtId="164" fontId="1" fillId="4" borderId="1" xfId="1" applyNumberFormat="1" applyFont="1" applyFill="1" applyBorder="1" applyAlignment="1"/>
    <xf numFmtId="10" fontId="1" fillId="3" borderId="1" xfId="2" applyNumberFormat="1" applyFont="1" applyFill="1" applyBorder="1" applyAlignment="1"/>
    <xf numFmtId="10" fontId="1" fillId="4" borderId="1" xfId="2" applyNumberFormat="1" applyFont="1" applyFill="1" applyBorder="1" applyAlignment="1"/>
    <xf numFmtId="0" fontId="4" fillId="0" borderId="1" xfId="0" applyFont="1" applyBorder="1" applyAlignment="1">
      <alignment horizontal="right"/>
    </xf>
    <xf numFmtId="43" fontId="4" fillId="3" borderId="1" xfId="1" applyFont="1" applyFill="1" applyBorder="1" applyAlignment="1"/>
    <xf numFmtId="43" fontId="4" fillId="4" borderId="1" xfId="1" applyFont="1" applyFill="1" applyBorder="1" applyAlignment="1"/>
    <xf numFmtId="0" fontId="0" fillId="0" borderId="1" xfId="0" applyBorder="1"/>
    <xf numFmtId="43" fontId="5" fillId="3" borderId="1" xfId="1" applyFont="1" applyFill="1" applyBorder="1" applyAlignment="1"/>
    <xf numFmtId="43" fontId="5" fillId="4" borderId="1" xfId="1" applyFont="1" applyFill="1" applyBorder="1" applyAlignment="1"/>
    <xf numFmtId="0" fontId="4" fillId="0" borderId="1" xfId="0" applyFont="1" applyBorder="1"/>
    <xf numFmtId="0" fontId="0" fillId="0" borderId="1" xfId="0" applyFill="1" applyBorder="1"/>
    <xf numFmtId="0" fontId="0" fillId="0" borderId="1" xfId="0" applyBorder="1" applyAlignment="1">
      <alignment horizontal="left"/>
    </xf>
    <xf numFmtId="43" fontId="0" fillId="3" borderId="1" xfId="0" applyNumberFormat="1" applyFill="1" applyBorder="1" applyAlignment="1">
      <alignment horizontal="right"/>
    </xf>
    <xf numFmtId="2" fontId="0" fillId="3" borderId="1" xfId="0" applyNumberFormat="1" applyFill="1" applyBorder="1" applyAlignment="1">
      <alignment horizontal="right"/>
    </xf>
    <xf numFmtId="2" fontId="0" fillId="4" borderId="1" xfId="0" applyNumberFormat="1" applyFill="1" applyBorder="1" applyAlignment="1">
      <alignment horizontal="right"/>
    </xf>
    <xf numFmtId="43" fontId="0" fillId="0" borderId="1" xfId="0" applyNumberFormat="1" applyBorder="1" applyAlignment="1">
      <alignment horizontal="right"/>
    </xf>
    <xf numFmtId="43" fontId="0" fillId="0" borderId="1" xfId="0" applyNumberFormat="1" applyFill="1" applyBorder="1" applyAlignment="1">
      <alignment horizontal="right"/>
    </xf>
    <xf numFmtId="0" fontId="0" fillId="0" borderId="2" xfId="0" applyFill="1" applyBorder="1"/>
    <xf numFmtId="0" fontId="0" fillId="0" borderId="0" xfId="0" applyAlignment="1">
      <alignment horizontal="left"/>
    </xf>
    <xf numFmtId="43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59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71"/>
  <sheetViews>
    <sheetView tabSelected="1" workbookViewId="0">
      <pane xSplit="2" ySplit="6" topLeftCell="P7" activePane="bottomRight" state="frozen"/>
      <selection pane="topRight" activeCell="C1" sqref="C1"/>
      <selection pane="bottomLeft" activeCell="A7" sqref="A7"/>
      <selection pane="bottomRight" activeCell="Q10" sqref="Q10"/>
    </sheetView>
  </sheetViews>
  <sheetFormatPr defaultRowHeight="15" x14ac:dyDescent="0.25"/>
  <cols>
    <col min="1" max="1" width="40" customWidth="1"/>
    <col min="2" max="2" width="17" style="33" customWidth="1"/>
    <col min="3" max="8" width="14.7109375" style="35" customWidth="1"/>
    <col min="9" max="9" width="12.7109375" style="35" customWidth="1"/>
    <col min="10" max="10" width="13.140625" style="35" customWidth="1"/>
    <col min="11" max="12" width="13.28515625" style="35" customWidth="1"/>
    <col min="13" max="15" width="16" style="35" bestFit="1" customWidth="1"/>
    <col min="16" max="18" width="16" style="35" customWidth="1"/>
    <col min="19" max="19" width="16" style="35" bestFit="1" customWidth="1"/>
    <col min="20" max="20" width="13.5703125" style="35" customWidth="1"/>
    <col min="21" max="24" width="15.85546875" style="35" customWidth="1"/>
  </cols>
  <sheetData>
    <row r="1" spans="1:24" ht="44.25" customHeight="1" x14ac:dyDescent="0.25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 t="s">
        <v>1</v>
      </c>
      <c r="T1" s="3" t="s">
        <v>2</v>
      </c>
      <c r="U1" s="2" t="s">
        <v>3</v>
      </c>
      <c r="V1" s="2" t="s">
        <v>3</v>
      </c>
      <c r="W1" s="2" t="s">
        <v>4</v>
      </c>
      <c r="X1" s="2" t="s">
        <v>5</v>
      </c>
    </row>
    <row r="2" spans="1:24" ht="31.5" x14ac:dyDescent="0.25">
      <c r="A2" s="1" t="s">
        <v>6</v>
      </c>
      <c r="B2" s="1"/>
      <c r="C2" s="2" t="s">
        <v>7</v>
      </c>
      <c r="D2" s="2" t="s">
        <v>8</v>
      </c>
      <c r="E2" s="2" t="s">
        <v>7</v>
      </c>
      <c r="F2" s="2" t="s">
        <v>8</v>
      </c>
      <c r="G2" s="3" t="s">
        <v>9</v>
      </c>
      <c r="H2" s="3" t="s">
        <v>10</v>
      </c>
      <c r="I2" s="3" t="s">
        <v>11</v>
      </c>
      <c r="J2" s="3" t="s">
        <v>12</v>
      </c>
      <c r="K2" s="2" t="s">
        <v>13</v>
      </c>
      <c r="L2" s="2" t="s">
        <v>14</v>
      </c>
      <c r="M2" s="2">
        <v>2311</v>
      </c>
      <c r="N2" s="2" t="s">
        <v>15</v>
      </c>
      <c r="O2" s="2" t="s">
        <v>16</v>
      </c>
      <c r="P2" s="2">
        <v>2208</v>
      </c>
      <c r="Q2" s="2" t="s">
        <v>17</v>
      </c>
      <c r="R2" s="3" t="s">
        <v>18</v>
      </c>
      <c r="S2" s="2"/>
      <c r="T2" s="2"/>
      <c r="U2" s="2"/>
      <c r="V2" s="2"/>
      <c r="W2" s="2"/>
      <c r="X2" s="2"/>
    </row>
    <row r="3" spans="1:24" x14ac:dyDescent="0.25">
      <c r="A3" s="4" t="s">
        <v>19</v>
      </c>
      <c r="B3" s="4"/>
      <c r="C3" s="5" t="s">
        <v>20</v>
      </c>
      <c r="D3" s="5" t="s">
        <v>20</v>
      </c>
      <c r="E3" s="6" t="s">
        <v>21</v>
      </c>
      <c r="F3" s="6" t="s">
        <v>21</v>
      </c>
      <c r="G3" s="5" t="s">
        <v>20</v>
      </c>
      <c r="H3" s="5" t="s">
        <v>20</v>
      </c>
      <c r="I3" s="5" t="s">
        <v>20</v>
      </c>
      <c r="J3" s="5" t="s">
        <v>20</v>
      </c>
      <c r="K3" s="5" t="s">
        <v>20</v>
      </c>
      <c r="L3" s="5" t="s">
        <v>20</v>
      </c>
      <c r="M3" s="5" t="s">
        <v>20</v>
      </c>
      <c r="N3" s="5" t="s">
        <v>20</v>
      </c>
      <c r="O3" s="5" t="s">
        <v>20</v>
      </c>
      <c r="P3" s="5" t="s">
        <v>20</v>
      </c>
      <c r="Q3" s="5" t="s">
        <v>20</v>
      </c>
      <c r="R3" s="5" t="s">
        <v>20</v>
      </c>
      <c r="S3" s="7" t="s">
        <v>20</v>
      </c>
      <c r="T3" s="7" t="s">
        <v>20</v>
      </c>
      <c r="U3" s="7" t="s">
        <v>20</v>
      </c>
      <c r="V3" s="8" t="s">
        <v>21</v>
      </c>
      <c r="W3" s="7" t="s">
        <v>20</v>
      </c>
      <c r="X3" s="7" t="s">
        <v>20</v>
      </c>
    </row>
    <row r="4" spans="1:24" x14ac:dyDescent="0.25">
      <c r="A4" s="4" t="s">
        <v>22</v>
      </c>
      <c r="B4" s="4"/>
      <c r="C4" s="6" t="s">
        <v>23</v>
      </c>
      <c r="D4" s="6" t="s">
        <v>23</v>
      </c>
      <c r="E4" s="6" t="s">
        <v>23</v>
      </c>
      <c r="F4" s="6" t="s">
        <v>23</v>
      </c>
      <c r="G4" s="6" t="s">
        <v>23</v>
      </c>
      <c r="H4" s="6" t="s">
        <v>23</v>
      </c>
      <c r="I4" s="6" t="s">
        <v>24</v>
      </c>
      <c r="J4" s="6" t="s">
        <v>24</v>
      </c>
      <c r="K4" s="6" t="s">
        <v>25</v>
      </c>
      <c r="L4" s="6" t="s">
        <v>25</v>
      </c>
      <c r="M4" s="6" t="s">
        <v>25</v>
      </c>
      <c r="N4" s="6" t="s">
        <v>26</v>
      </c>
      <c r="O4" s="6" t="s">
        <v>27</v>
      </c>
      <c r="P4" s="6" t="s">
        <v>28</v>
      </c>
      <c r="Q4" s="6" t="s">
        <v>28</v>
      </c>
      <c r="R4" s="6" t="s">
        <v>29</v>
      </c>
      <c r="S4" s="8" t="s">
        <v>25</v>
      </c>
      <c r="T4" s="8" t="s">
        <v>23</v>
      </c>
      <c r="U4" s="8" t="s">
        <v>23</v>
      </c>
      <c r="V4" s="8" t="s">
        <v>23</v>
      </c>
      <c r="W4" s="8" t="s">
        <v>27</v>
      </c>
      <c r="X4" s="8" t="s">
        <v>30</v>
      </c>
    </row>
    <row r="5" spans="1:24" ht="45" x14ac:dyDescent="0.25">
      <c r="A5" s="4" t="s">
        <v>31</v>
      </c>
      <c r="B5" s="4"/>
      <c r="C5" s="9" t="s">
        <v>32</v>
      </c>
      <c r="D5" s="9" t="s">
        <v>33</v>
      </c>
      <c r="E5" s="9" t="s">
        <v>34</v>
      </c>
      <c r="F5" s="9" t="s">
        <v>33</v>
      </c>
      <c r="G5" s="9" t="s">
        <v>35</v>
      </c>
      <c r="H5" s="9" t="s">
        <v>36</v>
      </c>
      <c r="I5" s="9" t="s">
        <v>37</v>
      </c>
      <c r="J5" s="9" t="s">
        <v>38</v>
      </c>
      <c r="K5" s="10" t="s">
        <v>39</v>
      </c>
      <c r="L5" s="10" t="s">
        <v>40</v>
      </c>
      <c r="M5" s="9" t="s">
        <v>41</v>
      </c>
      <c r="N5" s="9" t="s">
        <v>42</v>
      </c>
      <c r="O5" s="9" t="s">
        <v>43</v>
      </c>
      <c r="P5" s="9" t="s">
        <v>44</v>
      </c>
      <c r="Q5" s="9" t="s">
        <v>45</v>
      </c>
      <c r="R5" s="9" t="s">
        <v>46</v>
      </c>
      <c r="S5" s="11" t="s">
        <v>47</v>
      </c>
      <c r="T5" s="11" t="s">
        <v>48</v>
      </c>
      <c r="U5" s="11" t="s">
        <v>49</v>
      </c>
      <c r="V5" s="11" t="s">
        <v>49</v>
      </c>
      <c r="W5" s="11" t="s">
        <v>50</v>
      </c>
      <c r="X5" s="11" t="s">
        <v>51</v>
      </c>
    </row>
    <row r="6" spans="1:24" x14ac:dyDescent="0.25">
      <c r="A6" s="4" t="s">
        <v>52</v>
      </c>
      <c r="B6" s="4"/>
      <c r="C6" s="12">
        <v>74.08</v>
      </c>
      <c r="D6" s="12">
        <v>74.08</v>
      </c>
      <c r="E6" s="12">
        <v>74.08</v>
      </c>
      <c r="F6" s="12">
        <v>74.08</v>
      </c>
      <c r="G6" s="12">
        <v>74.08</v>
      </c>
      <c r="H6" s="12">
        <v>74.08</v>
      </c>
      <c r="I6" s="12">
        <v>87.7</v>
      </c>
      <c r="J6" s="12">
        <v>87.7</v>
      </c>
      <c r="K6" s="12">
        <v>152</v>
      </c>
      <c r="L6" s="12">
        <v>152</v>
      </c>
      <c r="M6" s="12">
        <v>151</v>
      </c>
      <c r="N6" s="12">
        <v>180</v>
      </c>
      <c r="O6" s="12">
        <v>317</v>
      </c>
      <c r="P6" s="12">
        <v>35.6</v>
      </c>
      <c r="Q6" s="12">
        <v>35.6</v>
      </c>
      <c r="R6" s="12">
        <v>53.5</v>
      </c>
      <c r="S6" s="13">
        <v>151</v>
      </c>
      <c r="T6" s="13">
        <v>74</v>
      </c>
      <c r="U6" s="13">
        <v>74</v>
      </c>
      <c r="V6" s="13">
        <v>74</v>
      </c>
      <c r="W6" s="13">
        <v>316.89999999999998</v>
      </c>
      <c r="X6" s="13">
        <v>49.8</v>
      </c>
    </row>
    <row r="7" spans="1:24" x14ac:dyDescent="0.25">
      <c r="A7" s="4" t="s">
        <v>53</v>
      </c>
      <c r="B7" s="4" t="s">
        <v>54</v>
      </c>
      <c r="C7" s="14">
        <v>1500</v>
      </c>
      <c r="D7" s="14">
        <v>1430</v>
      </c>
      <c r="E7" s="14">
        <v>1500</v>
      </c>
      <c r="F7" s="14">
        <v>1430</v>
      </c>
      <c r="G7" s="14">
        <v>3000</v>
      </c>
      <c r="H7" s="14">
        <v>3000</v>
      </c>
      <c r="I7" s="14">
        <v>1500</v>
      </c>
      <c r="J7" s="14">
        <v>2500</v>
      </c>
      <c r="K7" s="14">
        <v>1500</v>
      </c>
      <c r="L7" s="14">
        <v>1500</v>
      </c>
      <c r="M7" s="14">
        <v>1000</v>
      </c>
      <c r="N7" s="14">
        <v>1500</v>
      </c>
      <c r="O7" s="14">
        <v>1000</v>
      </c>
      <c r="P7" s="14">
        <v>5000</v>
      </c>
      <c r="Q7" s="14">
        <v>2500</v>
      </c>
      <c r="R7" s="14">
        <v>5000</v>
      </c>
      <c r="S7" s="15">
        <v>1000</v>
      </c>
      <c r="T7" s="15">
        <v>500</v>
      </c>
      <c r="U7" s="15">
        <v>1500</v>
      </c>
      <c r="V7" s="15">
        <v>1500</v>
      </c>
      <c r="W7" s="15">
        <v>500</v>
      </c>
      <c r="X7" s="15">
        <v>2000</v>
      </c>
    </row>
    <row r="8" spans="1:24" x14ac:dyDescent="0.25">
      <c r="A8" s="4" t="s">
        <v>55</v>
      </c>
      <c r="B8" s="4" t="s">
        <v>56</v>
      </c>
      <c r="C8" s="12">
        <v>160</v>
      </c>
      <c r="D8" s="12">
        <v>160</v>
      </c>
      <c r="E8" s="12">
        <v>160</v>
      </c>
      <c r="F8" s="12">
        <v>160</v>
      </c>
      <c r="G8" s="12">
        <v>60</v>
      </c>
      <c r="H8" s="12">
        <v>60</v>
      </c>
      <c r="I8" s="12">
        <v>160</v>
      </c>
      <c r="J8" s="12">
        <v>60</v>
      </c>
      <c r="K8" s="12">
        <v>60</v>
      </c>
      <c r="L8" s="12">
        <v>60</v>
      </c>
      <c r="M8" s="12">
        <v>120</v>
      </c>
      <c r="N8" s="12">
        <v>60</v>
      </c>
      <c r="O8" s="12">
        <v>60</v>
      </c>
      <c r="P8" s="12">
        <v>120</v>
      </c>
      <c r="Q8" s="12">
        <v>160</v>
      </c>
      <c r="R8" s="12">
        <v>60</v>
      </c>
      <c r="S8" s="13">
        <v>120</v>
      </c>
      <c r="T8" s="13">
        <v>500</v>
      </c>
      <c r="U8" s="13">
        <v>160</v>
      </c>
      <c r="V8" s="13">
        <v>160</v>
      </c>
      <c r="W8" s="13">
        <v>120</v>
      </c>
      <c r="X8" s="13">
        <v>160</v>
      </c>
    </row>
    <row r="9" spans="1:24" x14ac:dyDescent="0.25">
      <c r="A9" s="4" t="s">
        <v>57</v>
      </c>
      <c r="B9" s="4" t="s">
        <v>58</v>
      </c>
      <c r="C9" s="12">
        <f t="shared" ref="C9:X9" si="0">(C6/1000*C7)*1.001</f>
        <v>111.23111999999998</v>
      </c>
      <c r="D9" s="12">
        <f t="shared" si="0"/>
        <v>106.04033439999999</v>
      </c>
      <c r="E9" s="12">
        <f t="shared" si="0"/>
        <v>111.23111999999998</v>
      </c>
      <c r="F9" s="12">
        <f t="shared" si="0"/>
        <v>106.04033439999999</v>
      </c>
      <c r="G9" s="12">
        <f t="shared" si="0"/>
        <v>222.46223999999995</v>
      </c>
      <c r="H9" s="12">
        <f t="shared" si="0"/>
        <v>222.46223999999995</v>
      </c>
      <c r="I9" s="12">
        <f t="shared" si="0"/>
        <v>131.68154999999999</v>
      </c>
      <c r="J9" s="12">
        <f t="shared" si="0"/>
        <v>219.46924999999999</v>
      </c>
      <c r="K9" s="12">
        <f t="shared" si="0"/>
        <v>228.22799999999998</v>
      </c>
      <c r="L9" s="12">
        <f t="shared" si="0"/>
        <v>228.22799999999998</v>
      </c>
      <c r="M9" s="12">
        <f t="shared" si="0"/>
        <v>151.15099999999998</v>
      </c>
      <c r="N9" s="12">
        <f t="shared" si="0"/>
        <v>270.27</v>
      </c>
      <c r="O9" s="12">
        <f t="shared" si="0"/>
        <v>317.31699999999995</v>
      </c>
      <c r="P9" s="12">
        <f t="shared" si="0"/>
        <v>178.17799999999997</v>
      </c>
      <c r="Q9" s="12">
        <f t="shared" si="0"/>
        <v>89.088999999999984</v>
      </c>
      <c r="R9" s="12">
        <f t="shared" si="0"/>
        <v>267.76749999999998</v>
      </c>
      <c r="S9" s="13">
        <f t="shared" si="0"/>
        <v>151.15099999999998</v>
      </c>
      <c r="T9" s="13">
        <f t="shared" si="0"/>
        <v>37.036999999999999</v>
      </c>
      <c r="U9" s="13">
        <f t="shared" si="0"/>
        <v>111.11099999999999</v>
      </c>
      <c r="V9" s="13">
        <f t="shared" si="0"/>
        <v>111.11099999999999</v>
      </c>
      <c r="W9" s="13">
        <f t="shared" si="0"/>
        <v>158.60844999999998</v>
      </c>
      <c r="X9" s="13">
        <f t="shared" si="0"/>
        <v>99.69959999999999</v>
      </c>
    </row>
    <row r="10" spans="1:24" x14ac:dyDescent="0.25">
      <c r="A10" s="4" t="s">
        <v>59</v>
      </c>
      <c r="B10" s="4" t="s">
        <v>60</v>
      </c>
      <c r="C10" s="12">
        <f t="shared" ref="C10:X10" si="1">(C9*C8)/1000</f>
        <v>17.796979199999996</v>
      </c>
      <c r="D10" s="12">
        <f t="shared" si="1"/>
        <v>16.966453503999997</v>
      </c>
      <c r="E10" s="12">
        <f t="shared" si="1"/>
        <v>17.796979199999996</v>
      </c>
      <c r="F10" s="12">
        <f t="shared" si="1"/>
        <v>16.966453503999997</v>
      </c>
      <c r="G10" s="12">
        <f t="shared" si="1"/>
        <v>13.347734399999997</v>
      </c>
      <c r="H10" s="12">
        <f t="shared" si="1"/>
        <v>13.347734399999997</v>
      </c>
      <c r="I10" s="12">
        <f t="shared" si="1"/>
        <v>21.069047999999999</v>
      </c>
      <c r="J10" s="12">
        <f t="shared" si="1"/>
        <v>13.168154999999999</v>
      </c>
      <c r="K10" s="12">
        <f t="shared" si="1"/>
        <v>13.693679999999999</v>
      </c>
      <c r="L10" s="12">
        <f t="shared" si="1"/>
        <v>13.693679999999999</v>
      </c>
      <c r="M10" s="12">
        <f t="shared" si="1"/>
        <v>18.138120000000001</v>
      </c>
      <c r="N10" s="12">
        <f t="shared" si="1"/>
        <v>16.216200000000001</v>
      </c>
      <c r="O10" s="12">
        <f t="shared" si="1"/>
        <v>19.039019999999997</v>
      </c>
      <c r="P10" s="12">
        <f t="shared" si="1"/>
        <v>21.381359999999997</v>
      </c>
      <c r="Q10" s="12">
        <f t="shared" si="1"/>
        <v>14.254239999999998</v>
      </c>
      <c r="R10" s="12">
        <f t="shared" si="1"/>
        <v>16.066050000000001</v>
      </c>
      <c r="S10" s="13">
        <f t="shared" si="1"/>
        <v>18.138120000000001</v>
      </c>
      <c r="T10" s="13">
        <f t="shared" si="1"/>
        <v>18.5185</v>
      </c>
      <c r="U10" s="13">
        <f t="shared" si="1"/>
        <v>17.777759999999997</v>
      </c>
      <c r="V10" s="13">
        <f t="shared" si="1"/>
        <v>17.777759999999997</v>
      </c>
      <c r="W10" s="13">
        <f t="shared" si="1"/>
        <v>19.033013999999994</v>
      </c>
      <c r="X10" s="13">
        <f t="shared" si="1"/>
        <v>15.951935999999998</v>
      </c>
    </row>
    <row r="11" spans="1:24" x14ac:dyDescent="0.25">
      <c r="A11" s="4" t="s">
        <v>61</v>
      </c>
      <c r="B11" s="4" t="s">
        <v>62</v>
      </c>
      <c r="C11" s="16">
        <v>1.4999999999999999E-2</v>
      </c>
      <c r="D11" s="16">
        <v>1.4999999999999999E-2</v>
      </c>
      <c r="E11" s="16">
        <v>1.4999999999999999E-2</v>
      </c>
      <c r="F11" s="16">
        <v>1.4999999999999999E-2</v>
      </c>
      <c r="G11" s="16">
        <v>1.4999999999999999E-2</v>
      </c>
      <c r="H11" s="16">
        <v>1.4999999999999999E-2</v>
      </c>
      <c r="I11" s="16">
        <v>1.4999999999999999E-2</v>
      </c>
      <c r="J11" s="16">
        <v>1.4999999999999999E-2</v>
      </c>
      <c r="K11" s="16">
        <v>1.4999999999999999E-2</v>
      </c>
      <c r="L11" s="16">
        <v>1.4999999999999999E-2</v>
      </c>
      <c r="M11" s="16">
        <v>0.02</v>
      </c>
      <c r="N11" s="16">
        <v>0.02</v>
      </c>
      <c r="O11" s="16">
        <v>0.02</v>
      </c>
      <c r="P11" s="16">
        <v>1.4999999999999999E-2</v>
      </c>
      <c r="Q11" s="16">
        <v>1.4999999999999999E-2</v>
      </c>
      <c r="R11" s="16">
        <v>0.02</v>
      </c>
      <c r="S11" s="17">
        <v>0.02</v>
      </c>
      <c r="T11" s="17">
        <v>0.02</v>
      </c>
      <c r="U11" s="17">
        <v>0.02</v>
      </c>
      <c r="V11" s="17">
        <v>0.02</v>
      </c>
      <c r="W11" s="17">
        <v>3.5000000000000003E-2</v>
      </c>
      <c r="X11" s="17">
        <v>0.02</v>
      </c>
    </row>
    <row r="12" spans="1:24" x14ac:dyDescent="0.25">
      <c r="A12" s="4" t="s">
        <v>63</v>
      </c>
      <c r="B12" s="4" t="s">
        <v>60</v>
      </c>
      <c r="C12" s="12">
        <f t="shared" ref="C12:X12" si="2">C10/0.9935</f>
        <v>17.913416406643176</v>
      </c>
      <c r="D12" s="12">
        <f t="shared" si="2"/>
        <v>17.077456974333163</v>
      </c>
      <c r="E12" s="12">
        <f t="shared" si="2"/>
        <v>17.913416406643176</v>
      </c>
      <c r="F12" s="12">
        <f t="shared" si="2"/>
        <v>17.077456974333163</v>
      </c>
      <c r="G12" s="12">
        <f t="shared" si="2"/>
        <v>13.435062304982381</v>
      </c>
      <c r="H12" s="12">
        <f t="shared" si="2"/>
        <v>13.435062304982381</v>
      </c>
      <c r="I12" s="12">
        <f t="shared" si="2"/>
        <v>21.206892803220935</v>
      </c>
      <c r="J12" s="12">
        <f t="shared" si="2"/>
        <v>13.254308002013083</v>
      </c>
      <c r="K12" s="12">
        <f t="shared" si="2"/>
        <v>13.783271263210869</v>
      </c>
      <c r="L12" s="12">
        <f t="shared" si="2"/>
        <v>13.783271263210869</v>
      </c>
      <c r="M12" s="12">
        <f t="shared" si="2"/>
        <v>18.256789129340714</v>
      </c>
      <c r="N12" s="12">
        <f t="shared" si="2"/>
        <v>16.322294916960242</v>
      </c>
      <c r="O12" s="12">
        <f t="shared" si="2"/>
        <v>19.163583291394058</v>
      </c>
      <c r="P12" s="12">
        <f t="shared" si="2"/>
        <v>21.52124811273276</v>
      </c>
      <c r="Q12" s="12">
        <f t="shared" si="2"/>
        <v>14.347498741821839</v>
      </c>
      <c r="R12" s="12">
        <f t="shared" si="2"/>
        <v>16.171162556618018</v>
      </c>
      <c r="S12" s="13">
        <f t="shared" si="2"/>
        <v>18.256789129340714</v>
      </c>
      <c r="T12" s="13">
        <f t="shared" si="2"/>
        <v>18.639657775541014</v>
      </c>
      <c r="U12" s="13">
        <f t="shared" si="2"/>
        <v>17.894071464519371</v>
      </c>
      <c r="V12" s="13">
        <f t="shared" si="2"/>
        <v>17.894071464519371</v>
      </c>
      <c r="W12" s="13">
        <f t="shared" si="2"/>
        <v>19.157537996980366</v>
      </c>
      <c r="X12" s="13">
        <f t="shared" si="2"/>
        <v>16.056301962757924</v>
      </c>
    </row>
    <row r="13" spans="1:24" x14ac:dyDescent="0.25">
      <c r="A13" s="4" t="s">
        <v>64</v>
      </c>
      <c r="B13" s="4" t="s">
        <v>65</v>
      </c>
      <c r="C13" s="12">
        <v>189</v>
      </c>
      <c r="D13" s="12">
        <v>189</v>
      </c>
      <c r="E13" s="12">
        <v>207</v>
      </c>
      <c r="F13" s="12">
        <v>207</v>
      </c>
      <c r="G13" s="12">
        <v>228</v>
      </c>
      <c r="H13" s="12">
        <v>189</v>
      </c>
      <c r="I13" s="12">
        <v>189</v>
      </c>
      <c r="J13" s="12">
        <v>189</v>
      </c>
      <c r="K13" s="12">
        <v>228</v>
      </c>
      <c r="L13" s="12">
        <v>188</v>
      </c>
      <c r="M13" s="12">
        <v>188</v>
      </c>
      <c r="N13" s="12">
        <v>188</v>
      </c>
      <c r="O13" s="12">
        <v>180</v>
      </c>
      <c r="P13" s="12">
        <v>225</v>
      </c>
      <c r="Q13" s="12">
        <v>225</v>
      </c>
      <c r="R13" s="12">
        <v>225</v>
      </c>
      <c r="S13" s="13">
        <v>284</v>
      </c>
      <c r="T13" s="13">
        <v>284</v>
      </c>
      <c r="U13" s="13">
        <v>284</v>
      </c>
      <c r="V13" s="13">
        <v>317</v>
      </c>
      <c r="W13" s="13">
        <v>282</v>
      </c>
      <c r="X13" s="13">
        <v>288</v>
      </c>
    </row>
    <row r="14" spans="1:24" x14ac:dyDescent="0.25">
      <c r="A14" s="18" t="s">
        <v>66</v>
      </c>
      <c r="B14" s="4" t="s">
        <v>67</v>
      </c>
      <c r="C14" s="19">
        <f t="shared" ref="C14:X14" si="3">C12*C13</f>
        <v>3385.6357008555601</v>
      </c>
      <c r="D14" s="19">
        <f t="shared" si="3"/>
        <v>3227.6393681489681</v>
      </c>
      <c r="E14" s="19">
        <f t="shared" si="3"/>
        <v>3708.0771961751375</v>
      </c>
      <c r="F14" s="19">
        <f t="shared" si="3"/>
        <v>3535.0335936869647</v>
      </c>
      <c r="G14" s="19">
        <f t="shared" si="3"/>
        <v>3063.1942055359827</v>
      </c>
      <c r="H14" s="19">
        <f t="shared" si="3"/>
        <v>2539.22677564167</v>
      </c>
      <c r="I14" s="19">
        <f t="shared" si="3"/>
        <v>4008.1027398087567</v>
      </c>
      <c r="J14" s="19">
        <f t="shared" si="3"/>
        <v>2505.0642123804728</v>
      </c>
      <c r="K14" s="19">
        <f t="shared" si="3"/>
        <v>3142.5858480120783</v>
      </c>
      <c r="L14" s="19">
        <f t="shared" si="3"/>
        <v>2591.2549974836434</v>
      </c>
      <c r="M14" s="19">
        <f t="shared" si="3"/>
        <v>3432.2763563160543</v>
      </c>
      <c r="N14" s="19">
        <f t="shared" si="3"/>
        <v>3068.5914443885254</v>
      </c>
      <c r="O14" s="19">
        <f t="shared" si="3"/>
        <v>3449.4449924509304</v>
      </c>
      <c r="P14" s="19">
        <f t="shared" si="3"/>
        <v>4842.2808253648709</v>
      </c>
      <c r="Q14" s="19">
        <f t="shared" si="3"/>
        <v>3228.1872169099138</v>
      </c>
      <c r="R14" s="19">
        <f t="shared" si="3"/>
        <v>3638.5115752390543</v>
      </c>
      <c r="S14" s="20">
        <f t="shared" si="3"/>
        <v>5184.9281127327631</v>
      </c>
      <c r="T14" s="20">
        <f t="shared" si="3"/>
        <v>5293.6628082536481</v>
      </c>
      <c r="U14" s="20">
        <f t="shared" si="3"/>
        <v>5081.9162959235009</v>
      </c>
      <c r="V14" s="20">
        <f t="shared" si="3"/>
        <v>5672.4206542526408</v>
      </c>
      <c r="W14" s="20">
        <f t="shared" si="3"/>
        <v>5402.4257151484635</v>
      </c>
      <c r="X14" s="20">
        <f t="shared" si="3"/>
        <v>4624.2149652742819</v>
      </c>
    </row>
    <row r="15" spans="1:24" x14ac:dyDescent="0.25">
      <c r="A15" s="4" t="s">
        <v>68</v>
      </c>
      <c r="B15" s="4" t="s">
        <v>65</v>
      </c>
      <c r="C15" s="12">
        <v>40</v>
      </c>
      <c r="D15" s="12">
        <v>40</v>
      </c>
      <c r="E15" s="12">
        <v>0</v>
      </c>
      <c r="F15" s="12">
        <v>0</v>
      </c>
      <c r="G15" s="12">
        <v>40</v>
      </c>
      <c r="H15" s="12">
        <v>40</v>
      </c>
      <c r="I15" s="12">
        <v>40</v>
      </c>
      <c r="J15" s="12">
        <v>40</v>
      </c>
      <c r="K15" s="12">
        <v>40</v>
      </c>
      <c r="L15" s="12">
        <v>40</v>
      </c>
      <c r="M15" s="12">
        <v>40</v>
      </c>
      <c r="N15" s="12">
        <v>40</v>
      </c>
      <c r="O15" s="12">
        <v>40</v>
      </c>
      <c r="P15" s="12">
        <v>40</v>
      </c>
      <c r="Q15" s="12">
        <v>45</v>
      </c>
      <c r="R15" s="12">
        <v>40</v>
      </c>
      <c r="S15" s="13">
        <v>59</v>
      </c>
      <c r="T15" s="13">
        <v>59</v>
      </c>
      <c r="U15" s="13">
        <v>59</v>
      </c>
      <c r="V15" s="13">
        <v>0</v>
      </c>
      <c r="W15" s="13">
        <v>59</v>
      </c>
      <c r="X15" s="13">
        <v>59</v>
      </c>
    </row>
    <row r="16" spans="1:24" x14ac:dyDescent="0.25">
      <c r="A16" s="18" t="s">
        <v>66</v>
      </c>
      <c r="B16" s="4" t="s">
        <v>67</v>
      </c>
      <c r="C16" s="19">
        <f t="shared" ref="C16:X16" si="4">C12*C15</f>
        <v>716.53665626572706</v>
      </c>
      <c r="D16" s="19">
        <f t="shared" si="4"/>
        <v>683.0982789733265</v>
      </c>
      <c r="E16" s="19">
        <f t="shared" si="4"/>
        <v>0</v>
      </c>
      <c r="F16" s="19">
        <f t="shared" si="4"/>
        <v>0</v>
      </c>
      <c r="G16" s="19">
        <f t="shared" si="4"/>
        <v>537.40249219929524</v>
      </c>
      <c r="H16" s="19">
        <f t="shared" si="4"/>
        <v>537.40249219929524</v>
      </c>
      <c r="I16" s="19">
        <f t="shared" si="4"/>
        <v>848.27571212883743</v>
      </c>
      <c r="J16" s="19">
        <f t="shared" si="4"/>
        <v>530.17232008052338</v>
      </c>
      <c r="K16" s="19">
        <f t="shared" si="4"/>
        <v>551.33085052843478</v>
      </c>
      <c r="L16" s="19">
        <f t="shared" si="4"/>
        <v>551.33085052843478</v>
      </c>
      <c r="M16" s="19">
        <f t="shared" si="4"/>
        <v>730.27156517362857</v>
      </c>
      <c r="N16" s="19">
        <f t="shared" si="4"/>
        <v>652.89179667840972</v>
      </c>
      <c r="O16" s="19">
        <f t="shared" si="4"/>
        <v>766.54333165576236</v>
      </c>
      <c r="P16" s="19">
        <f t="shared" si="4"/>
        <v>860.84992450931043</v>
      </c>
      <c r="Q16" s="19">
        <f t="shared" si="4"/>
        <v>645.63744338198273</v>
      </c>
      <c r="R16" s="19">
        <f t="shared" si="4"/>
        <v>646.8465022647207</v>
      </c>
      <c r="S16" s="20">
        <f t="shared" si="4"/>
        <v>1077.1505586311021</v>
      </c>
      <c r="T16" s="20">
        <f t="shared" si="4"/>
        <v>1099.7398087569197</v>
      </c>
      <c r="U16" s="20">
        <f t="shared" si="4"/>
        <v>1055.7502164066429</v>
      </c>
      <c r="V16" s="20">
        <f t="shared" si="4"/>
        <v>0</v>
      </c>
      <c r="W16" s="20">
        <f t="shared" si="4"/>
        <v>1130.2947418218416</v>
      </c>
      <c r="X16" s="20">
        <f t="shared" si="4"/>
        <v>947.32181580271754</v>
      </c>
    </row>
    <row r="17" spans="1:24" x14ac:dyDescent="0.25">
      <c r="A17" s="4" t="s">
        <v>69</v>
      </c>
      <c r="B17" s="4" t="s">
        <v>70</v>
      </c>
      <c r="C17" s="14">
        <v>2000</v>
      </c>
      <c r="D17" s="14">
        <v>2000</v>
      </c>
      <c r="E17" s="14">
        <v>2000</v>
      </c>
      <c r="F17" s="14">
        <v>2000</v>
      </c>
      <c r="G17" s="14">
        <v>1300</v>
      </c>
      <c r="H17" s="14">
        <v>1300</v>
      </c>
      <c r="I17" s="14">
        <v>1850</v>
      </c>
      <c r="J17" s="14">
        <v>950</v>
      </c>
      <c r="K17" s="14">
        <v>1800</v>
      </c>
      <c r="L17" s="14">
        <v>1800</v>
      </c>
      <c r="M17" s="14">
        <v>2000</v>
      </c>
      <c r="N17" s="14">
        <v>1600</v>
      </c>
      <c r="O17" s="14">
        <v>1500</v>
      </c>
      <c r="P17" s="14">
        <v>1200</v>
      </c>
      <c r="Q17" s="14">
        <v>950</v>
      </c>
      <c r="R17" s="14">
        <v>750</v>
      </c>
      <c r="S17" s="15">
        <v>1800</v>
      </c>
      <c r="T17" s="15">
        <v>1600</v>
      </c>
      <c r="U17" s="15">
        <v>1500</v>
      </c>
      <c r="V17" s="15">
        <v>1500</v>
      </c>
      <c r="W17" s="15">
        <v>2400</v>
      </c>
      <c r="X17" s="15">
        <v>1100</v>
      </c>
    </row>
    <row r="18" spans="1:24" x14ac:dyDescent="0.25">
      <c r="A18" s="4" t="s">
        <v>71</v>
      </c>
      <c r="B18" s="4" t="s">
        <v>72</v>
      </c>
      <c r="C18" s="12">
        <v>750</v>
      </c>
      <c r="D18" s="12">
        <v>750</v>
      </c>
      <c r="E18" s="12">
        <v>750</v>
      </c>
      <c r="F18" s="12">
        <v>750</v>
      </c>
      <c r="G18" s="12">
        <v>750</v>
      </c>
      <c r="H18" s="12">
        <v>750</v>
      </c>
      <c r="I18" s="12">
        <v>750</v>
      </c>
      <c r="J18" s="12">
        <v>750</v>
      </c>
      <c r="K18" s="12">
        <v>750</v>
      </c>
      <c r="L18" s="12">
        <v>750</v>
      </c>
      <c r="M18" s="12">
        <v>750</v>
      </c>
      <c r="N18" s="12">
        <v>750</v>
      </c>
      <c r="O18" s="12">
        <v>750</v>
      </c>
      <c r="P18" s="12">
        <v>750</v>
      </c>
      <c r="Q18" s="12">
        <v>750</v>
      </c>
      <c r="R18" s="21">
        <v>750</v>
      </c>
      <c r="S18" s="21">
        <v>750</v>
      </c>
      <c r="T18" s="12">
        <v>750</v>
      </c>
      <c r="U18" s="12">
        <v>750</v>
      </c>
      <c r="V18" s="12">
        <v>750</v>
      </c>
      <c r="W18" s="12">
        <v>750</v>
      </c>
      <c r="X18" s="12">
        <v>750</v>
      </c>
    </row>
    <row r="19" spans="1:24" x14ac:dyDescent="0.25">
      <c r="A19" s="4" t="s">
        <v>73</v>
      </c>
      <c r="B19" s="4" t="s">
        <v>74</v>
      </c>
      <c r="C19" s="12">
        <f t="shared" ref="C19:X19" si="5">C18/C17</f>
        <v>0.375</v>
      </c>
      <c r="D19" s="12">
        <f t="shared" si="5"/>
        <v>0.375</v>
      </c>
      <c r="E19" s="12">
        <f t="shared" si="5"/>
        <v>0.375</v>
      </c>
      <c r="F19" s="12">
        <f t="shared" si="5"/>
        <v>0.375</v>
      </c>
      <c r="G19" s="12">
        <f t="shared" si="5"/>
        <v>0.57692307692307687</v>
      </c>
      <c r="H19" s="12">
        <f t="shared" si="5"/>
        <v>0.57692307692307687</v>
      </c>
      <c r="I19" s="12">
        <f t="shared" si="5"/>
        <v>0.40540540540540543</v>
      </c>
      <c r="J19" s="12">
        <f t="shared" si="5"/>
        <v>0.78947368421052633</v>
      </c>
      <c r="K19" s="12">
        <f t="shared" si="5"/>
        <v>0.41666666666666669</v>
      </c>
      <c r="L19" s="12">
        <f t="shared" si="5"/>
        <v>0.41666666666666669</v>
      </c>
      <c r="M19" s="12">
        <f t="shared" si="5"/>
        <v>0.375</v>
      </c>
      <c r="N19" s="12">
        <f t="shared" si="5"/>
        <v>0.46875</v>
      </c>
      <c r="O19" s="12">
        <f t="shared" si="5"/>
        <v>0.5</v>
      </c>
      <c r="P19" s="12">
        <f t="shared" si="5"/>
        <v>0.625</v>
      </c>
      <c r="Q19" s="12">
        <f t="shared" si="5"/>
        <v>0.78947368421052633</v>
      </c>
      <c r="R19" s="12">
        <f t="shared" si="5"/>
        <v>1</v>
      </c>
      <c r="S19" s="13">
        <f t="shared" si="5"/>
        <v>0.41666666666666669</v>
      </c>
      <c r="T19" s="13">
        <f t="shared" si="5"/>
        <v>0.46875</v>
      </c>
      <c r="U19" s="13">
        <f t="shared" si="5"/>
        <v>0.5</v>
      </c>
      <c r="V19" s="13">
        <f t="shared" si="5"/>
        <v>0.5</v>
      </c>
      <c r="W19" s="13">
        <f t="shared" si="5"/>
        <v>0.3125</v>
      </c>
      <c r="X19" s="13">
        <f t="shared" si="5"/>
        <v>0.68181818181818177</v>
      </c>
    </row>
    <row r="20" spans="1:24" x14ac:dyDescent="0.25">
      <c r="A20" s="18" t="s">
        <v>66</v>
      </c>
      <c r="B20" s="4" t="s">
        <v>67</v>
      </c>
      <c r="C20" s="19">
        <f t="shared" ref="C20:X20" si="6">C8*C19</f>
        <v>60</v>
      </c>
      <c r="D20" s="19">
        <f t="shared" si="6"/>
        <v>60</v>
      </c>
      <c r="E20" s="19">
        <f t="shared" si="6"/>
        <v>60</v>
      </c>
      <c r="F20" s="19">
        <f t="shared" si="6"/>
        <v>60</v>
      </c>
      <c r="G20" s="19">
        <f t="shared" si="6"/>
        <v>34.615384615384613</v>
      </c>
      <c r="H20" s="19">
        <f t="shared" si="6"/>
        <v>34.615384615384613</v>
      </c>
      <c r="I20" s="19">
        <f t="shared" si="6"/>
        <v>64.86486486486487</v>
      </c>
      <c r="J20" s="19">
        <f t="shared" si="6"/>
        <v>47.368421052631582</v>
      </c>
      <c r="K20" s="19">
        <f t="shared" si="6"/>
        <v>25</v>
      </c>
      <c r="L20" s="19">
        <f t="shared" si="6"/>
        <v>25</v>
      </c>
      <c r="M20" s="19">
        <f t="shared" si="6"/>
        <v>45</v>
      </c>
      <c r="N20" s="19">
        <f t="shared" si="6"/>
        <v>28.125</v>
      </c>
      <c r="O20" s="19">
        <f t="shared" si="6"/>
        <v>30</v>
      </c>
      <c r="P20" s="19">
        <f t="shared" si="6"/>
        <v>75</v>
      </c>
      <c r="Q20" s="19">
        <f t="shared" si="6"/>
        <v>126.31578947368422</v>
      </c>
      <c r="R20" s="19">
        <f t="shared" si="6"/>
        <v>60</v>
      </c>
      <c r="S20" s="20">
        <f t="shared" si="6"/>
        <v>50</v>
      </c>
      <c r="T20" s="20">
        <f t="shared" si="6"/>
        <v>234.375</v>
      </c>
      <c r="U20" s="20">
        <f t="shared" si="6"/>
        <v>80</v>
      </c>
      <c r="V20" s="20">
        <f t="shared" si="6"/>
        <v>80</v>
      </c>
      <c r="W20" s="20">
        <f t="shared" si="6"/>
        <v>37.5</v>
      </c>
      <c r="X20" s="20">
        <f t="shared" si="6"/>
        <v>109.09090909090908</v>
      </c>
    </row>
    <row r="21" spans="1:24" x14ac:dyDescent="0.25">
      <c r="A21" s="4" t="s">
        <v>75</v>
      </c>
      <c r="B21" s="4" t="s">
        <v>76</v>
      </c>
      <c r="C21" s="19">
        <v>140</v>
      </c>
      <c r="D21" s="19">
        <v>140</v>
      </c>
      <c r="E21" s="19">
        <v>140</v>
      </c>
      <c r="F21" s="19">
        <v>140</v>
      </c>
      <c r="G21" s="19">
        <v>140</v>
      </c>
      <c r="H21" s="19">
        <v>140</v>
      </c>
      <c r="I21" s="19">
        <v>140</v>
      </c>
      <c r="J21" s="19">
        <v>140</v>
      </c>
      <c r="K21" s="19">
        <v>140</v>
      </c>
      <c r="L21" s="19">
        <v>140</v>
      </c>
      <c r="M21" s="19">
        <v>140</v>
      </c>
      <c r="N21" s="19">
        <v>140</v>
      </c>
      <c r="O21" s="19">
        <v>140</v>
      </c>
      <c r="P21" s="19">
        <v>140</v>
      </c>
      <c r="Q21" s="19">
        <v>140</v>
      </c>
      <c r="R21" s="19">
        <v>140</v>
      </c>
      <c r="S21" s="20">
        <v>140</v>
      </c>
      <c r="T21" s="20">
        <v>140</v>
      </c>
      <c r="U21" s="20">
        <v>140</v>
      </c>
      <c r="V21" s="20">
        <v>140</v>
      </c>
      <c r="W21" s="20">
        <v>140</v>
      </c>
      <c r="X21" s="20">
        <v>140</v>
      </c>
    </row>
    <row r="22" spans="1:24" x14ac:dyDescent="0.25">
      <c r="A22" s="4" t="s">
        <v>71</v>
      </c>
      <c r="B22" s="4" t="s">
        <v>72</v>
      </c>
      <c r="C22" s="19">
        <v>750</v>
      </c>
      <c r="D22" s="19">
        <v>750</v>
      </c>
      <c r="E22" s="19">
        <v>750</v>
      </c>
      <c r="F22" s="19">
        <v>750</v>
      </c>
      <c r="G22" s="19">
        <v>750</v>
      </c>
      <c r="H22" s="19">
        <v>750</v>
      </c>
      <c r="I22" s="19">
        <v>750</v>
      </c>
      <c r="J22" s="19">
        <v>750</v>
      </c>
      <c r="K22" s="19">
        <v>750</v>
      </c>
      <c r="L22" s="19">
        <v>750</v>
      </c>
      <c r="M22" s="19">
        <v>750</v>
      </c>
      <c r="N22" s="19">
        <v>750</v>
      </c>
      <c r="O22" s="19">
        <v>750</v>
      </c>
      <c r="P22" s="19">
        <v>750</v>
      </c>
      <c r="Q22" s="19">
        <v>750</v>
      </c>
      <c r="R22" s="19">
        <v>750</v>
      </c>
      <c r="S22" s="19">
        <v>750</v>
      </c>
      <c r="T22" s="19">
        <v>750</v>
      </c>
      <c r="U22" s="19">
        <v>750</v>
      </c>
      <c r="V22" s="19">
        <v>750</v>
      </c>
      <c r="W22" s="19">
        <v>750</v>
      </c>
      <c r="X22" s="19">
        <v>750</v>
      </c>
    </row>
    <row r="23" spans="1:24" x14ac:dyDescent="0.25">
      <c r="A23" s="4" t="s">
        <v>73</v>
      </c>
      <c r="B23" s="4" t="s">
        <v>77</v>
      </c>
      <c r="C23" s="19">
        <f t="shared" ref="C23:X23" si="7">C22/C21</f>
        <v>5.3571428571428568</v>
      </c>
      <c r="D23" s="19">
        <f t="shared" si="7"/>
        <v>5.3571428571428568</v>
      </c>
      <c r="E23" s="19">
        <f t="shared" si="7"/>
        <v>5.3571428571428568</v>
      </c>
      <c r="F23" s="19">
        <f t="shared" si="7"/>
        <v>5.3571428571428568</v>
      </c>
      <c r="G23" s="19">
        <f t="shared" si="7"/>
        <v>5.3571428571428568</v>
      </c>
      <c r="H23" s="19">
        <f t="shared" si="7"/>
        <v>5.3571428571428568</v>
      </c>
      <c r="I23" s="19">
        <f t="shared" si="7"/>
        <v>5.3571428571428568</v>
      </c>
      <c r="J23" s="19">
        <f t="shared" si="7"/>
        <v>5.3571428571428568</v>
      </c>
      <c r="K23" s="19">
        <f t="shared" si="7"/>
        <v>5.3571428571428568</v>
      </c>
      <c r="L23" s="19">
        <f t="shared" si="7"/>
        <v>5.3571428571428568</v>
      </c>
      <c r="M23" s="19">
        <f t="shared" si="7"/>
        <v>5.3571428571428568</v>
      </c>
      <c r="N23" s="19">
        <f t="shared" si="7"/>
        <v>5.3571428571428568</v>
      </c>
      <c r="O23" s="19">
        <f t="shared" si="7"/>
        <v>5.3571428571428568</v>
      </c>
      <c r="P23" s="19">
        <f t="shared" si="7"/>
        <v>5.3571428571428568</v>
      </c>
      <c r="Q23" s="19">
        <f t="shared" si="7"/>
        <v>5.3571428571428568</v>
      </c>
      <c r="R23" s="19">
        <f t="shared" si="7"/>
        <v>5.3571428571428568</v>
      </c>
      <c r="S23" s="20">
        <f t="shared" si="7"/>
        <v>5.3571428571428568</v>
      </c>
      <c r="T23" s="20">
        <f t="shared" si="7"/>
        <v>5.3571428571428568</v>
      </c>
      <c r="U23" s="20">
        <f t="shared" si="7"/>
        <v>5.3571428571428568</v>
      </c>
      <c r="V23" s="20">
        <f t="shared" si="7"/>
        <v>5.3571428571428568</v>
      </c>
      <c r="W23" s="20">
        <f t="shared" si="7"/>
        <v>5.3571428571428568</v>
      </c>
      <c r="X23" s="20">
        <f t="shared" si="7"/>
        <v>5.3571428571428568</v>
      </c>
    </row>
    <row r="24" spans="1:24" x14ac:dyDescent="0.25">
      <c r="A24" s="18" t="s">
        <v>66</v>
      </c>
      <c r="B24" s="4" t="s">
        <v>67</v>
      </c>
      <c r="C24" s="19">
        <f t="shared" ref="C24:X24" si="8">C23*C12</f>
        <v>95.96473074987415</v>
      </c>
      <c r="D24" s="19">
        <f t="shared" si="8"/>
        <v>91.486376648213366</v>
      </c>
      <c r="E24" s="19">
        <f t="shared" si="8"/>
        <v>95.96473074987415</v>
      </c>
      <c r="F24" s="19">
        <f t="shared" si="8"/>
        <v>91.486376648213366</v>
      </c>
      <c r="G24" s="19">
        <f t="shared" si="8"/>
        <v>71.973548062405612</v>
      </c>
      <c r="H24" s="19">
        <f t="shared" si="8"/>
        <v>71.973548062405612</v>
      </c>
      <c r="I24" s="19">
        <f t="shared" si="8"/>
        <v>113.60835430296929</v>
      </c>
      <c r="J24" s="19">
        <f t="shared" si="8"/>
        <v>71.005221439355793</v>
      </c>
      <c r="K24" s="19">
        <f t="shared" si="8"/>
        <v>73.838953195772504</v>
      </c>
      <c r="L24" s="19">
        <f t="shared" si="8"/>
        <v>73.838953195772504</v>
      </c>
      <c r="M24" s="19">
        <f t="shared" si="8"/>
        <v>97.804227478610954</v>
      </c>
      <c r="N24" s="19">
        <f t="shared" si="8"/>
        <v>87.440865626572716</v>
      </c>
      <c r="O24" s="19">
        <f t="shared" si="8"/>
        <v>102.66205334675388</v>
      </c>
      <c r="P24" s="19">
        <f t="shared" si="8"/>
        <v>115.29240060392549</v>
      </c>
      <c r="Q24" s="19">
        <f t="shared" si="8"/>
        <v>76.861600402616986</v>
      </c>
      <c r="R24" s="19">
        <f t="shared" si="8"/>
        <v>86.631227981882233</v>
      </c>
      <c r="S24" s="20">
        <f t="shared" si="8"/>
        <v>97.804227478610954</v>
      </c>
      <c r="T24" s="20">
        <f t="shared" si="8"/>
        <v>99.85530951182686</v>
      </c>
      <c r="U24" s="20">
        <f t="shared" si="8"/>
        <v>95.861097131353759</v>
      </c>
      <c r="V24" s="20">
        <f t="shared" si="8"/>
        <v>95.861097131353759</v>
      </c>
      <c r="W24" s="20">
        <f t="shared" si="8"/>
        <v>102.62966784096623</v>
      </c>
      <c r="X24" s="20">
        <f t="shared" si="8"/>
        <v>86.015903371917446</v>
      </c>
    </row>
    <row r="25" spans="1:24" x14ac:dyDescent="0.25">
      <c r="A25" s="4" t="s">
        <v>78</v>
      </c>
      <c r="B25" s="4" t="s">
        <v>79</v>
      </c>
      <c r="C25" s="19">
        <v>0.65</v>
      </c>
      <c r="D25" s="19">
        <v>0.65</v>
      </c>
      <c r="E25" s="19">
        <v>0.65</v>
      </c>
      <c r="F25" s="19">
        <v>0.65</v>
      </c>
      <c r="G25" s="19">
        <v>0.65</v>
      </c>
      <c r="H25" s="19">
        <v>0.65</v>
      </c>
      <c r="I25" s="19">
        <v>0.65</v>
      </c>
      <c r="J25" s="19">
        <v>0.65</v>
      </c>
      <c r="K25" s="19">
        <v>0.65</v>
      </c>
      <c r="L25" s="19">
        <v>0.65</v>
      </c>
      <c r="M25" s="19">
        <v>0.65</v>
      </c>
      <c r="N25" s="19">
        <v>0.65</v>
      </c>
      <c r="O25" s="19">
        <v>0.65</v>
      </c>
      <c r="P25" s="19">
        <v>0.65</v>
      </c>
      <c r="Q25" s="19">
        <v>0.65</v>
      </c>
      <c r="R25" s="19">
        <v>0.65</v>
      </c>
      <c r="S25" s="20">
        <v>0.65</v>
      </c>
      <c r="T25" s="20">
        <v>0.65</v>
      </c>
      <c r="U25" s="20">
        <v>0.65</v>
      </c>
      <c r="V25" s="20">
        <v>0.65</v>
      </c>
      <c r="W25" s="20">
        <v>0.65</v>
      </c>
      <c r="X25" s="20">
        <v>0.65</v>
      </c>
    </row>
    <row r="26" spans="1:24" x14ac:dyDescent="0.25">
      <c r="A26" s="4" t="s">
        <v>80</v>
      </c>
      <c r="B26" s="4" t="s">
        <v>81</v>
      </c>
      <c r="C26" s="19">
        <v>9</v>
      </c>
      <c r="D26" s="19">
        <v>9</v>
      </c>
      <c r="E26" s="19">
        <v>9</v>
      </c>
      <c r="F26" s="19">
        <v>9</v>
      </c>
      <c r="G26" s="19">
        <v>9</v>
      </c>
      <c r="H26" s="19">
        <v>9</v>
      </c>
      <c r="I26" s="19">
        <v>9</v>
      </c>
      <c r="J26" s="19">
        <v>9</v>
      </c>
      <c r="K26" s="19">
        <v>9</v>
      </c>
      <c r="L26" s="19">
        <v>9</v>
      </c>
      <c r="M26" s="19">
        <v>9</v>
      </c>
      <c r="N26" s="19">
        <v>9</v>
      </c>
      <c r="O26" s="19">
        <v>9</v>
      </c>
      <c r="P26" s="19">
        <v>9</v>
      </c>
      <c r="Q26" s="19">
        <v>9</v>
      </c>
      <c r="R26" s="19">
        <v>9</v>
      </c>
      <c r="S26" s="20">
        <v>9</v>
      </c>
      <c r="T26" s="20">
        <v>9</v>
      </c>
      <c r="U26" s="20">
        <v>9</v>
      </c>
      <c r="V26" s="20">
        <v>9</v>
      </c>
      <c r="W26" s="20">
        <v>9</v>
      </c>
      <c r="X26" s="20">
        <v>9</v>
      </c>
    </row>
    <row r="27" spans="1:24" x14ac:dyDescent="0.25">
      <c r="A27" s="4" t="s">
        <v>82</v>
      </c>
      <c r="B27" s="4" t="s">
        <v>65</v>
      </c>
      <c r="C27" s="19">
        <f t="shared" ref="C27:X27" si="9">C26*C25</f>
        <v>5.8500000000000005</v>
      </c>
      <c r="D27" s="19">
        <f t="shared" si="9"/>
        <v>5.8500000000000005</v>
      </c>
      <c r="E27" s="19">
        <f t="shared" si="9"/>
        <v>5.8500000000000005</v>
      </c>
      <c r="F27" s="19">
        <f t="shared" si="9"/>
        <v>5.8500000000000005</v>
      </c>
      <c r="G27" s="19">
        <f t="shared" si="9"/>
        <v>5.8500000000000005</v>
      </c>
      <c r="H27" s="19">
        <f t="shared" si="9"/>
        <v>5.8500000000000005</v>
      </c>
      <c r="I27" s="19">
        <f t="shared" si="9"/>
        <v>5.8500000000000005</v>
      </c>
      <c r="J27" s="19">
        <f t="shared" si="9"/>
        <v>5.8500000000000005</v>
      </c>
      <c r="K27" s="19">
        <f t="shared" si="9"/>
        <v>5.8500000000000005</v>
      </c>
      <c r="L27" s="19">
        <f t="shared" si="9"/>
        <v>5.8500000000000005</v>
      </c>
      <c r="M27" s="19">
        <f t="shared" si="9"/>
        <v>5.8500000000000005</v>
      </c>
      <c r="N27" s="19">
        <f t="shared" si="9"/>
        <v>5.8500000000000005</v>
      </c>
      <c r="O27" s="19">
        <f t="shared" si="9"/>
        <v>5.8500000000000005</v>
      </c>
      <c r="P27" s="19">
        <f t="shared" si="9"/>
        <v>5.8500000000000005</v>
      </c>
      <c r="Q27" s="19">
        <f t="shared" si="9"/>
        <v>5.8500000000000005</v>
      </c>
      <c r="R27" s="19">
        <f t="shared" si="9"/>
        <v>5.8500000000000005</v>
      </c>
      <c r="S27" s="20">
        <f t="shared" si="9"/>
        <v>5.8500000000000005</v>
      </c>
      <c r="T27" s="20">
        <f t="shared" si="9"/>
        <v>5.8500000000000005</v>
      </c>
      <c r="U27" s="20">
        <f t="shared" si="9"/>
        <v>5.8500000000000005</v>
      </c>
      <c r="V27" s="20">
        <f t="shared" si="9"/>
        <v>5.8500000000000005</v>
      </c>
      <c r="W27" s="20">
        <f t="shared" si="9"/>
        <v>5.8500000000000005</v>
      </c>
      <c r="X27" s="20">
        <f t="shared" si="9"/>
        <v>5.8500000000000005</v>
      </c>
    </row>
    <row r="28" spans="1:24" x14ac:dyDescent="0.25">
      <c r="A28" s="18" t="s">
        <v>66</v>
      </c>
      <c r="B28" s="4" t="s">
        <v>67</v>
      </c>
      <c r="C28" s="19">
        <f t="shared" ref="C28:X28" si="10">C27*C12</f>
        <v>104.79348597886259</v>
      </c>
      <c r="D28" s="19">
        <f t="shared" si="10"/>
        <v>99.903123299849014</v>
      </c>
      <c r="E28" s="19">
        <f t="shared" si="10"/>
        <v>104.79348597886259</v>
      </c>
      <c r="F28" s="19">
        <f t="shared" si="10"/>
        <v>99.903123299849014</v>
      </c>
      <c r="G28" s="19">
        <f t="shared" si="10"/>
        <v>78.595114484146933</v>
      </c>
      <c r="H28" s="19">
        <f t="shared" si="10"/>
        <v>78.595114484146933</v>
      </c>
      <c r="I28" s="19">
        <f t="shared" si="10"/>
        <v>124.06032289884249</v>
      </c>
      <c r="J28" s="19">
        <f t="shared" si="10"/>
        <v>77.537701811776543</v>
      </c>
      <c r="K28" s="19">
        <f t="shared" si="10"/>
        <v>80.632136889783595</v>
      </c>
      <c r="L28" s="19">
        <f t="shared" si="10"/>
        <v>80.632136889783595</v>
      </c>
      <c r="M28" s="19">
        <f t="shared" si="10"/>
        <v>106.80221640664318</v>
      </c>
      <c r="N28" s="19">
        <f t="shared" si="10"/>
        <v>95.485425264217426</v>
      </c>
      <c r="O28" s="19">
        <f t="shared" si="10"/>
        <v>112.10696225465526</v>
      </c>
      <c r="P28" s="19">
        <f t="shared" si="10"/>
        <v>125.89930145948665</v>
      </c>
      <c r="Q28" s="19">
        <f t="shared" si="10"/>
        <v>83.932867639657772</v>
      </c>
      <c r="R28" s="19">
        <f t="shared" si="10"/>
        <v>94.601300956215411</v>
      </c>
      <c r="S28" s="20">
        <f t="shared" si="10"/>
        <v>106.80221640664318</v>
      </c>
      <c r="T28" s="20">
        <f t="shared" si="10"/>
        <v>109.04199798691495</v>
      </c>
      <c r="U28" s="20">
        <f t="shared" si="10"/>
        <v>104.68031806743834</v>
      </c>
      <c r="V28" s="20">
        <f t="shared" si="10"/>
        <v>104.68031806743834</v>
      </c>
      <c r="W28" s="20">
        <f t="shared" si="10"/>
        <v>112.07159728233515</v>
      </c>
      <c r="X28" s="20">
        <f t="shared" si="10"/>
        <v>93.929366482133872</v>
      </c>
    </row>
    <row r="29" spans="1:24" x14ac:dyDescent="0.25">
      <c r="A29" s="4" t="s">
        <v>83</v>
      </c>
      <c r="B29" s="4" t="s">
        <v>79</v>
      </c>
      <c r="C29" s="12">
        <v>0.35</v>
      </c>
      <c r="D29" s="12">
        <v>0.35</v>
      </c>
      <c r="E29" s="12">
        <v>0.35</v>
      </c>
      <c r="F29" s="12">
        <v>0.35</v>
      </c>
      <c r="G29" s="12">
        <v>0.35</v>
      </c>
      <c r="H29" s="12">
        <v>0.35</v>
      </c>
      <c r="I29" s="12">
        <v>0.35</v>
      </c>
      <c r="J29" s="12">
        <v>0.35</v>
      </c>
      <c r="K29" s="12">
        <v>0.35</v>
      </c>
      <c r="L29" s="12">
        <v>0.35</v>
      </c>
      <c r="M29" s="12">
        <v>0.35</v>
      </c>
      <c r="N29" s="12">
        <v>0.35</v>
      </c>
      <c r="O29" s="12">
        <v>0.35</v>
      </c>
      <c r="P29" s="12">
        <v>0.35</v>
      </c>
      <c r="Q29" s="12">
        <v>0.35</v>
      </c>
      <c r="R29" s="12">
        <v>0.35</v>
      </c>
      <c r="S29" s="13">
        <v>0.35</v>
      </c>
      <c r="T29" s="13">
        <v>0.35</v>
      </c>
      <c r="U29" s="13">
        <v>0.35</v>
      </c>
      <c r="V29" s="13">
        <v>0.35</v>
      </c>
      <c r="W29" s="13">
        <v>0.35</v>
      </c>
      <c r="X29" s="13">
        <v>0.35</v>
      </c>
    </row>
    <row r="30" spans="1:24" x14ac:dyDescent="0.25">
      <c r="A30" s="4" t="s">
        <v>80</v>
      </c>
      <c r="B30" s="4" t="s">
        <v>81</v>
      </c>
      <c r="C30" s="12">
        <v>9</v>
      </c>
      <c r="D30" s="12">
        <v>9</v>
      </c>
      <c r="E30" s="12">
        <v>9</v>
      </c>
      <c r="F30" s="12">
        <v>9</v>
      </c>
      <c r="G30" s="12">
        <v>9</v>
      </c>
      <c r="H30" s="12">
        <v>9</v>
      </c>
      <c r="I30" s="12">
        <v>9</v>
      </c>
      <c r="J30" s="12">
        <v>9</v>
      </c>
      <c r="K30" s="12">
        <v>9</v>
      </c>
      <c r="L30" s="12">
        <v>9</v>
      </c>
      <c r="M30" s="12">
        <v>9</v>
      </c>
      <c r="N30" s="12">
        <v>9</v>
      </c>
      <c r="O30" s="12">
        <v>9</v>
      </c>
      <c r="P30" s="12">
        <v>9</v>
      </c>
      <c r="Q30" s="12">
        <v>9</v>
      </c>
      <c r="R30" s="12">
        <v>9</v>
      </c>
      <c r="S30" s="13">
        <v>9</v>
      </c>
      <c r="T30" s="13">
        <v>9</v>
      </c>
      <c r="U30" s="13">
        <v>9</v>
      </c>
      <c r="V30" s="13">
        <v>9</v>
      </c>
      <c r="W30" s="13">
        <v>9</v>
      </c>
      <c r="X30" s="13">
        <v>9</v>
      </c>
    </row>
    <row r="31" spans="1:24" x14ac:dyDescent="0.25">
      <c r="A31" s="4" t="s">
        <v>82</v>
      </c>
      <c r="B31" s="4" t="s">
        <v>65</v>
      </c>
      <c r="C31" s="12">
        <f t="shared" ref="C31:X31" si="11">C30*C29</f>
        <v>3.15</v>
      </c>
      <c r="D31" s="12">
        <f t="shared" si="11"/>
        <v>3.15</v>
      </c>
      <c r="E31" s="12">
        <f t="shared" si="11"/>
        <v>3.15</v>
      </c>
      <c r="F31" s="12">
        <f t="shared" si="11"/>
        <v>3.15</v>
      </c>
      <c r="G31" s="12">
        <f t="shared" si="11"/>
        <v>3.15</v>
      </c>
      <c r="H31" s="12">
        <f t="shared" si="11"/>
        <v>3.15</v>
      </c>
      <c r="I31" s="12">
        <f t="shared" si="11"/>
        <v>3.15</v>
      </c>
      <c r="J31" s="12">
        <f t="shared" si="11"/>
        <v>3.15</v>
      </c>
      <c r="K31" s="12">
        <f t="shared" si="11"/>
        <v>3.15</v>
      </c>
      <c r="L31" s="12">
        <f t="shared" si="11"/>
        <v>3.15</v>
      </c>
      <c r="M31" s="12">
        <f t="shared" si="11"/>
        <v>3.15</v>
      </c>
      <c r="N31" s="12">
        <f t="shared" si="11"/>
        <v>3.15</v>
      </c>
      <c r="O31" s="12">
        <f t="shared" si="11"/>
        <v>3.15</v>
      </c>
      <c r="P31" s="12">
        <f t="shared" si="11"/>
        <v>3.15</v>
      </c>
      <c r="Q31" s="12">
        <f t="shared" si="11"/>
        <v>3.15</v>
      </c>
      <c r="R31" s="12">
        <f t="shared" si="11"/>
        <v>3.15</v>
      </c>
      <c r="S31" s="13">
        <f t="shared" si="11"/>
        <v>3.15</v>
      </c>
      <c r="T31" s="13">
        <f t="shared" si="11"/>
        <v>3.15</v>
      </c>
      <c r="U31" s="13">
        <f t="shared" si="11"/>
        <v>3.15</v>
      </c>
      <c r="V31" s="13">
        <f t="shared" si="11"/>
        <v>3.15</v>
      </c>
      <c r="W31" s="13">
        <f t="shared" si="11"/>
        <v>3.15</v>
      </c>
      <c r="X31" s="13">
        <f t="shared" si="11"/>
        <v>3.15</v>
      </c>
    </row>
    <row r="32" spans="1:24" x14ac:dyDescent="0.25">
      <c r="A32" s="18" t="s">
        <v>66</v>
      </c>
      <c r="B32" s="4" t="s">
        <v>67</v>
      </c>
      <c r="C32" s="19">
        <f t="shared" ref="C32:X32" si="12">C31*C12</f>
        <v>56.427261680926001</v>
      </c>
      <c r="D32" s="19">
        <f t="shared" si="12"/>
        <v>53.793989469149466</v>
      </c>
      <c r="E32" s="19">
        <f t="shared" si="12"/>
        <v>56.427261680926001</v>
      </c>
      <c r="F32" s="19">
        <f t="shared" si="12"/>
        <v>53.793989469149466</v>
      </c>
      <c r="G32" s="19">
        <f t="shared" si="12"/>
        <v>42.320446260694496</v>
      </c>
      <c r="H32" s="19">
        <f t="shared" si="12"/>
        <v>42.320446260694496</v>
      </c>
      <c r="I32" s="19">
        <f t="shared" si="12"/>
        <v>66.801712330145946</v>
      </c>
      <c r="J32" s="19">
        <f t="shared" si="12"/>
        <v>41.751070206341211</v>
      </c>
      <c r="K32" s="19">
        <f t="shared" si="12"/>
        <v>43.417304479114236</v>
      </c>
      <c r="L32" s="19">
        <f t="shared" si="12"/>
        <v>43.417304479114236</v>
      </c>
      <c r="M32" s="19">
        <f t="shared" si="12"/>
        <v>57.508885757423243</v>
      </c>
      <c r="N32" s="19">
        <f t="shared" si="12"/>
        <v>51.415228988424765</v>
      </c>
      <c r="O32" s="19">
        <f t="shared" si="12"/>
        <v>60.365287367891284</v>
      </c>
      <c r="P32" s="19">
        <f t="shared" si="12"/>
        <v>67.791931555108192</v>
      </c>
      <c r="Q32" s="19">
        <f t="shared" si="12"/>
        <v>45.194621036738795</v>
      </c>
      <c r="R32" s="19">
        <f t="shared" si="12"/>
        <v>50.939162053346756</v>
      </c>
      <c r="S32" s="20">
        <f t="shared" si="12"/>
        <v>57.508885757423243</v>
      </c>
      <c r="T32" s="20">
        <f t="shared" si="12"/>
        <v>58.714921992954196</v>
      </c>
      <c r="U32" s="20">
        <f t="shared" si="12"/>
        <v>56.366325113236016</v>
      </c>
      <c r="V32" s="20">
        <f t="shared" si="12"/>
        <v>56.366325113236016</v>
      </c>
      <c r="W32" s="20">
        <f t="shared" si="12"/>
        <v>60.346244690488149</v>
      </c>
      <c r="X32" s="20">
        <f t="shared" si="12"/>
        <v>50.577351182687458</v>
      </c>
    </row>
    <row r="33" spans="1:24" x14ac:dyDescent="0.25">
      <c r="A33" s="4" t="s">
        <v>84</v>
      </c>
      <c r="B33" s="4" t="s">
        <v>85</v>
      </c>
      <c r="C33" s="12">
        <v>2.8</v>
      </c>
      <c r="D33" s="12">
        <v>2</v>
      </c>
      <c r="E33" s="12">
        <v>2.8</v>
      </c>
      <c r="F33" s="12">
        <v>2</v>
      </c>
      <c r="G33" s="12">
        <v>4.1500000000000004</v>
      </c>
      <c r="H33" s="12">
        <v>4.1500000000000004</v>
      </c>
      <c r="I33" s="12">
        <v>2.8</v>
      </c>
      <c r="J33" s="12">
        <v>4.1500000000000004</v>
      </c>
      <c r="K33" s="12">
        <v>4.1500000000000004</v>
      </c>
      <c r="L33" s="12">
        <v>4.1500000000000004</v>
      </c>
      <c r="M33" s="12">
        <v>4.1500000000000004</v>
      </c>
      <c r="N33" s="12">
        <v>4.1500000000000004</v>
      </c>
      <c r="O33" s="12">
        <v>4.1500000000000004</v>
      </c>
      <c r="P33" s="12">
        <v>4.1500000000000004</v>
      </c>
      <c r="Q33" s="12">
        <v>2.8</v>
      </c>
      <c r="R33" s="12">
        <v>4.1500000000000004</v>
      </c>
      <c r="S33" s="13">
        <v>4.1500000000000004</v>
      </c>
      <c r="T33" s="13">
        <v>1.7</v>
      </c>
      <c r="U33" s="13">
        <v>2.8</v>
      </c>
      <c r="V33" s="13">
        <v>2.8</v>
      </c>
      <c r="W33" s="13">
        <v>2.8</v>
      </c>
      <c r="X33" s="13">
        <v>2.8</v>
      </c>
    </row>
    <row r="34" spans="1:24" x14ac:dyDescent="0.25">
      <c r="A34" s="18" t="s">
        <v>66</v>
      </c>
      <c r="B34" s="4" t="s">
        <v>67</v>
      </c>
      <c r="C34" s="19">
        <f t="shared" ref="C34:X34" si="13">C33*C8*1.005</f>
        <v>450.23999999999995</v>
      </c>
      <c r="D34" s="19">
        <f t="shared" si="13"/>
        <v>321.59999999999997</v>
      </c>
      <c r="E34" s="19">
        <f t="shared" si="13"/>
        <v>450.23999999999995</v>
      </c>
      <c r="F34" s="19">
        <f t="shared" si="13"/>
        <v>321.59999999999997</v>
      </c>
      <c r="G34" s="19">
        <f t="shared" si="13"/>
        <v>250.245</v>
      </c>
      <c r="H34" s="19">
        <f t="shared" si="13"/>
        <v>250.245</v>
      </c>
      <c r="I34" s="19">
        <f t="shared" si="13"/>
        <v>450.23999999999995</v>
      </c>
      <c r="J34" s="19">
        <f t="shared" si="13"/>
        <v>250.245</v>
      </c>
      <c r="K34" s="19">
        <f t="shared" si="13"/>
        <v>250.245</v>
      </c>
      <c r="L34" s="19">
        <f t="shared" si="13"/>
        <v>250.245</v>
      </c>
      <c r="M34" s="19">
        <f t="shared" si="13"/>
        <v>500.49</v>
      </c>
      <c r="N34" s="19">
        <f t="shared" si="13"/>
        <v>250.245</v>
      </c>
      <c r="O34" s="19">
        <f t="shared" si="13"/>
        <v>250.245</v>
      </c>
      <c r="P34" s="19">
        <f t="shared" si="13"/>
        <v>500.49</v>
      </c>
      <c r="Q34" s="19">
        <f t="shared" si="13"/>
        <v>450.23999999999995</v>
      </c>
      <c r="R34" s="19">
        <f t="shared" si="13"/>
        <v>250.245</v>
      </c>
      <c r="S34" s="20">
        <f t="shared" si="13"/>
        <v>500.49</v>
      </c>
      <c r="T34" s="20">
        <f t="shared" si="13"/>
        <v>854.24999999999989</v>
      </c>
      <c r="U34" s="20">
        <f t="shared" si="13"/>
        <v>450.23999999999995</v>
      </c>
      <c r="V34" s="20">
        <f t="shared" si="13"/>
        <v>450.23999999999995</v>
      </c>
      <c r="W34" s="20">
        <f t="shared" si="13"/>
        <v>337.67999999999995</v>
      </c>
      <c r="X34" s="20">
        <f t="shared" si="13"/>
        <v>450.23999999999995</v>
      </c>
    </row>
    <row r="35" spans="1:24" x14ac:dyDescent="0.25">
      <c r="A35" s="4" t="s">
        <v>86</v>
      </c>
      <c r="B35" s="4" t="s">
        <v>85</v>
      </c>
      <c r="C35" s="12">
        <v>0.6</v>
      </c>
      <c r="D35" s="12">
        <v>0.6</v>
      </c>
      <c r="E35" s="12">
        <v>0.6</v>
      </c>
      <c r="F35" s="12">
        <v>0.6</v>
      </c>
      <c r="G35" s="12">
        <v>0.6</v>
      </c>
      <c r="H35" s="12">
        <v>0.6</v>
      </c>
      <c r="I35" s="12">
        <v>0.6</v>
      </c>
      <c r="J35" s="12">
        <v>0.6</v>
      </c>
      <c r="K35" s="12">
        <v>0.6</v>
      </c>
      <c r="L35" s="12">
        <v>0.6</v>
      </c>
      <c r="M35" s="12">
        <v>0.6</v>
      </c>
      <c r="N35" s="12">
        <v>0.6</v>
      </c>
      <c r="O35" s="12">
        <v>0.6</v>
      </c>
      <c r="P35" s="12">
        <v>0.6</v>
      </c>
      <c r="Q35" s="12">
        <v>0.6</v>
      </c>
      <c r="R35" s="12">
        <v>0.6</v>
      </c>
      <c r="S35" s="13">
        <v>0.6</v>
      </c>
      <c r="T35" s="13">
        <v>0.6</v>
      </c>
      <c r="U35" s="13">
        <v>0.6</v>
      </c>
      <c r="V35" s="13">
        <v>0.6</v>
      </c>
      <c r="W35" s="13">
        <v>0.6</v>
      </c>
      <c r="X35" s="13">
        <v>0.6</v>
      </c>
    </row>
    <row r="36" spans="1:24" x14ac:dyDescent="0.25">
      <c r="A36" s="18" t="s">
        <v>66</v>
      </c>
      <c r="B36" s="4" t="s">
        <v>67</v>
      </c>
      <c r="C36" s="19">
        <f t="shared" ref="C36:X36" si="14">C35*C8*1.005</f>
        <v>96.47999999999999</v>
      </c>
      <c r="D36" s="19">
        <f t="shared" si="14"/>
        <v>96.47999999999999</v>
      </c>
      <c r="E36" s="19">
        <f t="shared" si="14"/>
        <v>96.47999999999999</v>
      </c>
      <c r="F36" s="19">
        <f t="shared" si="14"/>
        <v>96.47999999999999</v>
      </c>
      <c r="G36" s="19">
        <f t="shared" si="14"/>
        <v>36.179999999999993</v>
      </c>
      <c r="H36" s="19">
        <f t="shared" si="14"/>
        <v>36.179999999999993</v>
      </c>
      <c r="I36" s="19">
        <f t="shared" si="14"/>
        <v>96.47999999999999</v>
      </c>
      <c r="J36" s="19">
        <f t="shared" si="14"/>
        <v>36.179999999999993</v>
      </c>
      <c r="K36" s="19">
        <f t="shared" si="14"/>
        <v>36.179999999999993</v>
      </c>
      <c r="L36" s="19">
        <f t="shared" si="14"/>
        <v>36.179999999999993</v>
      </c>
      <c r="M36" s="19">
        <f t="shared" si="14"/>
        <v>72.359999999999985</v>
      </c>
      <c r="N36" s="19">
        <f t="shared" si="14"/>
        <v>36.179999999999993</v>
      </c>
      <c r="O36" s="19">
        <f t="shared" si="14"/>
        <v>36.179999999999993</v>
      </c>
      <c r="P36" s="19">
        <f t="shared" si="14"/>
        <v>72.359999999999985</v>
      </c>
      <c r="Q36" s="19">
        <f t="shared" si="14"/>
        <v>96.47999999999999</v>
      </c>
      <c r="R36" s="19">
        <f t="shared" si="14"/>
        <v>36.179999999999993</v>
      </c>
      <c r="S36" s="20">
        <f t="shared" si="14"/>
        <v>72.359999999999985</v>
      </c>
      <c r="T36" s="20">
        <f t="shared" si="14"/>
        <v>301.49999999999994</v>
      </c>
      <c r="U36" s="20">
        <f t="shared" si="14"/>
        <v>96.47999999999999</v>
      </c>
      <c r="V36" s="20">
        <f t="shared" si="14"/>
        <v>96.47999999999999</v>
      </c>
      <c r="W36" s="20">
        <f t="shared" si="14"/>
        <v>72.359999999999985</v>
      </c>
      <c r="X36" s="20">
        <f t="shared" si="14"/>
        <v>96.47999999999999</v>
      </c>
    </row>
    <row r="37" spans="1:24" x14ac:dyDescent="0.25">
      <c r="A37" s="4" t="s">
        <v>87</v>
      </c>
      <c r="B37" s="4" t="s">
        <v>85</v>
      </c>
      <c r="C37" s="12">
        <v>9</v>
      </c>
      <c r="D37" s="12">
        <v>9</v>
      </c>
      <c r="E37" s="12">
        <v>9</v>
      </c>
      <c r="F37" s="12">
        <v>9</v>
      </c>
      <c r="G37" s="12">
        <v>12</v>
      </c>
      <c r="H37" s="12">
        <v>12</v>
      </c>
      <c r="I37" s="12">
        <v>9</v>
      </c>
      <c r="J37" s="12">
        <v>12</v>
      </c>
      <c r="K37" s="12">
        <v>12</v>
      </c>
      <c r="L37" s="12">
        <v>12</v>
      </c>
      <c r="M37" s="12">
        <v>9</v>
      </c>
      <c r="N37" s="12">
        <v>9</v>
      </c>
      <c r="O37" s="12">
        <v>9</v>
      </c>
      <c r="P37" s="12">
        <v>9</v>
      </c>
      <c r="Q37" s="12">
        <v>9</v>
      </c>
      <c r="R37" s="12">
        <v>9</v>
      </c>
      <c r="S37" s="12">
        <v>9</v>
      </c>
      <c r="T37" s="12">
        <v>9</v>
      </c>
      <c r="U37" s="12">
        <v>9</v>
      </c>
      <c r="V37" s="12">
        <v>9</v>
      </c>
      <c r="W37" s="12">
        <v>9</v>
      </c>
      <c r="X37" s="12">
        <v>9</v>
      </c>
    </row>
    <row r="38" spans="1:24" x14ac:dyDescent="0.25">
      <c r="A38" s="4" t="s">
        <v>88</v>
      </c>
      <c r="B38" s="4" t="s">
        <v>89</v>
      </c>
      <c r="C38" s="12">
        <v>12</v>
      </c>
      <c r="D38" s="12">
        <v>12</v>
      </c>
      <c r="E38" s="12">
        <v>12</v>
      </c>
      <c r="F38" s="12">
        <v>12</v>
      </c>
      <c r="G38" s="12">
        <v>6</v>
      </c>
      <c r="H38" s="12">
        <v>6</v>
      </c>
      <c r="I38" s="12">
        <v>16</v>
      </c>
      <c r="J38" s="12">
        <v>6</v>
      </c>
      <c r="K38" s="12">
        <v>6</v>
      </c>
      <c r="L38" s="12">
        <v>6</v>
      </c>
      <c r="M38" s="12">
        <v>12</v>
      </c>
      <c r="N38" s="12">
        <v>6</v>
      </c>
      <c r="O38" s="12">
        <v>6</v>
      </c>
      <c r="P38" s="12">
        <v>16</v>
      </c>
      <c r="Q38" s="12">
        <v>16</v>
      </c>
      <c r="R38" s="12">
        <v>6</v>
      </c>
      <c r="S38" s="13">
        <v>12</v>
      </c>
      <c r="T38" s="13">
        <v>20</v>
      </c>
      <c r="U38" s="13">
        <v>12</v>
      </c>
      <c r="V38" s="13">
        <v>12</v>
      </c>
      <c r="W38" s="13">
        <v>12</v>
      </c>
      <c r="X38" s="13">
        <v>12</v>
      </c>
    </row>
    <row r="39" spans="1:24" x14ac:dyDescent="0.25">
      <c r="A39" s="18" t="s">
        <v>66</v>
      </c>
      <c r="B39" s="4" t="s">
        <v>67</v>
      </c>
      <c r="C39" s="19">
        <f t="shared" ref="C39:X39" si="15">C38*C37</f>
        <v>108</v>
      </c>
      <c r="D39" s="19">
        <f t="shared" si="15"/>
        <v>108</v>
      </c>
      <c r="E39" s="19">
        <f t="shared" si="15"/>
        <v>108</v>
      </c>
      <c r="F39" s="19">
        <f t="shared" si="15"/>
        <v>108</v>
      </c>
      <c r="G39" s="19">
        <f t="shared" si="15"/>
        <v>72</v>
      </c>
      <c r="H39" s="19">
        <f t="shared" si="15"/>
        <v>72</v>
      </c>
      <c r="I39" s="19">
        <f t="shared" si="15"/>
        <v>144</v>
      </c>
      <c r="J39" s="19">
        <f t="shared" si="15"/>
        <v>72</v>
      </c>
      <c r="K39" s="19">
        <f t="shared" si="15"/>
        <v>72</v>
      </c>
      <c r="L39" s="19">
        <f t="shared" si="15"/>
        <v>72</v>
      </c>
      <c r="M39" s="19">
        <f t="shared" si="15"/>
        <v>108</v>
      </c>
      <c r="N39" s="19">
        <f t="shared" si="15"/>
        <v>54</v>
      </c>
      <c r="O39" s="19">
        <f t="shared" si="15"/>
        <v>54</v>
      </c>
      <c r="P39" s="19">
        <f t="shared" si="15"/>
        <v>144</v>
      </c>
      <c r="Q39" s="19">
        <f t="shared" si="15"/>
        <v>144</v>
      </c>
      <c r="R39" s="19">
        <f t="shared" si="15"/>
        <v>54</v>
      </c>
      <c r="S39" s="20">
        <f t="shared" si="15"/>
        <v>108</v>
      </c>
      <c r="T39" s="20">
        <f t="shared" si="15"/>
        <v>180</v>
      </c>
      <c r="U39" s="20">
        <f t="shared" si="15"/>
        <v>108</v>
      </c>
      <c r="V39" s="20">
        <f t="shared" si="15"/>
        <v>108</v>
      </c>
      <c r="W39" s="20">
        <f t="shared" si="15"/>
        <v>108</v>
      </c>
      <c r="X39" s="20">
        <f t="shared" si="15"/>
        <v>108</v>
      </c>
    </row>
    <row r="40" spans="1:24" x14ac:dyDescent="0.25">
      <c r="A40" s="4" t="s">
        <v>90</v>
      </c>
      <c r="B40" s="4" t="s">
        <v>85</v>
      </c>
      <c r="C40" s="12">
        <v>65</v>
      </c>
      <c r="D40" s="12">
        <v>65</v>
      </c>
      <c r="E40" s="12">
        <v>65</v>
      </c>
      <c r="F40" s="12">
        <v>65</v>
      </c>
      <c r="G40" s="12">
        <v>70</v>
      </c>
      <c r="H40" s="12">
        <v>70</v>
      </c>
      <c r="I40" s="12">
        <v>65</v>
      </c>
      <c r="J40" s="12">
        <v>70</v>
      </c>
      <c r="K40" s="12">
        <v>70</v>
      </c>
      <c r="L40" s="12">
        <v>70</v>
      </c>
      <c r="M40" s="12">
        <v>65</v>
      </c>
      <c r="N40" s="12">
        <v>65</v>
      </c>
      <c r="O40" s="12">
        <v>65</v>
      </c>
      <c r="P40" s="12">
        <v>65</v>
      </c>
      <c r="Q40" s="12">
        <v>65</v>
      </c>
      <c r="R40" s="12">
        <v>65</v>
      </c>
      <c r="S40" s="12">
        <v>65</v>
      </c>
      <c r="T40" s="12">
        <v>65</v>
      </c>
      <c r="U40" s="12">
        <v>65</v>
      </c>
      <c r="V40" s="12">
        <v>65</v>
      </c>
      <c r="W40" s="12">
        <v>65</v>
      </c>
      <c r="X40" s="12">
        <v>65</v>
      </c>
    </row>
    <row r="41" spans="1:24" x14ac:dyDescent="0.25">
      <c r="A41" s="4" t="s">
        <v>91</v>
      </c>
      <c r="B41" s="4" t="s">
        <v>89</v>
      </c>
      <c r="C41" s="12">
        <v>1</v>
      </c>
      <c r="D41" s="12">
        <v>1</v>
      </c>
      <c r="E41" s="12">
        <v>1</v>
      </c>
      <c r="F41" s="12">
        <v>1</v>
      </c>
      <c r="G41" s="12">
        <v>1</v>
      </c>
      <c r="H41" s="12">
        <v>1</v>
      </c>
      <c r="I41" s="12">
        <v>1</v>
      </c>
      <c r="J41" s="12">
        <v>1</v>
      </c>
      <c r="K41" s="12">
        <v>1</v>
      </c>
      <c r="L41" s="12">
        <v>1</v>
      </c>
      <c r="M41" s="12">
        <v>1</v>
      </c>
      <c r="N41" s="12">
        <v>1</v>
      </c>
      <c r="O41" s="12">
        <v>1</v>
      </c>
      <c r="P41" s="12">
        <v>1</v>
      </c>
      <c r="Q41" s="12">
        <v>1</v>
      </c>
      <c r="R41" s="12">
        <v>1</v>
      </c>
      <c r="S41" s="13">
        <v>1</v>
      </c>
      <c r="T41" s="13">
        <v>1</v>
      </c>
      <c r="U41" s="13">
        <v>1</v>
      </c>
      <c r="V41" s="13">
        <v>1</v>
      </c>
      <c r="W41" s="13">
        <v>1</v>
      </c>
      <c r="X41" s="13">
        <v>1</v>
      </c>
    </row>
    <row r="42" spans="1:24" x14ac:dyDescent="0.25">
      <c r="A42" s="18" t="s">
        <v>66</v>
      </c>
      <c r="B42" s="4" t="s">
        <v>67</v>
      </c>
      <c r="C42" s="19">
        <f t="shared" ref="C42:X42" si="16">C40*C41</f>
        <v>65</v>
      </c>
      <c r="D42" s="19">
        <f t="shared" si="16"/>
        <v>65</v>
      </c>
      <c r="E42" s="19">
        <f t="shared" si="16"/>
        <v>65</v>
      </c>
      <c r="F42" s="19">
        <f t="shared" si="16"/>
        <v>65</v>
      </c>
      <c r="G42" s="19">
        <f t="shared" si="16"/>
        <v>70</v>
      </c>
      <c r="H42" s="19">
        <f t="shared" si="16"/>
        <v>70</v>
      </c>
      <c r="I42" s="19">
        <f t="shared" si="16"/>
        <v>65</v>
      </c>
      <c r="J42" s="19">
        <f t="shared" si="16"/>
        <v>70</v>
      </c>
      <c r="K42" s="19">
        <f t="shared" si="16"/>
        <v>70</v>
      </c>
      <c r="L42" s="19">
        <f t="shared" si="16"/>
        <v>70</v>
      </c>
      <c r="M42" s="19">
        <f t="shared" si="16"/>
        <v>65</v>
      </c>
      <c r="N42" s="19">
        <f t="shared" si="16"/>
        <v>65</v>
      </c>
      <c r="O42" s="19">
        <f t="shared" si="16"/>
        <v>65</v>
      </c>
      <c r="P42" s="19">
        <f t="shared" si="16"/>
        <v>65</v>
      </c>
      <c r="Q42" s="19">
        <f t="shared" si="16"/>
        <v>65</v>
      </c>
      <c r="R42" s="19">
        <f t="shared" si="16"/>
        <v>65</v>
      </c>
      <c r="S42" s="20">
        <f t="shared" si="16"/>
        <v>65</v>
      </c>
      <c r="T42" s="20">
        <f t="shared" si="16"/>
        <v>65</v>
      </c>
      <c r="U42" s="20">
        <f t="shared" si="16"/>
        <v>65</v>
      </c>
      <c r="V42" s="20">
        <f t="shared" si="16"/>
        <v>65</v>
      </c>
      <c r="W42" s="20">
        <f t="shared" si="16"/>
        <v>65</v>
      </c>
      <c r="X42" s="20">
        <f t="shared" si="16"/>
        <v>65</v>
      </c>
    </row>
    <row r="43" spans="1:24" x14ac:dyDescent="0.25">
      <c r="A43" s="4" t="s">
        <v>92</v>
      </c>
      <c r="B43" s="4" t="s">
        <v>93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3"/>
      <c r="T43" s="13"/>
      <c r="U43" s="13"/>
      <c r="V43" s="13"/>
      <c r="W43" s="13"/>
      <c r="X43" s="13"/>
    </row>
    <row r="44" spans="1:24" x14ac:dyDescent="0.25">
      <c r="A44" s="18" t="s">
        <v>66</v>
      </c>
      <c r="B44" s="4" t="s">
        <v>67</v>
      </c>
      <c r="C44" s="19">
        <v>0.75</v>
      </c>
      <c r="D44" s="19">
        <v>0.75</v>
      </c>
      <c r="E44" s="19">
        <v>0.75</v>
      </c>
      <c r="F44" s="19">
        <v>0.75</v>
      </c>
      <c r="G44" s="19">
        <v>0.75</v>
      </c>
      <c r="H44" s="19">
        <v>0.75</v>
      </c>
      <c r="I44" s="19">
        <v>0.75</v>
      </c>
      <c r="J44" s="19">
        <v>0.75</v>
      </c>
      <c r="K44" s="19">
        <v>0.75</v>
      </c>
      <c r="L44" s="19">
        <v>0.75</v>
      </c>
      <c r="M44" s="19">
        <v>0.75</v>
      </c>
      <c r="N44" s="19">
        <v>0.75</v>
      </c>
      <c r="O44" s="19">
        <v>0.75</v>
      </c>
      <c r="P44" s="19">
        <v>0.75</v>
      </c>
      <c r="Q44" s="19">
        <v>0.75</v>
      </c>
      <c r="R44" s="19">
        <v>0.75</v>
      </c>
      <c r="S44" s="20">
        <v>0.75</v>
      </c>
      <c r="T44" s="20">
        <v>0.75</v>
      </c>
      <c r="U44" s="20">
        <v>0.75</v>
      </c>
      <c r="V44" s="20">
        <v>0.75</v>
      </c>
      <c r="W44" s="20">
        <v>0.75</v>
      </c>
      <c r="X44" s="20">
        <v>0.75</v>
      </c>
    </row>
    <row r="45" spans="1:24" x14ac:dyDescent="0.25">
      <c r="A45" s="4" t="s">
        <v>94</v>
      </c>
      <c r="B45" s="4" t="s">
        <v>62</v>
      </c>
      <c r="C45" s="12">
        <v>5.5</v>
      </c>
      <c r="D45" s="12">
        <v>4</v>
      </c>
      <c r="E45" s="12">
        <v>5.5</v>
      </c>
      <c r="F45" s="12">
        <v>4</v>
      </c>
      <c r="G45" s="12">
        <v>5.5</v>
      </c>
      <c r="H45" s="12">
        <v>5.5</v>
      </c>
      <c r="I45" s="12">
        <v>5.5</v>
      </c>
      <c r="J45" s="12">
        <v>6</v>
      </c>
      <c r="K45" s="12">
        <v>6.5</v>
      </c>
      <c r="L45" s="12">
        <v>6.5</v>
      </c>
      <c r="M45" s="12">
        <v>6.5</v>
      </c>
      <c r="N45" s="12">
        <v>6.5</v>
      </c>
      <c r="O45" s="12">
        <v>7</v>
      </c>
      <c r="P45" s="12">
        <v>5.5</v>
      </c>
      <c r="Q45" s="12">
        <v>5.5</v>
      </c>
      <c r="R45" s="12">
        <v>6</v>
      </c>
      <c r="S45" s="13">
        <v>6.5</v>
      </c>
      <c r="T45" s="13">
        <v>5.5</v>
      </c>
      <c r="U45" s="13">
        <v>5.5</v>
      </c>
      <c r="V45" s="13">
        <v>5.5</v>
      </c>
      <c r="W45" s="13">
        <v>7</v>
      </c>
      <c r="X45" s="13">
        <v>5.5</v>
      </c>
    </row>
    <row r="46" spans="1:24" x14ac:dyDescent="0.25">
      <c r="A46" s="4" t="s">
        <v>95</v>
      </c>
      <c r="B46" s="4" t="s">
        <v>65</v>
      </c>
      <c r="C46" s="12">
        <v>440</v>
      </c>
      <c r="D46" s="12">
        <v>440</v>
      </c>
      <c r="E46" s="12">
        <v>440</v>
      </c>
      <c r="F46" s="12">
        <v>440</v>
      </c>
      <c r="G46" s="12">
        <v>440</v>
      </c>
      <c r="H46" s="12">
        <v>440</v>
      </c>
      <c r="I46" s="12">
        <v>440</v>
      </c>
      <c r="J46" s="12">
        <v>440</v>
      </c>
      <c r="K46" s="12">
        <v>440</v>
      </c>
      <c r="L46" s="12">
        <v>440</v>
      </c>
      <c r="M46" s="12">
        <v>440</v>
      </c>
      <c r="N46" s="12">
        <v>440</v>
      </c>
      <c r="O46" s="12">
        <v>440</v>
      </c>
      <c r="P46" s="12">
        <v>440</v>
      </c>
      <c r="Q46" s="12">
        <v>440</v>
      </c>
      <c r="R46" s="12">
        <v>440</v>
      </c>
      <c r="S46" s="13">
        <v>440</v>
      </c>
      <c r="T46" s="13">
        <v>440</v>
      </c>
      <c r="U46" s="13">
        <v>440</v>
      </c>
      <c r="V46" s="13">
        <v>440</v>
      </c>
      <c r="W46" s="13">
        <v>440</v>
      </c>
      <c r="X46" s="13">
        <v>440</v>
      </c>
    </row>
    <row r="47" spans="1:24" x14ac:dyDescent="0.25">
      <c r="A47" s="4" t="s">
        <v>94</v>
      </c>
      <c r="B47" s="4" t="s">
        <v>60</v>
      </c>
      <c r="C47" s="12">
        <f t="shared" ref="C47:X47" si="17">C12*C45/100</f>
        <v>0.98523790236537467</v>
      </c>
      <c r="D47" s="12">
        <f t="shared" si="17"/>
        <v>0.68309827897332653</v>
      </c>
      <c r="E47" s="12">
        <f t="shared" si="17"/>
        <v>0.98523790236537467</v>
      </c>
      <c r="F47" s="12">
        <f t="shared" si="17"/>
        <v>0.68309827897332653</v>
      </c>
      <c r="G47" s="12">
        <f t="shared" si="17"/>
        <v>0.73892842677403092</v>
      </c>
      <c r="H47" s="12">
        <f t="shared" si="17"/>
        <v>0.73892842677403092</v>
      </c>
      <c r="I47" s="12">
        <f t="shared" si="17"/>
        <v>1.1663791041771514</v>
      </c>
      <c r="J47" s="12">
        <f t="shared" si="17"/>
        <v>0.79525848012078493</v>
      </c>
      <c r="K47" s="12">
        <f t="shared" si="17"/>
        <v>0.89591263210870653</v>
      </c>
      <c r="L47" s="12">
        <f t="shared" si="17"/>
        <v>0.89591263210870653</v>
      </c>
      <c r="M47" s="12">
        <f t="shared" si="17"/>
        <v>1.1866912934071463</v>
      </c>
      <c r="N47" s="12">
        <f t="shared" si="17"/>
        <v>1.0609491696024158</v>
      </c>
      <c r="O47" s="12">
        <f t="shared" si="17"/>
        <v>1.3414508303975843</v>
      </c>
      <c r="P47" s="12">
        <f t="shared" si="17"/>
        <v>1.1836686462003019</v>
      </c>
      <c r="Q47" s="12">
        <f t="shared" si="17"/>
        <v>0.7891124308002011</v>
      </c>
      <c r="R47" s="12">
        <f t="shared" si="17"/>
        <v>0.97026975339708121</v>
      </c>
      <c r="S47" s="13">
        <f t="shared" si="17"/>
        <v>1.1866912934071463</v>
      </c>
      <c r="T47" s="13">
        <f t="shared" si="17"/>
        <v>1.0251811776547557</v>
      </c>
      <c r="U47" s="13">
        <f t="shared" si="17"/>
        <v>0.9841739305485655</v>
      </c>
      <c r="V47" s="13">
        <f t="shared" si="17"/>
        <v>0.9841739305485655</v>
      </c>
      <c r="W47" s="13">
        <f t="shared" si="17"/>
        <v>1.3410276597886257</v>
      </c>
      <c r="X47" s="13">
        <f t="shared" si="17"/>
        <v>0.88309660795168587</v>
      </c>
    </row>
    <row r="48" spans="1:24" x14ac:dyDescent="0.25">
      <c r="A48" s="18" t="s">
        <v>66</v>
      </c>
      <c r="B48" s="4" t="s">
        <v>67</v>
      </c>
      <c r="C48" s="19">
        <f t="shared" ref="C48:X48" si="18">C47*C46</f>
        <v>433.50467704076488</v>
      </c>
      <c r="D48" s="19">
        <f t="shared" si="18"/>
        <v>300.56324274826369</v>
      </c>
      <c r="E48" s="19">
        <f t="shared" si="18"/>
        <v>433.50467704076488</v>
      </c>
      <c r="F48" s="19">
        <f t="shared" si="18"/>
        <v>300.56324274826369</v>
      </c>
      <c r="G48" s="19">
        <f t="shared" si="18"/>
        <v>325.12850778057361</v>
      </c>
      <c r="H48" s="19">
        <f t="shared" si="18"/>
        <v>325.12850778057361</v>
      </c>
      <c r="I48" s="19">
        <f t="shared" si="18"/>
        <v>513.2068058379466</v>
      </c>
      <c r="J48" s="19">
        <f t="shared" si="18"/>
        <v>349.91373125314539</v>
      </c>
      <c r="K48" s="19">
        <f t="shared" si="18"/>
        <v>394.20155812783088</v>
      </c>
      <c r="L48" s="19">
        <f t="shared" si="18"/>
        <v>394.20155812783088</v>
      </c>
      <c r="M48" s="19">
        <f t="shared" si="18"/>
        <v>522.14416909914439</v>
      </c>
      <c r="N48" s="19">
        <f t="shared" si="18"/>
        <v>466.81763462506296</v>
      </c>
      <c r="O48" s="19">
        <f t="shared" si="18"/>
        <v>590.23836537493708</v>
      </c>
      <c r="P48" s="19">
        <f t="shared" si="18"/>
        <v>520.81420432813286</v>
      </c>
      <c r="Q48" s="19">
        <f t="shared" si="18"/>
        <v>347.20946955208848</v>
      </c>
      <c r="R48" s="19">
        <f t="shared" si="18"/>
        <v>426.91869149471574</v>
      </c>
      <c r="S48" s="20">
        <f t="shared" si="18"/>
        <v>522.14416909914439</v>
      </c>
      <c r="T48" s="20">
        <f t="shared" si="18"/>
        <v>451.07971816809248</v>
      </c>
      <c r="U48" s="20">
        <f t="shared" si="18"/>
        <v>433.03652944136883</v>
      </c>
      <c r="V48" s="20">
        <f t="shared" si="18"/>
        <v>433.03652944136883</v>
      </c>
      <c r="W48" s="20">
        <f t="shared" si="18"/>
        <v>590.05217030699532</v>
      </c>
      <c r="X48" s="20">
        <f t="shared" si="18"/>
        <v>388.56250749874181</v>
      </c>
    </row>
    <row r="49" spans="1:24" x14ac:dyDescent="0.25">
      <c r="A49" s="4" t="s">
        <v>96</v>
      </c>
      <c r="B49" s="4" t="s">
        <v>97</v>
      </c>
      <c r="C49" s="12">
        <v>600</v>
      </c>
      <c r="D49" s="12">
        <v>600</v>
      </c>
      <c r="E49" s="12">
        <v>600</v>
      </c>
      <c r="F49" s="12">
        <v>600</v>
      </c>
      <c r="G49" s="12">
        <v>600</v>
      </c>
      <c r="H49" s="12">
        <v>600</v>
      </c>
      <c r="I49" s="12">
        <v>600</v>
      </c>
      <c r="J49" s="12">
        <v>600</v>
      </c>
      <c r="K49" s="12">
        <v>600</v>
      </c>
      <c r="L49" s="12">
        <v>600</v>
      </c>
      <c r="M49" s="12">
        <v>600</v>
      </c>
      <c r="N49" s="12">
        <v>600</v>
      </c>
      <c r="O49" s="12">
        <v>600</v>
      </c>
      <c r="P49" s="12">
        <v>600</v>
      </c>
      <c r="Q49" s="12">
        <v>600</v>
      </c>
      <c r="R49" s="12">
        <v>600</v>
      </c>
      <c r="S49" s="13">
        <v>600</v>
      </c>
      <c r="T49" s="13">
        <v>600</v>
      </c>
      <c r="U49" s="13">
        <v>600</v>
      </c>
      <c r="V49" s="13">
        <v>600</v>
      </c>
      <c r="W49" s="13">
        <v>600</v>
      </c>
      <c r="X49" s="13">
        <v>600</v>
      </c>
    </row>
    <row r="50" spans="1:24" x14ac:dyDescent="0.25">
      <c r="A50" s="4" t="s">
        <v>71</v>
      </c>
      <c r="B50" s="4" t="s">
        <v>72</v>
      </c>
      <c r="C50" s="12">
        <v>750</v>
      </c>
      <c r="D50" s="12">
        <v>750</v>
      </c>
      <c r="E50" s="12">
        <v>750</v>
      </c>
      <c r="F50" s="12">
        <v>750</v>
      </c>
      <c r="G50" s="12">
        <v>750</v>
      </c>
      <c r="H50" s="12">
        <v>750</v>
      </c>
      <c r="I50" s="12">
        <v>750</v>
      </c>
      <c r="J50" s="12">
        <v>750</v>
      </c>
      <c r="K50" s="12">
        <v>750</v>
      </c>
      <c r="L50" s="12">
        <v>750</v>
      </c>
      <c r="M50" s="12">
        <v>750</v>
      </c>
      <c r="N50" s="12">
        <v>750</v>
      </c>
      <c r="O50" s="12">
        <v>750</v>
      </c>
      <c r="P50" s="12">
        <v>750</v>
      </c>
      <c r="Q50" s="12">
        <v>750</v>
      </c>
      <c r="R50" s="12">
        <v>750</v>
      </c>
      <c r="S50" s="12">
        <v>750</v>
      </c>
      <c r="T50" s="12">
        <v>750</v>
      </c>
      <c r="U50" s="12">
        <v>750</v>
      </c>
      <c r="V50" s="12">
        <v>750</v>
      </c>
      <c r="W50" s="12">
        <v>750</v>
      </c>
      <c r="X50" s="12">
        <v>750</v>
      </c>
    </row>
    <row r="51" spans="1:24" x14ac:dyDescent="0.25">
      <c r="A51" s="4" t="s">
        <v>73</v>
      </c>
      <c r="B51" s="4" t="s">
        <v>74</v>
      </c>
      <c r="C51" s="12">
        <f t="shared" ref="C51:X51" si="19">C50/C49</f>
        <v>1.25</v>
      </c>
      <c r="D51" s="12">
        <f t="shared" si="19"/>
        <v>1.25</v>
      </c>
      <c r="E51" s="12">
        <f t="shared" si="19"/>
        <v>1.25</v>
      </c>
      <c r="F51" s="12">
        <f t="shared" si="19"/>
        <v>1.25</v>
      </c>
      <c r="G51" s="12">
        <f t="shared" si="19"/>
        <v>1.25</v>
      </c>
      <c r="H51" s="12">
        <f t="shared" si="19"/>
        <v>1.25</v>
      </c>
      <c r="I51" s="12">
        <f t="shared" si="19"/>
        <v>1.25</v>
      </c>
      <c r="J51" s="12">
        <f t="shared" si="19"/>
        <v>1.25</v>
      </c>
      <c r="K51" s="12">
        <f t="shared" si="19"/>
        <v>1.25</v>
      </c>
      <c r="L51" s="12">
        <f t="shared" si="19"/>
        <v>1.25</v>
      </c>
      <c r="M51" s="12">
        <f t="shared" si="19"/>
        <v>1.25</v>
      </c>
      <c r="N51" s="12">
        <f t="shared" si="19"/>
        <v>1.25</v>
      </c>
      <c r="O51" s="12">
        <f t="shared" si="19"/>
        <v>1.25</v>
      </c>
      <c r="P51" s="12">
        <f t="shared" si="19"/>
        <v>1.25</v>
      </c>
      <c r="Q51" s="12">
        <f t="shared" si="19"/>
        <v>1.25</v>
      </c>
      <c r="R51" s="12">
        <f t="shared" si="19"/>
        <v>1.25</v>
      </c>
      <c r="S51" s="13">
        <f t="shared" si="19"/>
        <v>1.25</v>
      </c>
      <c r="T51" s="13">
        <f t="shared" si="19"/>
        <v>1.25</v>
      </c>
      <c r="U51" s="13">
        <f t="shared" si="19"/>
        <v>1.25</v>
      </c>
      <c r="V51" s="13">
        <f t="shared" si="19"/>
        <v>1.25</v>
      </c>
      <c r="W51" s="13">
        <f t="shared" si="19"/>
        <v>1.25</v>
      </c>
      <c r="X51" s="13">
        <f t="shared" si="19"/>
        <v>1.25</v>
      </c>
    </row>
    <row r="52" spans="1:24" x14ac:dyDescent="0.25">
      <c r="A52" s="18" t="s">
        <v>66</v>
      </c>
      <c r="B52" s="4" t="s">
        <v>67</v>
      </c>
      <c r="C52" s="19">
        <f t="shared" ref="C52:X52" si="20">C51*C8</f>
        <v>200</v>
      </c>
      <c r="D52" s="19">
        <f t="shared" si="20"/>
        <v>200</v>
      </c>
      <c r="E52" s="19">
        <f t="shared" si="20"/>
        <v>200</v>
      </c>
      <c r="F52" s="19">
        <f t="shared" si="20"/>
        <v>200</v>
      </c>
      <c r="G52" s="19">
        <f t="shared" si="20"/>
        <v>75</v>
      </c>
      <c r="H52" s="19">
        <f t="shared" si="20"/>
        <v>75</v>
      </c>
      <c r="I52" s="19">
        <f t="shared" si="20"/>
        <v>200</v>
      </c>
      <c r="J52" s="19">
        <f t="shared" si="20"/>
        <v>75</v>
      </c>
      <c r="K52" s="19">
        <f t="shared" si="20"/>
        <v>75</v>
      </c>
      <c r="L52" s="19">
        <f t="shared" si="20"/>
        <v>75</v>
      </c>
      <c r="M52" s="19">
        <f t="shared" si="20"/>
        <v>150</v>
      </c>
      <c r="N52" s="19">
        <f t="shared" si="20"/>
        <v>75</v>
      </c>
      <c r="O52" s="19">
        <f t="shared" si="20"/>
        <v>75</v>
      </c>
      <c r="P52" s="19">
        <f t="shared" si="20"/>
        <v>150</v>
      </c>
      <c r="Q52" s="19">
        <f t="shared" si="20"/>
        <v>200</v>
      </c>
      <c r="R52" s="19">
        <f t="shared" si="20"/>
        <v>75</v>
      </c>
      <c r="S52" s="20">
        <f t="shared" si="20"/>
        <v>150</v>
      </c>
      <c r="T52" s="20">
        <f t="shared" si="20"/>
        <v>625</v>
      </c>
      <c r="U52" s="20">
        <f t="shared" si="20"/>
        <v>200</v>
      </c>
      <c r="V52" s="20">
        <f t="shared" si="20"/>
        <v>200</v>
      </c>
      <c r="W52" s="20">
        <f t="shared" si="20"/>
        <v>150</v>
      </c>
      <c r="X52" s="20">
        <f t="shared" si="20"/>
        <v>200</v>
      </c>
    </row>
    <row r="53" spans="1:24" x14ac:dyDescent="0.25">
      <c r="A53" s="4" t="s">
        <v>98</v>
      </c>
      <c r="B53" s="4" t="s">
        <v>79</v>
      </c>
      <c r="C53" s="19">
        <v>0.75</v>
      </c>
      <c r="D53" s="19">
        <v>0.75</v>
      </c>
      <c r="E53" s="19">
        <v>0.75</v>
      </c>
      <c r="F53" s="19">
        <v>0.75</v>
      </c>
      <c r="G53" s="19">
        <v>0.75</v>
      </c>
      <c r="H53" s="19">
        <v>0.75</v>
      </c>
      <c r="I53" s="19">
        <v>0.75</v>
      </c>
      <c r="J53" s="19">
        <v>0.75</v>
      </c>
      <c r="K53" s="19">
        <v>0.75</v>
      </c>
      <c r="L53" s="19">
        <v>0.75</v>
      </c>
      <c r="M53" s="19">
        <v>0.75</v>
      </c>
      <c r="N53" s="19">
        <v>0.75</v>
      </c>
      <c r="O53" s="19">
        <v>0.75</v>
      </c>
      <c r="P53" s="19">
        <v>0.75</v>
      </c>
      <c r="Q53" s="19">
        <v>0.75</v>
      </c>
      <c r="R53" s="19">
        <v>0.75</v>
      </c>
      <c r="S53" s="20">
        <v>0.75</v>
      </c>
      <c r="T53" s="20">
        <v>0.75</v>
      </c>
      <c r="U53" s="20">
        <v>0.75</v>
      </c>
      <c r="V53" s="20">
        <v>0.75</v>
      </c>
      <c r="W53" s="20">
        <v>0.75</v>
      </c>
      <c r="X53" s="20">
        <v>0.75</v>
      </c>
    </row>
    <row r="54" spans="1:24" x14ac:dyDescent="0.25">
      <c r="A54" s="4" t="s">
        <v>80</v>
      </c>
      <c r="B54" s="4" t="s">
        <v>81</v>
      </c>
      <c r="C54" s="19">
        <v>9</v>
      </c>
      <c r="D54" s="19">
        <v>9</v>
      </c>
      <c r="E54" s="19">
        <v>9</v>
      </c>
      <c r="F54" s="19">
        <v>9</v>
      </c>
      <c r="G54" s="19">
        <v>9</v>
      </c>
      <c r="H54" s="19">
        <v>9</v>
      </c>
      <c r="I54" s="19">
        <v>9</v>
      </c>
      <c r="J54" s="19">
        <v>9</v>
      </c>
      <c r="K54" s="19">
        <v>9</v>
      </c>
      <c r="L54" s="19">
        <v>9</v>
      </c>
      <c r="M54" s="19">
        <v>9</v>
      </c>
      <c r="N54" s="19">
        <v>9</v>
      </c>
      <c r="O54" s="19">
        <v>9</v>
      </c>
      <c r="P54" s="19">
        <v>9</v>
      </c>
      <c r="Q54" s="19">
        <v>9</v>
      </c>
      <c r="R54" s="19">
        <v>9</v>
      </c>
      <c r="S54" s="20">
        <v>9</v>
      </c>
      <c r="T54" s="20">
        <v>9</v>
      </c>
      <c r="U54" s="20">
        <v>9</v>
      </c>
      <c r="V54" s="20">
        <v>9</v>
      </c>
      <c r="W54" s="20">
        <v>9</v>
      </c>
      <c r="X54" s="20">
        <v>9</v>
      </c>
    </row>
    <row r="55" spans="1:24" x14ac:dyDescent="0.25">
      <c r="A55" s="4" t="s">
        <v>82</v>
      </c>
      <c r="B55" s="4" t="s">
        <v>65</v>
      </c>
      <c r="C55" s="19">
        <f t="shared" ref="C55:X55" si="21">C53*C54</f>
        <v>6.75</v>
      </c>
      <c r="D55" s="19">
        <f t="shared" si="21"/>
        <v>6.75</v>
      </c>
      <c r="E55" s="19">
        <f t="shared" si="21"/>
        <v>6.75</v>
      </c>
      <c r="F55" s="19">
        <f t="shared" si="21"/>
        <v>6.75</v>
      </c>
      <c r="G55" s="19">
        <f t="shared" si="21"/>
        <v>6.75</v>
      </c>
      <c r="H55" s="19">
        <f t="shared" si="21"/>
        <v>6.75</v>
      </c>
      <c r="I55" s="19">
        <f t="shared" si="21"/>
        <v>6.75</v>
      </c>
      <c r="J55" s="19">
        <f t="shared" si="21"/>
        <v>6.75</v>
      </c>
      <c r="K55" s="19">
        <f t="shared" si="21"/>
        <v>6.75</v>
      </c>
      <c r="L55" s="19">
        <f t="shared" si="21"/>
        <v>6.75</v>
      </c>
      <c r="M55" s="19">
        <f t="shared" si="21"/>
        <v>6.75</v>
      </c>
      <c r="N55" s="19">
        <f t="shared" si="21"/>
        <v>6.75</v>
      </c>
      <c r="O55" s="19">
        <f t="shared" si="21"/>
        <v>6.75</v>
      </c>
      <c r="P55" s="19">
        <f t="shared" si="21"/>
        <v>6.75</v>
      </c>
      <c r="Q55" s="19">
        <f t="shared" si="21"/>
        <v>6.75</v>
      </c>
      <c r="R55" s="19">
        <f t="shared" si="21"/>
        <v>6.75</v>
      </c>
      <c r="S55" s="20">
        <f t="shared" si="21"/>
        <v>6.75</v>
      </c>
      <c r="T55" s="20">
        <f t="shared" si="21"/>
        <v>6.75</v>
      </c>
      <c r="U55" s="20">
        <f t="shared" si="21"/>
        <v>6.75</v>
      </c>
      <c r="V55" s="20">
        <f t="shared" si="21"/>
        <v>6.75</v>
      </c>
      <c r="W55" s="20">
        <f t="shared" si="21"/>
        <v>6.75</v>
      </c>
      <c r="X55" s="20">
        <f t="shared" si="21"/>
        <v>6.75</v>
      </c>
    </row>
    <row r="56" spans="1:24" x14ac:dyDescent="0.25">
      <c r="A56" s="18" t="s">
        <v>66</v>
      </c>
      <c r="B56" s="4" t="s">
        <v>67</v>
      </c>
      <c r="C56" s="19">
        <f t="shared" ref="C56:S56" si="22">C55*C12</f>
        <v>120.91556074484144</v>
      </c>
      <c r="D56" s="19">
        <f t="shared" si="22"/>
        <v>115.27283457674885</v>
      </c>
      <c r="E56" s="19">
        <f t="shared" si="22"/>
        <v>120.91556074484144</v>
      </c>
      <c r="F56" s="19">
        <f t="shared" si="22"/>
        <v>115.27283457674885</v>
      </c>
      <c r="G56" s="19">
        <f t="shared" si="22"/>
        <v>90.686670558631079</v>
      </c>
      <c r="H56" s="19">
        <f t="shared" si="22"/>
        <v>90.686670558631079</v>
      </c>
      <c r="I56" s="19">
        <f t="shared" si="22"/>
        <v>143.1465264217413</v>
      </c>
      <c r="J56" s="19">
        <f t="shared" si="22"/>
        <v>89.466579013588316</v>
      </c>
      <c r="K56" s="19">
        <f t="shared" si="22"/>
        <v>93.037081026673363</v>
      </c>
      <c r="L56" s="19">
        <f t="shared" si="22"/>
        <v>93.037081026673363</v>
      </c>
      <c r="M56" s="19">
        <f t="shared" si="22"/>
        <v>123.23332662304982</v>
      </c>
      <c r="N56" s="19">
        <f t="shared" si="22"/>
        <v>110.17549068948163</v>
      </c>
      <c r="O56" s="19">
        <f t="shared" si="22"/>
        <v>129.35418721690991</v>
      </c>
      <c r="P56" s="19">
        <f>P55*P12</f>
        <v>145.26842476094612</v>
      </c>
      <c r="Q56" s="19">
        <f>Q55*Q12</f>
        <v>96.845616507297422</v>
      </c>
      <c r="R56" s="19">
        <f t="shared" ref="R56" si="23">R55*R12</f>
        <v>109.15534725717163</v>
      </c>
      <c r="S56" s="20">
        <f t="shared" si="22"/>
        <v>123.23332662304982</v>
      </c>
      <c r="T56" s="20">
        <f>T55*T12</f>
        <v>125.81768998490185</v>
      </c>
      <c r="U56" s="20">
        <f>U55*U12</f>
        <v>120.78498238550576</v>
      </c>
      <c r="V56" s="20">
        <f>V55*V12</f>
        <v>120.78498238550576</v>
      </c>
      <c r="W56" s="20">
        <f>W55*W12</f>
        <v>129.31338147961748</v>
      </c>
      <c r="X56" s="20">
        <f>X55*X12</f>
        <v>108.38003824861599</v>
      </c>
    </row>
    <row r="57" spans="1:24" ht="15.75" x14ac:dyDescent="0.25">
      <c r="A57" s="4" t="s">
        <v>99</v>
      </c>
      <c r="B57" s="4" t="s">
        <v>67</v>
      </c>
      <c r="C57" s="22">
        <f t="shared" ref="C57:X57" si="24">SUMIF($A$3:$A$56,"Value",C3:C56)</f>
        <v>5894.2480733165557</v>
      </c>
      <c r="D57" s="22">
        <f t="shared" si="24"/>
        <v>5423.5872138645191</v>
      </c>
      <c r="E57" s="22">
        <f t="shared" si="24"/>
        <v>5500.1529123704058</v>
      </c>
      <c r="F57" s="22">
        <f t="shared" si="24"/>
        <v>5047.883160429189</v>
      </c>
      <c r="G57" s="22">
        <f t="shared" si="24"/>
        <v>4748.0913694971141</v>
      </c>
      <c r="H57" s="22">
        <f t="shared" si="24"/>
        <v>4224.1239396028013</v>
      </c>
      <c r="I57" s="22">
        <f t="shared" si="24"/>
        <v>6838.5370385941033</v>
      </c>
      <c r="J57" s="22">
        <f t="shared" si="24"/>
        <v>4216.454257237835</v>
      </c>
      <c r="K57" s="22">
        <f t="shared" si="24"/>
        <v>4908.2187322596874</v>
      </c>
      <c r="L57" s="22">
        <f t="shared" si="24"/>
        <v>4356.8878817312516</v>
      </c>
      <c r="M57" s="22">
        <f t="shared" si="24"/>
        <v>6011.640746854554</v>
      </c>
      <c r="N57" s="22">
        <f t="shared" si="24"/>
        <v>5042.1178862606948</v>
      </c>
      <c r="O57" s="22">
        <f t="shared" si="24"/>
        <v>5721.8901796678401</v>
      </c>
      <c r="P57" s="22">
        <f t="shared" si="24"/>
        <v>7685.797012581781</v>
      </c>
      <c r="Q57" s="22">
        <f t="shared" si="24"/>
        <v>5606.6546249039793</v>
      </c>
      <c r="R57" s="22">
        <f t="shared" si="24"/>
        <v>5594.7788072471076</v>
      </c>
      <c r="S57" s="23">
        <f t="shared" si="24"/>
        <v>8116.1714967287362</v>
      </c>
      <c r="T57" s="23">
        <f t="shared" si="24"/>
        <v>9498.7872546552589</v>
      </c>
      <c r="U57" s="23">
        <f t="shared" si="24"/>
        <v>7948.8657644690456</v>
      </c>
      <c r="V57" s="23">
        <f t="shared" si="24"/>
        <v>7483.6199063915428</v>
      </c>
      <c r="W57" s="23">
        <f t="shared" si="24"/>
        <v>8298.4235185707075</v>
      </c>
      <c r="X57" s="23">
        <f t="shared" si="24"/>
        <v>7328.562856952004</v>
      </c>
    </row>
    <row r="58" spans="1:24" ht="15.75" x14ac:dyDescent="0.25">
      <c r="A58" s="4" t="s">
        <v>100</v>
      </c>
      <c r="B58" s="4">
        <v>1.02</v>
      </c>
      <c r="C58" s="22">
        <f t="shared" ref="C58:X58" si="25">$B$58*C57</f>
        <v>6012.1330347828871</v>
      </c>
      <c r="D58" s="22">
        <f t="shared" si="25"/>
        <v>5532.0589581418099</v>
      </c>
      <c r="E58" s="22">
        <f t="shared" si="25"/>
        <v>5610.1559706178141</v>
      </c>
      <c r="F58" s="22">
        <f t="shared" si="25"/>
        <v>5148.8408236377727</v>
      </c>
      <c r="G58" s="22">
        <f t="shared" si="25"/>
        <v>4843.0531968870564</v>
      </c>
      <c r="H58" s="22">
        <f t="shared" si="25"/>
        <v>4308.6064183948574</v>
      </c>
      <c r="I58" s="22">
        <f t="shared" si="25"/>
        <v>6975.3077793659859</v>
      </c>
      <c r="J58" s="22">
        <f t="shared" si="25"/>
        <v>4300.7833423825914</v>
      </c>
      <c r="K58" s="22">
        <f t="shared" si="25"/>
        <v>5006.3831069048811</v>
      </c>
      <c r="L58" s="22">
        <f t="shared" si="25"/>
        <v>4444.0256393658765</v>
      </c>
      <c r="M58" s="22">
        <f t="shared" si="25"/>
        <v>6131.8735617916454</v>
      </c>
      <c r="N58" s="22">
        <f t="shared" si="25"/>
        <v>5142.9602439859091</v>
      </c>
      <c r="O58" s="22">
        <f t="shared" si="25"/>
        <v>5836.327983261197</v>
      </c>
      <c r="P58" s="22">
        <f>$B$58*P57</f>
        <v>7839.5129528334164</v>
      </c>
      <c r="Q58" s="22">
        <f>$B$58*Q57</f>
        <v>5718.7877174020587</v>
      </c>
      <c r="R58" s="22">
        <f t="shared" ref="R58" si="26">$B$58*R57</f>
        <v>5706.67438339205</v>
      </c>
      <c r="S58" s="23">
        <f t="shared" si="25"/>
        <v>8278.4949266633103</v>
      </c>
      <c r="T58" s="23">
        <f t="shared" si="25"/>
        <v>9688.7629997483637</v>
      </c>
      <c r="U58" s="23">
        <f t="shared" si="25"/>
        <v>8107.8430797584269</v>
      </c>
      <c r="V58" s="23">
        <f t="shared" si="25"/>
        <v>7633.2923045193738</v>
      </c>
      <c r="W58" s="23">
        <f t="shared" si="25"/>
        <v>8464.3919889421213</v>
      </c>
      <c r="X58" s="23">
        <f t="shared" si="25"/>
        <v>7475.1341140910445</v>
      </c>
    </row>
    <row r="59" spans="1:24" ht="15.75" x14ac:dyDescent="0.25">
      <c r="A59" s="4" t="s">
        <v>101</v>
      </c>
      <c r="B59" s="4" t="s">
        <v>67</v>
      </c>
      <c r="C59" s="12">
        <f t="shared" ref="C59:X59" si="27">C58/C8</f>
        <v>37.575831467393044</v>
      </c>
      <c r="D59" s="12">
        <f t="shared" si="27"/>
        <v>34.57536848838631</v>
      </c>
      <c r="E59" s="12">
        <f t="shared" si="27"/>
        <v>35.063474816361335</v>
      </c>
      <c r="F59" s="12">
        <f t="shared" si="27"/>
        <v>32.180255147736077</v>
      </c>
      <c r="G59" s="12">
        <f t="shared" si="27"/>
        <v>80.717553281450947</v>
      </c>
      <c r="H59" s="12">
        <f t="shared" si="27"/>
        <v>71.810106973247628</v>
      </c>
      <c r="I59" s="12">
        <f t="shared" si="27"/>
        <v>43.595673621037413</v>
      </c>
      <c r="J59" s="12">
        <f t="shared" si="27"/>
        <v>71.679722373043191</v>
      </c>
      <c r="K59" s="12">
        <f t="shared" si="27"/>
        <v>83.439718448414681</v>
      </c>
      <c r="L59" s="12">
        <f t="shared" si="27"/>
        <v>74.067093989431271</v>
      </c>
      <c r="M59" s="12">
        <f t="shared" si="27"/>
        <v>51.098946348263709</v>
      </c>
      <c r="N59" s="12">
        <f t="shared" si="27"/>
        <v>85.716004066431822</v>
      </c>
      <c r="O59" s="12">
        <f t="shared" si="27"/>
        <v>97.27213305435329</v>
      </c>
      <c r="P59" s="12">
        <f>P58/P8</f>
        <v>65.329274606945134</v>
      </c>
      <c r="Q59" s="12">
        <f>Q58/Q8</f>
        <v>35.742423233762864</v>
      </c>
      <c r="R59" s="12">
        <f t="shared" ref="R59" si="28">R58/R8</f>
        <v>95.111239723200839</v>
      </c>
      <c r="S59" s="23">
        <f t="shared" si="27"/>
        <v>68.98745772219425</v>
      </c>
      <c r="T59" s="23">
        <f t="shared" si="27"/>
        <v>19.377525999496726</v>
      </c>
      <c r="U59" s="23">
        <f t="shared" si="27"/>
        <v>50.674019248490168</v>
      </c>
      <c r="V59" s="23">
        <f t="shared" si="27"/>
        <v>47.708076903246088</v>
      </c>
      <c r="W59" s="23">
        <f t="shared" si="27"/>
        <v>70.536599907851013</v>
      </c>
      <c r="X59" s="23">
        <f t="shared" si="27"/>
        <v>46.719588213069031</v>
      </c>
    </row>
    <row r="60" spans="1:24" x14ac:dyDescent="0.25">
      <c r="A60" s="21" t="s">
        <v>102</v>
      </c>
      <c r="B60" s="24"/>
      <c r="C60" s="12">
        <f t="shared" ref="C60:X60" si="29">1.3*C10</f>
        <v>23.136072959999996</v>
      </c>
      <c r="D60" s="12">
        <f t="shared" si="29"/>
        <v>22.056389555199996</v>
      </c>
      <c r="E60" s="12">
        <f t="shared" si="29"/>
        <v>23.136072959999996</v>
      </c>
      <c r="F60" s="12">
        <f t="shared" si="29"/>
        <v>22.056389555199996</v>
      </c>
      <c r="G60" s="12">
        <f t="shared" si="29"/>
        <v>17.352054719999995</v>
      </c>
      <c r="H60" s="12">
        <f t="shared" si="29"/>
        <v>17.352054719999995</v>
      </c>
      <c r="I60" s="12">
        <f t="shared" si="29"/>
        <v>27.389762399999999</v>
      </c>
      <c r="J60" s="12">
        <f t="shared" si="29"/>
        <v>17.1186015</v>
      </c>
      <c r="K60" s="12">
        <f t="shared" si="29"/>
        <v>17.801783999999998</v>
      </c>
      <c r="L60" s="12">
        <f t="shared" si="29"/>
        <v>17.801783999999998</v>
      </c>
      <c r="M60" s="12">
        <f t="shared" si="29"/>
        <v>23.579556</v>
      </c>
      <c r="N60" s="12">
        <f t="shared" si="29"/>
        <v>21.081060000000001</v>
      </c>
      <c r="O60" s="12">
        <f t="shared" si="29"/>
        <v>24.750725999999997</v>
      </c>
      <c r="P60" s="12">
        <f t="shared" si="29"/>
        <v>27.795767999999999</v>
      </c>
      <c r="Q60" s="12">
        <f t="shared" si="29"/>
        <v>18.530511999999998</v>
      </c>
      <c r="R60" s="12">
        <f t="shared" si="29"/>
        <v>20.885865000000003</v>
      </c>
      <c r="S60" s="13">
        <f t="shared" si="29"/>
        <v>23.579556</v>
      </c>
      <c r="T60" s="13">
        <f t="shared" si="29"/>
        <v>24.07405</v>
      </c>
      <c r="U60" s="13">
        <f t="shared" si="29"/>
        <v>23.111087999999999</v>
      </c>
      <c r="V60" s="13">
        <f t="shared" si="29"/>
        <v>23.111087999999999</v>
      </c>
      <c r="W60" s="13">
        <f t="shared" si="29"/>
        <v>24.742918199999995</v>
      </c>
      <c r="X60" s="13">
        <f t="shared" si="29"/>
        <v>20.737516799999998</v>
      </c>
    </row>
    <row r="61" spans="1:24" x14ac:dyDescent="0.25">
      <c r="A61" s="21" t="s">
        <v>103</v>
      </c>
      <c r="B61" s="21" t="s">
        <v>104</v>
      </c>
      <c r="C61" s="12">
        <f t="shared" ref="C61:X61" si="30">C60*0</f>
        <v>0</v>
      </c>
      <c r="D61" s="12">
        <f t="shared" si="30"/>
        <v>0</v>
      </c>
      <c r="E61" s="12">
        <f t="shared" si="30"/>
        <v>0</v>
      </c>
      <c r="F61" s="12">
        <f t="shared" si="30"/>
        <v>0</v>
      </c>
      <c r="G61" s="12">
        <f t="shared" si="30"/>
        <v>0</v>
      </c>
      <c r="H61" s="12">
        <f t="shared" si="30"/>
        <v>0</v>
      </c>
      <c r="I61" s="12">
        <f t="shared" si="30"/>
        <v>0</v>
      </c>
      <c r="J61" s="12">
        <f t="shared" si="30"/>
        <v>0</v>
      </c>
      <c r="K61" s="12">
        <f t="shared" si="30"/>
        <v>0</v>
      </c>
      <c r="L61" s="12">
        <f t="shared" si="30"/>
        <v>0</v>
      </c>
      <c r="M61" s="12">
        <f t="shared" si="30"/>
        <v>0</v>
      </c>
      <c r="N61" s="12">
        <f t="shared" si="30"/>
        <v>0</v>
      </c>
      <c r="O61" s="12">
        <f t="shared" si="30"/>
        <v>0</v>
      </c>
      <c r="P61" s="12">
        <f>P60*0</f>
        <v>0</v>
      </c>
      <c r="Q61" s="12">
        <f>Q60*0</f>
        <v>0</v>
      </c>
      <c r="R61" s="12">
        <f t="shared" si="30"/>
        <v>0</v>
      </c>
      <c r="S61" s="12">
        <f t="shared" si="30"/>
        <v>0</v>
      </c>
      <c r="T61" s="12">
        <f t="shared" si="30"/>
        <v>0</v>
      </c>
      <c r="U61" s="12">
        <f t="shared" si="30"/>
        <v>0</v>
      </c>
      <c r="V61" s="12">
        <f t="shared" si="30"/>
        <v>0</v>
      </c>
      <c r="W61" s="12">
        <f t="shared" si="30"/>
        <v>0</v>
      </c>
      <c r="X61" s="12">
        <f t="shared" si="30"/>
        <v>0</v>
      </c>
    </row>
    <row r="62" spans="1:24" x14ac:dyDescent="0.25">
      <c r="A62" s="18" t="s">
        <v>66</v>
      </c>
      <c r="B62" s="4" t="s">
        <v>67</v>
      </c>
      <c r="C62" s="19">
        <f t="shared" ref="C62:X62" si="31">C61</f>
        <v>0</v>
      </c>
      <c r="D62" s="19">
        <f t="shared" si="31"/>
        <v>0</v>
      </c>
      <c r="E62" s="19">
        <f t="shared" si="31"/>
        <v>0</v>
      </c>
      <c r="F62" s="19">
        <f t="shared" si="31"/>
        <v>0</v>
      </c>
      <c r="G62" s="19">
        <f t="shared" si="31"/>
        <v>0</v>
      </c>
      <c r="H62" s="19">
        <f t="shared" si="31"/>
        <v>0</v>
      </c>
      <c r="I62" s="19">
        <f t="shared" si="31"/>
        <v>0</v>
      </c>
      <c r="J62" s="19">
        <f t="shared" si="31"/>
        <v>0</v>
      </c>
      <c r="K62" s="19">
        <f t="shared" si="31"/>
        <v>0</v>
      </c>
      <c r="L62" s="19">
        <f t="shared" si="31"/>
        <v>0</v>
      </c>
      <c r="M62" s="19">
        <f t="shared" si="31"/>
        <v>0</v>
      </c>
      <c r="N62" s="19">
        <f t="shared" si="31"/>
        <v>0</v>
      </c>
      <c r="O62" s="19">
        <f t="shared" si="31"/>
        <v>0</v>
      </c>
      <c r="P62" s="19">
        <f t="shared" si="31"/>
        <v>0</v>
      </c>
      <c r="Q62" s="19">
        <f t="shared" si="31"/>
        <v>0</v>
      </c>
      <c r="R62" s="19">
        <f t="shared" si="31"/>
        <v>0</v>
      </c>
      <c r="S62" s="20">
        <f t="shared" si="31"/>
        <v>0</v>
      </c>
      <c r="T62" s="20">
        <f t="shared" si="31"/>
        <v>0</v>
      </c>
      <c r="U62" s="20">
        <f t="shared" si="31"/>
        <v>0</v>
      </c>
      <c r="V62" s="20">
        <f t="shared" si="31"/>
        <v>0</v>
      </c>
      <c r="W62" s="20">
        <f t="shared" si="31"/>
        <v>0</v>
      </c>
      <c r="X62" s="20">
        <f t="shared" si="31"/>
        <v>0</v>
      </c>
    </row>
    <row r="63" spans="1:24" x14ac:dyDescent="0.25">
      <c r="A63" s="25" t="s">
        <v>105</v>
      </c>
      <c r="B63" s="26" t="s">
        <v>67</v>
      </c>
      <c r="C63" s="27">
        <f t="shared" ref="C63:X63" si="32">C58+C62</f>
        <v>6012.1330347828871</v>
      </c>
      <c r="D63" s="27">
        <f t="shared" si="32"/>
        <v>5532.0589581418099</v>
      </c>
      <c r="E63" s="27">
        <f t="shared" si="32"/>
        <v>5610.1559706178141</v>
      </c>
      <c r="F63" s="27">
        <f t="shared" si="32"/>
        <v>5148.8408236377727</v>
      </c>
      <c r="G63" s="27">
        <f t="shared" si="32"/>
        <v>4843.0531968870564</v>
      </c>
      <c r="H63" s="27">
        <f t="shared" si="32"/>
        <v>4308.6064183948574</v>
      </c>
      <c r="I63" s="27">
        <f t="shared" si="32"/>
        <v>6975.3077793659859</v>
      </c>
      <c r="J63" s="27">
        <f t="shared" si="32"/>
        <v>4300.7833423825914</v>
      </c>
      <c r="K63" s="27">
        <f t="shared" si="32"/>
        <v>5006.3831069048811</v>
      </c>
      <c r="L63" s="27">
        <f t="shared" si="32"/>
        <v>4444.0256393658765</v>
      </c>
      <c r="M63" s="27">
        <f t="shared" si="32"/>
        <v>6131.8735617916454</v>
      </c>
      <c r="N63" s="27">
        <f t="shared" si="32"/>
        <v>5142.9602439859091</v>
      </c>
      <c r="O63" s="27">
        <f t="shared" si="32"/>
        <v>5836.327983261197</v>
      </c>
      <c r="P63" s="27">
        <f>P58+P62</f>
        <v>7839.5129528334164</v>
      </c>
      <c r="Q63" s="27">
        <f>Q58+Q62</f>
        <v>5718.7877174020587</v>
      </c>
      <c r="R63" s="27">
        <f t="shared" ref="R63" si="33">R58+R62</f>
        <v>5706.67438339205</v>
      </c>
      <c r="S63" s="13">
        <f t="shared" si="32"/>
        <v>8278.4949266633103</v>
      </c>
      <c r="T63" s="13">
        <f t="shared" si="32"/>
        <v>9688.7629997483637</v>
      </c>
      <c r="U63" s="13">
        <f t="shared" si="32"/>
        <v>8107.8430797584269</v>
      </c>
      <c r="V63" s="13">
        <f t="shared" si="32"/>
        <v>7633.2923045193738</v>
      </c>
      <c r="W63" s="13">
        <f t="shared" si="32"/>
        <v>8464.3919889421213</v>
      </c>
      <c r="X63" s="13">
        <f t="shared" si="32"/>
        <v>7475.1341140910445</v>
      </c>
    </row>
    <row r="64" spans="1:24" x14ac:dyDescent="0.25">
      <c r="A64" s="25" t="s">
        <v>106</v>
      </c>
      <c r="B64" s="26" t="s">
        <v>67</v>
      </c>
      <c r="C64" s="28">
        <f t="shared" ref="C64:X64" si="34">C63/C8</f>
        <v>37.575831467393044</v>
      </c>
      <c r="D64" s="28">
        <f t="shared" si="34"/>
        <v>34.57536848838631</v>
      </c>
      <c r="E64" s="28">
        <f t="shared" si="34"/>
        <v>35.063474816361335</v>
      </c>
      <c r="F64" s="28">
        <f t="shared" si="34"/>
        <v>32.180255147736077</v>
      </c>
      <c r="G64" s="28">
        <f t="shared" si="34"/>
        <v>80.717553281450947</v>
      </c>
      <c r="H64" s="28">
        <f t="shared" si="34"/>
        <v>71.810106973247628</v>
      </c>
      <c r="I64" s="28">
        <f t="shared" si="34"/>
        <v>43.595673621037413</v>
      </c>
      <c r="J64" s="28">
        <f t="shared" si="34"/>
        <v>71.679722373043191</v>
      </c>
      <c r="K64" s="28">
        <f t="shared" si="34"/>
        <v>83.439718448414681</v>
      </c>
      <c r="L64" s="28">
        <f t="shared" si="34"/>
        <v>74.067093989431271</v>
      </c>
      <c r="M64" s="28">
        <f t="shared" si="34"/>
        <v>51.098946348263709</v>
      </c>
      <c r="N64" s="28">
        <f t="shared" si="34"/>
        <v>85.716004066431822</v>
      </c>
      <c r="O64" s="28">
        <f t="shared" si="34"/>
        <v>97.27213305435329</v>
      </c>
      <c r="P64" s="28">
        <f>P63/P8</f>
        <v>65.329274606945134</v>
      </c>
      <c r="Q64" s="28">
        <f>Q63/Q8</f>
        <v>35.742423233762864</v>
      </c>
      <c r="R64" s="28">
        <f t="shared" ref="R64" si="35">R63/R8</f>
        <v>95.111239723200839</v>
      </c>
      <c r="S64" s="13">
        <f t="shared" si="34"/>
        <v>68.98745772219425</v>
      </c>
      <c r="T64" s="13">
        <f t="shared" si="34"/>
        <v>19.377525999496726</v>
      </c>
      <c r="U64" s="13">
        <f t="shared" si="34"/>
        <v>50.674019248490168</v>
      </c>
      <c r="V64" s="13">
        <f t="shared" si="34"/>
        <v>47.708076903246088</v>
      </c>
      <c r="W64" s="13">
        <f t="shared" si="34"/>
        <v>70.536599907851013</v>
      </c>
      <c r="X64" s="13">
        <f t="shared" si="34"/>
        <v>46.719588213069031</v>
      </c>
    </row>
    <row r="65" spans="1:27" x14ac:dyDescent="0.25">
      <c r="A65" s="25" t="s">
        <v>107</v>
      </c>
      <c r="B65" s="26" t="s">
        <v>108</v>
      </c>
      <c r="C65" s="28">
        <v>44</v>
      </c>
      <c r="D65" s="28">
        <v>44</v>
      </c>
      <c r="E65" s="28">
        <v>41.5</v>
      </c>
      <c r="F65" s="28">
        <v>44</v>
      </c>
      <c r="G65" s="28">
        <v>105</v>
      </c>
      <c r="H65" s="28">
        <v>95</v>
      </c>
      <c r="I65" s="28">
        <v>44</v>
      </c>
      <c r="J65" s="28">
        <v>105</v>
      </c>
      <c r="K65" s="28">
        <v>107</v>
      </c>
      <c r="L65" s="28">
        <v>97</v>
      </c>
      <c r="M65" s="28">
        <v>65</v>
      </c>
      <c r="N65" s="28">
        <v>119</v>
      </c>
      <c r="O65" s="28">
        <v>119</v>
      </c>
      <c r="P65" s="28">
        <v>49</v>
      </c>
      <c r="Q65" s="28">
        <v>49</v>
      </c>
      <c r="R65" s="28">
        <v>121</v>
      </c>
      <c r="S65" s="29">
        <v>92</v>
      </c>
      <c r="T65" s="29">
        <v>22</v>
      </c>
      <c r="U65" s="29">
        <v>65</v>
      </c>
      <c r="V65" s="29">
        <v>60</v>
      </c>
      <c r="W65" s="29">
        <v>98</v>
      </c>
      <c r="X65" s="29">
        <v>65</v>
      </c>
    </row>
    <row r="66" spans="1:27" x14ac:dyDescent="0.25">
      <c r="A66" s="21" t="s">
        <v>109</v>
      </c>
      <c r="B66" s="26"/>
      <c r="C66" s="28">
        <f t="shared" ref="C66:S66" si="36">(C65-C64)*100/C64</f>
        <v>17.096543926597121</v>
      </c>
      <c r="D66" s="28">
        <f t="shared" si="36"/>
        <v>27.258224347715558</v>
      </c>
      <c r="E66" s="28">
        <f t="shared" si="36"/>
        <v>18.356780716539966</v>
      </c>
      <c r="F66" s="28">
        <f t="shared" si="36"/>
        <v>36.729804651954282</v>
      </c>
      <c r="G66" s="28">
        <f t="shared" si="36"/>
        <v>30.083229398541754</v>
      </c>
      <c r="H66" s="28">
        <f t="shared" si="36"/>
        <v>32.293355356498225</v>
      </c>
      <c r="I66" s="28">
        <f t="shared" si="36"/>
        <v>0.92744610962376817</v>
      </c>
      <c r="J66" s="28">
        <f t="shared" si="36"/>
        <v>46.484942357265133</v>
      </c>
      <c r="K66" s="28">
        <f t="shared" si="36"/>
        <v>28.236290809335728</v>
      </c>
      <c r="L66" s="28">
        <f t="shared" si="36"/>
        <v>30.962340731014852</v>
      </c>
      <c r="M66" s="28">
        <f t="shared" si="36"/>
        <v>27.204188432759405</v>
      </c>
      <c r="N66" s="28">
        <f t="shared" si="36"/>
        <v>38.830550135972665</v>
      </c>
      <c r="O66" s="28">
        <f t="shared" si="36"/>
        <v>22.337195930005677</v>
      </c>
      <c r="P66" s="28">
        <f>(P65-P64)*100/P64</f>
        <v>-24.995340458302248</v>
      </c>
      <c r="Q66" s="28">
        <f>(Q65-Q64)*100/Q64</f>
        <v>37.091991999338809</v>
      </c>
      <c r="R66" s="28">
        <f t="shared" ref="R66" si="37">(R65-R64)*100/R64</f>
        <v>27.219454138272599</v>
      </c>
      <c r="S66" s="29">
        <f t="shared" si="36"/>
        <v>33.357574025230804</v>
      </c>
      <c r="T66" s="29">
        <f>(T65-T64)*100/T64</f>
        <v>13.53358525010564</v>
      </c>
      <c r="U66" s="29">
        <f>(U65-U64)*100/U64</f>
        <v>28.270859434416533</v>
      </c>
      <c r="V66" s="29">
        <f>(V65-V64)*100/V64</f>
        <v>25.76486812009302</v>
      </c>
      <c r="W66" s="29">
        <f>(W65-W64)*100/W64</f>
        <v>38.934964441193877</v>
      </c>
      <c r="X66" s="29">
        <f>(X65-X64)*100/X64</f>
        <v>39.127938593040355</v>
      </c>
    </row>
    <row r="67" spans="1:27" x14ac:dyDescent="0.25">
      <c r="A67" s="21" t="s">
        <v>110</v>
      </c>
      <c r="B67" s="26" t="s">
        <v>56</v>
      </c>
      <c r="C67" s="30">
        <f t="shared" ref="C67:X67" si="38">1000/C9</f>
        <v>8.9902897678275675</v>
      </c>
      <c r="D67" s="30">
        <f t="shared" si="38"/>
        <v>9.4303738823366068</v>
      </c>
      <c r="E67" s="30">
        <f t="shared" si="38"/>
        <v>8.9902897678275675</v>
      </c>
      <c r="F67" s="30">
        <f t="shared" si="38"/>
        <v>9.4303738823366068</v>
      </c>
      <c r="G67" s="30">
        <f t="shared" si="38"/>
        <v>4.4951448839137838</v>
      </c>
      <c r="H67" s="30">
        <f t="shared" si="38"/>
        <v>4.4951448839137838</v>
      </c>
      <c r="I67" s="30">
        <f t="shared" si="38"/>
        <v>7.5940782896313124</v>
      </c>
      <c r="J67" s="30">
        <f t="shared" si="38"/>
        <v>4.5564469737787867</v>
      </c>
      <c r="K67" s="30">
        <f t="shared" si="38"/>
        <v>4.3815833289517503</v>
      </c>
      <c r="L67" s="30">
        <f t="shared" si="38"/>
        <v>4.3815833289517503</v>
      </c>
      <c r="M67" s="30">
        <f t="shared" si="38"/>
        <v>6.6159006556357554</v>
      </c>
      <c r="N67" s="30">
        <f t="shared" si="38"/>
        <v>3.7000037000037</v>
      </c>
      <c r="O67" s="30">
        <f t="shared" si="38"/>
        <v>3.1514227097823317</v>
      </c>
      <c r="P67" s="30">
        <f>1000/P9</f>
        <v>5.6123651629269613</v>
      </c>
      <c r="Q67" s="30">
        <f>1000/Q9</f>
        <v>11.224730325853923</v>
      </c>
      <c r="R67" s="30">
        <f t="shared" ref="R67" si="39">1000/R9</f>
        <v>3.7345831738355106</v>
      </c>
      <c r="S67" s="30">
        <f t="shared" si="38"/>
        <v>6.6159006556357554</v>
      </c>
      <c r="T67" s="30">
        <f t="shared" si="38"/>
        <v>27.000027000027</v>
      </c>
      <c r="U67" s="30">
        <f t="shared" si="38"/>
        <v>9.0000090000090012</v>
      </c>
      <c r="V67" s="30">
        <f t="shared" si="38"/>
        <v>9.0000090000090012</v>
      </c>
      <c r="W67" s="30">
        <f t="shared" si="38"/>
        <v>6.3048343262922</v>
      </c>
      <c r="X67" s="30">
        <f t="shared" si="38"/>
        <v>10.030130512058223</v>
      </c>
    </row>
    <row r="68" spans="1:27" x14ac:dyDescent="0.25">
      <c r="A68" s="21" t="s">
        <v>111</v>
      </c>
      <c r="B68" s="26" t="s">
        <v>65</v>
      </c>
      <c r="C68" s="30">
        <f t="shared" ref="C68:X68" si="40">C67*C64</f>
        <v>337.8176131589168</v>
      </c>
      <c r="D68" s="30">
        <f t="shared" si="40"/>
        <v>326.05865196504237</v>
      </c>
      <c r="E68" s="30">
        <f t="shared" si="40"/>
        <v>315.23079886601289</v>
      </c>
      <c r="F68" s="30">
        <f t="shared" si="40"/>
        <v>303.47183767213846</v>
      </c>
      <c r="G68" s="30">
        <f t="shared" si="40"/>
        <v>362.83709667515245</v>
      </c>
      <c r="H68" s="30">
        <f t="shared" si="40"/>
        <v>322.79683497409559</v>
      </c>
      <c r="I68" s="30">
        <f t="shared" si="40"/>
        <v>331.0689585673727</v>
      </c>
      <c r="J68" s="30">
        <f t="shared" si="40"/>
        <v>326.60485408795626</v>
      </c>
      <c r="K68" s="30">
        <f t="shared" si="40"/>
        <v>365.5980793260016</v>
      </c>
      <c r="L68" s="30">
        <f t="shared" si="40"/>
        <v>324.53114424799446</v>
      </c>
      <c r="M68" s="30">
        <f t="shared" si="40"/>
        <v>338.06555264777415</v>
      </c>
      <c r="N68" s="30">
        <f t="shared" si="40"/>
        <v>317.14953219532993</v>
      </c>
      <c r="O68" s="30">
        <f t="shared" si="40"/>
        <v>306.54560913645759</v>
      </c>
      <c r="P68" s="30">
        <f>P67*P64</f>
        <v>366.65174492330783</v>
      </c>
      <c r="Q68" s="30">
        <f>Q67*Q64</f>
        <v>401.19906199152382</v>
      </c>
      <c r="R68" s="30">
        <f t="shared" ref="R68" si="41">R67*R64</f>
        <v>355.20083551290151</v>
      </c>
      <c r="S68" s="30">
        <f t="shared" si="40"/>
        <v>456.41416677490889</v>
      </c>
      <c r="T68" s="30">
        <f t="shared" si="40"/>
        <v>523.19372518013677</v>
      </c>
      <c r="U68" s="30">
        <f t="shared" si="40"/>
        <v>456.06662930304088</v>
      </c>
      <c r="V68" s="30">
        <f t="shared" si="40"/>
        <v>429.37312150233635</v>
      </c>
      <c r="W68" s="30">
        <f t="shared" si="40"/>
        <v>444.72157635895832</v>
      </c>
      <c r="X68" s="30">
        <f t="shared" si="40"/>
        <v>468.60356724669941</v>
      </c>
    </row>
    <row r="69" spans="1:27" x14ac:dyDescent="0.25">
      <c r="A69" s="21" t="s">
        <v>112</v>
      </c>
      <c r="B69" s="26" t="s">
        <v>65</v>
      </c>
      <c r="C69" s="30">
        <f t="shared" ref="C69:X69" si="42">(C68-C13)+15</f>
        <v>163.8176131589168</v>
      </c>
      <c r="D69" s="30">
        <f t="shared" si="42"/>
        <v>152.05865196504237</v>
      </c>
      <c r="E69" s="30">
        <f t="shared" si="42"/>
        <v>123.23079886601289</v>
      </c>
      <c r="F69" s="30">
        <f t="shared" si="42"/>
        <v>111.47183767213846</v>
      </c>
      <c r="G69" s="30">
        <f t="shared" si="42"/>
        <v>149.83709667515245</v>
      </c>
      <c r="H69" s="30">
        <f t="shared" si="42"/>
        <v>148.79683497409559</v>
      </c>
      <c r="I69" s="30">
        <f t="shared" si="42"/>
        <v>157.0689585673727</v>
      </c>
      <c r="J69" s="30">
        <f t="shared" si="42"/>
        <v>152.60485408795626</v>
      </c>
      <c r="K69" s="30">
        <f t="shared" si="42"/>
        <v>152.5980793260016</v>
      </c>
      <c r="L69" s="30">
        <f t="shared" si="42"/>
        <v>151.53114424799446</v>
      </c>
      <c r="M69" s="30">
        <f t="shared" si="42"/>
        <v>165.06555264777415</v>
      </c>
      <c r="N69" s="30">
        <f t="shared" si="42"/>
        <v>144.14953219532993</v>
      </c>
      <c r="O69" s="30">
        <f t="shared" si="42"/>
        <v>141.54560913645759</v>
      </c>
      <c r="P69" s="30">
        <f>(P68-P13)+15</f>
        <v>156.65174492330783</v>
      </c>
      <c r="Q69" s="30">
        <f>(Q68-Q13)+15</f>
        <v>191.19906199152382</v>
      </c>
      <c r="R69" s="30">
        <f t="shared" ref="R69" si="43">(R68-R13)+15</f>
        <v>145.20083551290151</v>
      </c>
      <c r="S69" s="30">
        <f t="shared" si="42"/>
        <v>187.41416677490889</v>
      </c>
      <c r="T69" s="30">
        <f t="shared" si="42"/>
        <v>254.19372518013677</v>
      </c>
      <c r="U69" s="30">
        <f t="shared" si="42"/>
        <v>187.06662930304088</v>
      </c>
      <c r="V69" s="30">
        <f t="shared" si="42"/>
        <v>127.37312150233635</v>
      </c>
      <c r="W69" s="30">
        <f t="shared" si="42"/>
        <v>177.72157635895832</v>
      </c>
      <c r="X69" s="30">
        <f t="shared" si="42"/>
        <v>195.60356724669941</v>
      </c>
    </row>
    <row r="70" spans="1:27" x14ac:dyDescent="0.25">
      <c r="A70" s="25" t="s">
        <v>113</v>
      </c>
      <c r="B70" s="26" t="s">
        <v>65</v>
      </c>
      <c r="C70" s="31">
        <f t="shared" ref="C70:AA70" si="44">C65*C67</f>
        <v>395.57274978441296</v>
      </c>
      <c r="D70" s="31">
        <f t="shared" si="44"/>
        <v>414.93645082281068</v>
      </c>
      <c r="E70" s="31">
        <f t="shared" si="44"/>
        <v>373.09702536484406</v>
      </c>
      <c r="F70" s="31">
        <f t="shared" si="44"/>
        <v>414.93645082281068</v>
      </c>
      <c r="G70" s="31">
        <f t="shared" si="44"/>
        <v>471.9902128109473</v>
      </c>
      <c r="H70" s="31">
        <f t="shared" si="44"/>
        <v>427.03876397180943</v>
      </c>
      <c r="I70" s="31">
        <f t="shared" si="44"/>
        <v>334.13944474377774</v>
      </c>
      <c r="J70" s="31">
        <f t="shared" si="44"/>
        <v>478.42693224677259</v>
      </c>
      <c r="K70" s="31">
        <f t="shared" si="44"/>
        <v>468.8294161978373</v>
      </c>
      <c r="L70" s="31">
        <f t="shared" si="44"/>
        <v>425.01358290831979</v>
      </c>
      <c r="M70" s="31">
        <f t="shared" si="44"/>
        <v>430.0335426163241</v>
      </c>
      <c r="N70" s="31">
        <f t="shared" si="44"/>
        <v>440.3004403004403</v>
      </c>
      <c r="O70" s="31">
        <f t="shared" si="44"/>
        <v>375.01930246409745</v>
      </c>
      <c r="P70" s="31">
        <f t="shared" si="44"/>
        <v>275.00589298342112</v>
      </c>
      <c r="Q70" s="31">
        <f t="shared" si="44"/>
        <v>550.01178596684224</v>
      </c>
      <c r="R70" s="31">
        <f t="shared" si="44"/>
        <v>451.8845640340968</v>
      </c>
      <c r="S70" s="31">
        <f t="shared" si="44"/>
        <v>608.66286031848949</v>
      </c>
      <c r="T70" s="31">
        <f t="shared" si="44"/>
        <v>594.00059400059399</v>
      </c>
      <c r="U70" s="31">
        <f t="shared" si="44"/>
        <v>585.00058500058503</v>
      </c>
      <c r="V70" s="31">
        <f t="shared" si="44"/>
        <v>540.00054000054001</v>
      </c>
      <c r="W70" s="31">
        <f t="shared" si="44"/>
        <v>617.87376397663559</v>
      </c>
      <c r="X70" s="31">
        <f t="shared" si="44"/>
        <v>651.95848328378452</v>
      </c>
      <c r="Y70" s="31">
        <f t="shared" si="44"/>
        <v>0</v>
      </c>
      <c r="Z70" s="31">
        <f t="shared" si="44"/>
        <v>0</v>
      </c>
      <c r="AA70" s="31">
        <f t="shared" si="44"/>
        <v>0</v>
      </c>
    </row>
    <row r="71" spans="1:27" x14ac:dyDescent="0.25">
      <c r="A71" s="32" t="s">
        <v>114</v>
      </c>
      <c r="C71" s="34">
        <f>C70-C68</f>
        <v>57.755136625496164</v>
      </c>
      <c r="D71" s="34">
        <f>D70-D68</f>
        <v>88.877798857768312</v>
      </c>
      <c r="E71" s="34">
        <f t="shared" ref="E71:X71" si="45">E70-E68</f>
        <v>57.866226498831168</v>
      </c>
      <c r="F71" s="34">
        <f>F70-F68</f>
        <v>111.46461315067222</v>
      </c>
      <c r="G71" s="34">
        <f t="shared" si="45"/>
        <v>109.15311613579485</v>
      </c>
      <c r="H71" s="34">
        <f t="shared" si="45"/>
        <v>104.24192899771384</v>
      </c>
      <c r="I71" s="34">
        <f t="shared" si="45"/>
        <v>3.0704861764050406</v>
      </c>
      <c r="J71" s="34">
        <f t="shared" si="45"/>
        <v>151.82207815881634</v>
      </c>
      <c r="K71" s="34">
        <f t="shared" si="45"/>
        <v>103.23133687183571</v>
      </c>
      <c r="L71" s="34">
        <f t="shared" si="45"/>
        <v>100.48243866032533</v>
      </c>
      <c r="M71" s="34">
        <f t="shared" si="45"/>
        <v>91.967989968549944</v>
      </c>
      <c r="N71" s="34">
        <f t="shared" si="45"/>
        <v>123.15090810511037</v>
      </c>
      <c r="O71" s="34">
        <f t="shared" si="45"/>
        <v>68.473693327639864</v>
      </c>
      <c r="P71" s="34">
        <f t="shared" si="45"/>
        <v>-91.645851939886711</v>
      </c>
      <c r="Q71" s="34">
        <f t="shared" si="45"/>
        <v>148.81272397531842</v>
      </c>
      <c r="R71" s="34">
        <f t="shared" si="45"/>
        <v>96.683728521195292</v>
      </c>
      <c r="S71" s="34">
        <f t="shared" si="45"/>
        <v>152.2486935435806</v>
      </c>
      <c r="T71" s="34">
        <f t="shared" si="45"/>
        <v>70.806868820457225</v>
      </c>
      <c r="U71" s="34">
        <f t="shared" si="45"/>
        <v>128.93395569754415</v>
      </c>
      <c r="V71" s="34">
        <f t="shared" si="45"/>
        <v>110.62741849820367</v>
      </c>
      <c r="W71" s="34">
        <f t="shared" si="45"/>
        <v>173.15218761767727</v>
      </c>
      <c r="X71" s="34">
        <f t="shared" si="45"/>
        <v>183.3549160370851</v>
      </c>
    </row>
  </sheetData>
  <conditionalFormatting sqref="A1:C2 M1:M2 A3:B59 C59 L59:N59">
    <cfRule type="expression" dxfId="593" priority="594">
      <formula>$A1="Value"</formula>
    </cfRule>
  </conditionalFormatting>
  <conditionalFormatting sqref="C45:C48 M47:M48 M45">
    <cfRule type="expression" dxfId="592" priority="584">
      <formula>$A45="Value"</formula>
    </cfRule>
  </conditionalFormatting>
  <conditionalFormatting sqref="C49:C56 M49 M51:M56">
    <cfRule type="expression" dxfId="591" priority="583">
      <formula>$A49="Value"</formula>
    </cfRule>
  </conditionalFormatting>
  <conditionalFormatting sqref="C3:C14 C17 C43:C44 M43:M44 M17 M3:M12 M14 N9:O9">
    <cfRule type="expression" dxfId="590" priority="593">
      <formula>$A3="Value"</formula>
    </cfRule>
  </conditionalFormatting>
  <conditionalFormatting sqref="C15:C16 M16">
    <cfRule type="expression" dxfId="589" priority="592">
      <formula>$A15="Value"</formula>
    </cfRule>
  </conditionalFormatting>
  <conditionalFormatting sqref="C18:C19 M19">
    <cfRule type="expression" dxfId="588" priority="591">
      <formula>$A18="Value"</formula>
    </cfRule>
  </conditionalFormatting>
  <conditionalFormatting sqref="C20:C28 M20:M21 M23:M28">
    <cfRule type="expression" dxfId="587" priority="590">
      <formula>$A20="Value"</formula>
    </cfRule>
  </conditionalFormatting>
  <conditionalFormatting sqref="C29:C32 M29:M32">
    <cfRule type="expression" dxfId="586" priority="589">
      <formula>$A29="Value"</formula>
    </cfRule>
  </conditionalFormatting>
  <conditionalFormatting sqref="C33:C34 M33:M34">
    <cfRule type="expression" dxfId="585" priority="588">
      <formula>$A33="Value"</formula>
    </cfRule>
  </conditionalFormatting>
  <conditionalFormatting sqref="C35:C36 M36">
    <cfRule type="expression" dxfId="584" priority="587">
      <formula>$A35="Value"</formula>
    </cfRule>
  </conditionalFormatting>
  <conditionalFormatting sqref="C37:C39 M38:M39">
    <cfRule type="expression" dxfId="583" priority="586">
      <formula>$A37="Value"</formula>
    </cfRule>
  </conditionalFormatting>
  <conditionalFormatting sqref="C40:C42 M41:M42">
    <cfRule type="expression" dxfId="582" priority="585">
      <formula>$A40="Value"</formula>
    </cfRule>
  </conditionalFormatting>
  <conditionalFormatting sqref="C58 M57 L58:N58">
    <cfRule type="expression" dxfId="581" priority="582">
      <formula>$A57="Value"</formula>
    </cfRule>
  </conditionalFormatting>
  <conditionalFormatting sqref="M45 M47:M48">
    <cfRule type="expression" dxfId="580" priority="571">
      <formula>$A45="Value"</formula>
    </cfRule>
  </conditionalFormatting>
  <conditionalFormatting sqref="M41:M42">
    <cfRule type="expression" dxfId="579" priority="572">
      <formula>$A41="Value"</formula>
    </cfRule>
  </conditionalFormatting>
  <conditionalFormatting sqref="M49 M51:M55">
    <cfRule type="expression" dxfId="578" priority="570">
      <formula>$A49="Value"</formula>
    </cfRule>
  </conditionalFormatting>
  <conditionalFormatting sqref="M1:M2">
    <cfRule type="expression" dxfId="577" priority="581">
      <formula>$A1="Value"</formula>
    </cfRule>
  </conditionalFormatting>
  <conditionalFormatting sqref="M3:M12 M17 M43:M44 M14 N9:O9">
    <cfRule type="expression" dxfId="576" priority="580">
      <formula>$A3="Value"</formula>
    </cfRule>
  </conditionalFormatting>
  <conditionalFormatting sqref="M16">
    <cfRule type="expression" dxfId="575" priority="579">
      <formula>$A16="Value"</formula>
    </cfRule>
  </conditionalFormatting>
  <conditionalFormatting sqref="M19">
    <cfRule type="expression" dxfId="574" priority="578">
      <formula>$A19="Value"</formula>
    </cfRule>
  </conditionalFormatting>
  <conditionalFormatting sqref="M20:M21 M23:M28">
    <cfRule type="expression" dxfId="573" priority="577">
      <formula>$A20="Value"</formula>
    </cfRule>
  </conditionalFormatting>
  <conditionalFormatting sqref="M29:M32">
    <cfRule type="expression" dxfId="572" priority="576">
      <formula>$A29="Value"</formula>
    </cfRule>
  </conditionalFormatting>
  <conditionalFormatting sqref="M33:M34">
    <cfRule type="expression" dxfId="571" priority="575">
      <formula>$A33="Value"</formula>
    </cfRule>
  </conditionalFormatting>
  <conditionalFormatting sqref="M36">
    <cfRule type="expression" dxfId="570" priority="574">
      <formula>$A36="Value"</formula>
    </cfRule>
  </conditionalFormatting>
  <conditionalFormatting sqref="M38:M39">
    <cfRule type="expression" dxfId="569" priority="573">
      <formula>$A38="Value"</formula>
    </cfRule>
  </conditionalFormatting>
  <conditionalFormatting sqref="M57">
    <cfRule type="expression" dxfId="568" priority="569">
      <formula>$A57="Value"</formula>
    </cfRule>
  </conditionalFormatting>
  <conditionalFormatting sqref="C60 M60">
    <cfRule type="expression" dxfId="567" priority="568">
      <formula>$A60="Value"</formula>
    </cfRule>
  </conditionalFormatting>
  <conditionalFormatting sqref="C62 M62">
    <cfRule type="expression" dxfId="566" priority="566">
      <formula>$A62="Value"</formula>
    </cfRule>
  </conditionalFormatting>
  <conditionalFormatting sqref="A60:B62 A63 C61 L61:N61 R61:U61">
    <cfRule type="expression" dxfId="565" priority="567">
      <formula>$A60="Value"</formula>
    </cfRule>
  </conditionalFormatting>
  <conditionalFormatting sqref="M62">
    <cfRule type="expression" dxfId="564" priority="565">
      <formula>$A62="Value"</formula>
    </cfRule>
  </conditionalFormatting>
  <conditionalFormatting sqref="A64:A65">
    <cfRule type="expression" dxfId="563" priority="564">
      <formula>$A64="Value"</formula>
    </cfRule>
  </conditionalFormatting>
  <conditionalFormatting sqref="C42 M42">
    <cfRule type="expression" dxfId="562" priority="563">
      <formula>$A42="Value"</formula>
    </cfRule>
  </conditionalFormatting>
  <conditionalFormatting sqref="L49 L51:L55">
    <cfRule type="expression" dxfId="561" priority="536">
      <formula>$A49="Value"</formula>
    </cfRule>
  </conditionalFormatting>
  <conditionalFormatting sqref="M46">
    <cfRule type="expression" dxfId="560" priority="562">
      <formula>$A46="Value"</formula>
    </cfRule>
  </conditionalFormatting>
  <conditionalFormatting sqref="M35">
    <cfRule type="expression" dxfId="559" priority="561">
      <formula>$A35="Value"</formula>
    </cfRule>
  </conditionalFormatting>
  <conditionalFormatting sqref="L35">
    <cfRule type="expression" dxfId="558" priority="529">
      <formula>$A35="Value"</formula>
    </cfRule>
  </conditionalFormatting>
  <conditionalFormatting sqref="L1">
    <cfRule type="expression" dxfId="557" priority="560">
      <formula>$A1="Value"</formula>
    </cfRule>
  </conditionalFormatting>
  <conditionalFormatting sqref="L47:L48 L45">
    <cfRule type="expression" dxfId="556" priority="550">
      <formula>$A45="Value"</formula>
    </cfRule>
  </conditionalFormatting>
  <conditionalFormatting sqref="L49 L51:L56">
    <cfRule type="expression" dxfId="555" priority="549">
      <formula>$A49="Value"</formula>
    </cfRule>
  </conditionalFormatting>
  <conditionalFormatting sqref="L43:L44 L3:L12 L14">
    <cfRule type="expression" dxfId="554" priority="559">
      <formula>$A3="Value"</formula>
    </cfRule>
  </conditionalFormatting>
  <conditionalFormatting sqref="L16">
    <cfRule type="expression" dxfId="553" priority="558">
      <formula>$A16="Value"</formula>
    </cfRule>
  </conditionalFormatting>
  <conditionalFormatting sqref="L19">
    <cfRule type="expression" dxfId="552" priority="557">
      <formula>$A19="Value"</formula>
    </cfRule>
  </conditionalFormatting>
  <conditionalFormatting sqref="L20:L21 L23:L28">
    <cfRule type="expression" dxfId="551" priority="556">
      <formula>$A20="Value"</formula>
    </cfRule>
  </conditionalFormatting>
  <conditionalFormatting sqref="L29:L32">
    <cfRule type="expression" dxfId="550" priority="555">
      <formula>$A29="Value"</formula>
    </cfRule>
  </conditionalFormatting>
  <conditionalFormatting sqref="L33:L34">
    <cfRule type="expression" dxfId="549" priority="554">
      <formula>$A33="Value"</formula>
    </cfRule>
  </conditionalFormatting>
  <conditionalFormatting sqref="L36">
    <cfRule type="expression" dxfId="548" priority="553">
      <formula>$A36="Value"</formula>
    </cfRule>
  </conditionalFormatting>
  <conditionalFormatting sqref="L38:L39">
    <cfRule type="expression" dxfId="547" priority="552">
      <formula>$A38="Value"</formula>
    </cfRule>
  </conditionalFormatting>
  <conditionalFormatting sqref="L41:L42">
    <cfRule type="expression" dxfId="546" priority="551">
      <formula>$A41="Value"</formula>
    </cfRule>
  </conditionalFormatting>
  <conditionalFormatting sqref="L57">
    <cfRule type="expression" dxfId="545" priority="548">
      <formula>$A57="Value"</formula>
    </cfRule>
  </conditionalFormatting>
  <conditionalFormatting sqref="L45 L47:L48">
    <cfRule type="expression" dxfId="544" priority="537">
      <formula>$A45="Value"</formula>
    </cfRule>
  </conditionalFormatting>
  <conditionalFormatting sqref="L41:L42">
    <cfRule type="expression" dxfId="543" priority="538">
      <formula>$A41="Value"</formula>
    </cfRule>
  </conditionalFormatting>
  <conditionalFormatting sqref="L1">
    <cfRule type="expression" dxfId="542" priority="547">
      <formula>$A1="Value"</formula>
    </cfRule>
  </conditionalFormatting>
  <conditionalFormatting sqref="L3:L12 L43:L44 L14">
    <cfRule type="expression" dxfId="541" priority="546">
      <formula>$A3="Value"</formula>
    </cfRule>
  </conditionalFormatting>
  <conditionalFormatting sqref="L16">
    <cfRule type="expression" dxfId="540" priority="545">
      <formula>$A16="Value"</formula>
    </cfRule>
  </conditionalFormatting>
  <conditionalFormatting sqref="L19">
    <cfRule type="expression" dxfId="539" priority="544">
      <formula>$A19="Value"</formula>
    </cfRule>
  </conditionalFormatting>
  <conditionalFormatting sqref="L20:L21 L23:L28">
    <cfRule type="expression" dxfId="538" priority="543">
      <formula>$A20="Value"</formula>
    </cfRule>
  </conditionalFormatting>
  <conditionalFormatting sqref="L29:L32">
    <cfRule type="expression" dxfId="537" priority="542">
      <formula>$A29="Value"</formula>
    </cfRule>
  </conditionalFormatting>
  <conditionalFormatting sqref="L33:L34">
    <cfRule type="expression" dxfId="536" priority="541">
      <formula>$A33="Value"</formula>
    </cfRule>
  </conditionalFormatting>
  <conditionalFormatting sqref="L36">
    <cfRule type="expression" dxfId="535" priority="540">
      <formula>$A36="Value"</formula>
    </cfRule>
  </conditionalFormatting>
  <conditionalFormatting sqref="L38:L39">
    <cfRule type="expression" dxfId="534" priority="539">
      <formula>$A38="Value"</formula>
    </cfRule>
  </conditionalFormatting>
  <conditionalFormatting sqref="L57">
    <cfRule type="expression" dxfId="533" priority="535">
      <formula>$A57="Value"</formula>
    </cfRule>
  </conditionalFormatting>
  <conditionalFormatting sqref="L60">
    <cfRule type="expression" dxfId="532" priority="534">
      <formula>$A60="Value"</formula>
    </cfRule>
  </conditionalFormatting>
  <conditionalFormatting sqref="L62">
    <cfRule type="expression" dxfId="531" priority="533">
      <formula>$A62="Value"</formula>
    </cfRule>
  </conditionalFormatting>
  <conditionalFormatting sqref="L62">
    <cfRule type="expression" dxfId="530" priority="532">
      <formula>$A62="Value"</formula>
    </cfRule>
  </conditionalFormatting>
  <conditionalFormatting sqref="L42">
    <cfRule type="expression" dxfId="529" priority="531">
      <formula>$A42="Value"</formula>
    </cfRule>
  </conditionalFormatting>
  <conditionalFormatting sqref="L46">
    <cfRule type="expression" dxfId="528" priority="530">
      <formula>$A46="Value"</formula>
    </cfRule>
  </conditionalFormatting>
  <conditionalFormatting sqref="N1:N2 Q1:R2">
    <cfRule type="expression" dxfId="527" priority="528">
      <formula>$A1="Value"</formula>
    </cfRule>
  </conditionalFormatting>
  <conditionalFormatting sqref="N47:N48 N45">
    <cfRule type="expression" dxfId="526" priority="518">
      <formula>$A45="Value"</formula>
    </cfRule>
  </conditionalFormatting>
  <conditionalFormatting sqref="N49 N51:N56">
    <cfRule type="expression" dxfId="525" priority="517">
      <formula>$A49="Value"</formula>
    </cfRule>
  </conditionalFormatting>
  <conditionalFormatting sqref="N43:N44 N17 N14 N3:N8 Q3 N10:N12">
    <cfRule type="expression" dxfId="524" priority="527">
      <formula>$A3="Value"</formula>
    </cfRule>
  </conditionalFormatting>
  <conditionalFormatting sqref="N16">
    <cfRule type="expression" dxfId="523" priority="526">
      <formula>$A16="Value"</formula>
    </cfRule>
  </conditionalFormatting>
  <conditionalFormatting sqref="N19">
    <cfRule type="expression" dxfId="522" priority="525">
      <formula>$A19="Value"</formula>
    </cfRule>
  </conditionalFormatting>
  <conditionalFormatting sqref="N20:N21 N23:N28">
    <cfRule type="expression" dxfId="521" priority="524">
      <formula>$A20="Value"</formula>
    </cfRule>
  </conditionalFormatting>
  <conditionalFormatting sqref="N29:N32">
    <cfRule type="expression" dxfId="520" priority="523">
      <formula>$A29="Value"</formula>
    </cfRule>
  </conditionalFormatting>
  <conditionalFormatting sqref="N33:N34">
    <cfRule type="expression" dxfId="519" priority="522">
      <formula>$A33="Value"</formula>
    </cfRule>
  </conditionalFormatting>
  <conditionalFormatting sqref="N36">
    <cfRule type="expression" dxfId="518" priority="521">
      <formula>$A36="Value"</formula>
    </cfRule>
  </conditionalFormatting>
  <conditionalFormatting sqref="N38:N39">
    <cfRule type="expression" dxfId="517" priority="520">
      <formula>$A38="Value"</formula>
    </cfRule>
  </conditionalFormatting>
  <conditionalFormatting sqref="N41:N42">
    <cfRule type="expression" dxfId="516" priority="519">
      <formula>$A41="Value"</formula>
    </cfRule>
  </conditionalFormatting>
  <conditionalFormatting sqref="N57">
    <cfRule type="expression" dxfId="515" priority="516">
      <formula>$A57="Value"</formula>
    </cfRule>
  </conditionalFormatting>
  <conditionalFormatting sqref="N45 N47:N48">
    <cfRule type="expression" dxfId="514" priority="505">
      <formula>$A45="Value"</formula>
    </cfRule>
  </conditionalFormatting>
  <conditionalFormatting sqref="N41:N42">
    <cfRule type="expression" dxfId="513" priority="506">
      <formula>$A41="Value"</formula>
    </cfRule>
  </conditionalFormatting>
  <conditionalFormatting sqref="N49 N51:N55">
    <cfRule type="expression" dxfId="512" priority="504">
      <formula>$A49="Value"</formula>
    </cfRule>
  </conditionalFormatting>
  <conditionalFormatting sqref="N1:N2 Q1:R2">
    <cfRule type="expression" dxfId="511" priority="515">
      <formula>$A1="Value"</formula>
    </cfRule>
  </conditionalFormatting>
  <conditionalFormatting sqref="N17 N43:N44 N14 N3:N8 Q3 N10:N12">
    <cfRule type="expression" dxfId="510" priority="514">
      <formula>$A3="Value"</formula>
    </cfRule>
  </conditionalFormatting>
  <conditionalFormatting sqref="N16">
    <cfRule type="expression" dxfId="509" priority="513">
      <formula>$A16="Value"</formula>
    </cfRule>
  </conditionalFormatting>
  <conditionalFormatting sqref="N19">
    <cfRule type="expression" dxfId="508" priority="512">
      <formula>$A19="Value"</formula>
    </cfRule>
  </conditionalFormatting>
  <conditionalFormatting sqref="N20:N21 N23:N28">
    <cfRule type="expression" dxfId="507" priority="511">
      <formula>$A20="Value"</formula>
    </cfRule>
  </conditionalFormatting>
  <conditionalFormatting sqref="N29:N32">
    <cfRule type="expression" dxfId="506" priority="510">
      <formula>$A29="Value"</formula>
    </cfRule>
  </conditionalFormatting>
  <conditionalFormatting sqref="N33:N34">
    <cfRule type="expression" dxfId="505" priority="509">
      <formula>$A33="Value"</formula>
    </cfRule>
  </conditionalFormatting>
  <conditionalFormatting sqref="N36">
    <cfRule type="expression" dxfId="504" priority="508">
      <formula>$A36="Value"</formula>
    </cfRule>
  </conditionalFormatting>
  <conditionalFormatting sqref="N38:N39">
    <cfRule type="expression" dxfId="503" priority="507">
      <formula>$A38="Value"</formula>
    </cfRule>
  </conditionalFormatting>
  <conditionalFormatting sqref="N57">
    <cfRule type="expression" dxfId="502" priority="503">
      <formula>$A57="Value"</formula>
    </cfRule>
  </conditionalFormatting>
  <conditionalFormatting sqref="N60">
    <cfRule type="expression" dxfId="501" priority="502">
      <formula>$A60="Value"</formula>
    </cfRule>
  </conditionalFormatting>
  <conditionalFormatting sqref="N62">
    <cfRule type="expression" dxfId="500" priority="501">
      <formula>$A62="Value"</formula>
    </cfRule>
  </conditionalFormatting>
  <conditionalFormatting sqref="N62">
    <cfRule type="expression" dxfId="499" priority="500">
      <formula>$A62="Value"</formula>
    </cfRule>
  </conditionalFormatting>
  <conditionalFormatting sqref="N42">
    <cfRule type="expression" dxfId="498" priority="499">
      <formula>$A42="Value"</formula>
    </cfRule>
  </conditionalFormatting>
  <conditionalFormatting sqref="N46">
    <cfRule type="expression" dxfId="497" priority="498">
      <formula>$A46="Value"</formula>
    </cfRule>
  </conditionalFormatting>
  <conditionalFormatting sqref="N35">
    <cfRule type="expression" dxfId="496" priority="497">
      <formula>$A35="Value"</formula>
    </cfRule>
  </conditionalFormatting>
  <conditionalFormatting sqref="S1:S2">
    <cfRule type="expression" dxfId="495" priority="496">
      <formula>$A1="Value"</formula>
    </cfRule>
  </conditionalFormatting>
  <conditionalFormatting sqref="S47:S48 S45">
    <cfRule type="expression" dxfId="494" priority="486">
      <formula>$A45="Value"</formula>
    </cfRule>
  </conditionalFormatting>
  <conditionalFormatting sqref="S49 S51:S56">
    <cfRule type="expression" dxfId="493" priority="485">
      <formula>$A49="Value"</formula>
    </cfRule>
  </conditionalFormatting>
  <conditionalFormatting sqref="S43:S44 S17 S3:S14">
    <cfRule type="expression" dxfId="492" priority="495">
      <formula>$A3="Value"</formula>
    </cfRule>
  </conditionalFormatting>
  <conditionalFormatting sqref="S15:S16">
    <cfRule type="expression" dxfId="491" priority="494">
      <formula>$A15="Value"</formula>
    </cfRule>
  </conditionalFormatting>
  <conditionalFormatting sqref="S19">
    <cfRule type="expression" dxfId="490" priority="493">
      <formula>$A19="Value"</formula>
    </cfRule>
  </conditionalFormatting>
  <conditionalFormatting sqref="S20:S21 S23:S28">
    <cfRule type="expression" dxfId="489" priority="492">
      <formula>$A20="Value"</formula>
    </cfRule>
  </conditionalFormatting>
  <conditionalFormatting sqref="S29:S32">
    <cfRule type="expression" dxfId="488" priority="491">
      <formula>$A29="Value"</formula>
    </cfRule>
  </conditionalFormatting>
  <conditionalFormatting sqref="S33:S34">
    <cfRule type="expression" dxfId="487" priority="490">
      <formula>$A33="Value"</formula>
    </cfRule>
  </conditionalFormatting>
  <conditionalFormatting sqref="S36">
    <cfRule type="expression" dxfId="486" priority="489">
      <formula>$A36="Value"</formula>
    </cfRule>
  </conditionalFormatting>
  <conditionalFormatting sqref="S38:S39">
    <cfRule type="expression" dxfId="485" priority="488">
      <formula>$A38="Value"</formula>
    </cfRule>
  </conditionalFormatting>
  <conditionalFormatting sqref="S41:S42">
    <cfRule type="expression" dxfId="484" priority="487">
      <formula>$A41="Value"</formula>
    </cfRule>
  </conditionalFormatting>
  <conditionalFormatting sqref="S57">
    <cfRule type="expression" dxfId="483" priority="484">
      <formula>$A57="Value"</formula>
    </cfRule>
  </conditionalFormatting>
  <conditionalFormatting sqref="S45 S47:S48">
    <cfRule type="expression" dxfId="482" priority="473">
      <formula>$A45="Value"</formula>
    </cfRule>
  </conditionalFormatting>
  <conditionalFormatting sqref="S41:S42">
    <cfRule type="expression" dxfId="481" priority="474">
      <formula>$A41="Value"</formula>
    </cfRule>
  </conditionalFormatting>
  <conditionalFormatting sqref="S49 S51:S55">
    <cfRule type="expression" dxfId="480" priority="472">
      <formula>$A49="Value"</formula>
    </cfRule>
  </conditionalFormatting>
  <conditionalFormatting sqref="S1:S2">
    <cfRule type="expression" dxfId="479" priority="483">
      <formula>$A1="Value"</formula>
    </cfRule>
  </conditionalFormatting>
  <conditionalFormatting sqref="S3:S14 S17 S43:S44">
    <cfRule type="expression" dxfId="478" priority="482">
      <formula>$A3="Value"</formula>
    </cfRule>
  </conditionalFormatting>
  <conditionalFormatting sqref="S15:S16">
    <cfRule type="expression" dxfId="477" priority="481">
      <formula>$A15="Value"</formula>
    </cfRule>
  </conditionalFormatting>
  <conditionalFormatting sqref="S19">
    <cfRule type="expression" dxfId="476" priority="480">
      <formula>$A19="Value"</formula>
    </cfRule>
  </conditionalFormatting>
  <conditionalFormatting sqref="S20:S21 S23:S28">
    <cfRule type="expression" dxfId="475" priority="479">
      <formula>$A20="Value"</formula>
    </cfRule>
  </conditionalFormatting>
  <conditionalFormatting sqref="S29:S32">
    <cfRule type="expression" dxfId="474" priority="478">
      <formula>$A29="Value"</formula>
    </cfRule>
  </conditionalFormatting>
  <conditionalFormatting sqref="S33:S34">
    <cfRule type="expression" dxfId="473" priority="477">
      <formula>$A33="Value"</formula>
    </cfRule>
  </conditionalFormatting>
  <conditionalFormatting sqref="S36">
    <cfRule type="expression" dxfId="472" priority="476">
      <formula>$A36="Value"</formula>
    </cfRule>
  </conditionalFormatting>
  <conditionalFormatting sqref="S38:S39">
    <cfRule type="expression" dxfId="471" priority="475">
      <formula>$A38="Value"</formula>
    </cfRule>
  </conditionalFormatting>
  <conditionalFormatting sqref="S57">
    <cfRule type="expression" dxfId="470" priority="471">
      <formula>$A57="Value"</formula>
    </cfRule>
  </conditionalFormatting>
  <conditionalFormatting sqref="S60">
    <cfRule type="expression" dxfId="469" priority="470">
      <formula>$A60="Value"</formula>
    </cfRule>
  </conditionalFormatting>
  <conditionalFormatting sqref="S62">
    <cfRule type="expression" dxfId="468" priority="469">
      <formula>$A62="Value"</formula>
    </cfRule>
  </conditionalFormatting>
  <conditionalFormatting sqref="S62">
    <cfRule type="expression" dxfId="467" priority="468">
      <formula>$A62="Value"</formula>
    </cfRule>
  </conditionalFormatting>
  <conditionalFormatting sqref="S42">
    <cfRule type="expression" dxfId="466" priority="467">
      <formula>$A42="Value"</formula>
    </cfRule>
  </conditionalFormatting>
  <conditionalFormatting sqref="S46">
    <cfRule type="expression" dxfId="465" priority="466">
      <formula>$A46="Value"</formula>
    </cfRule>
  </conditionalFormatting>
  <conditionalFormatting sqref="S35">
    <cfRule type="expression" dxfId="464" priority="465">
      <formula>$A35="Value"</formula>
    </cfRule>
  </conditionalFormatting>
  <conditionalFormatting sqref="T1:T2">
    <cfRule type="expression" dxfId="463" priority="464">
      <formula>$A1="Value"</formula>
    </cfRule>
  </conditionalFormatting>
  <conditionalFormatting sqref="T45:T48">
    <cfRule type="expression" dxfId="462" priority="454">
      <formula>$A45="Value"</formula>
    </cfRule>
  </conditionalFormatting>
  <conditionalFormatting sqref="T49 T51:T56">
    <cfRule type="expression" dxfId="461" priority="453">
      <formula>$A49="Value"</formula>
    </cfRule>
  </conditionalFormatting>
  <conditionalFormatting sqref="T3:T12 T17 T43:T44 T14">
    <cfRule type="expression" dxfId="460" priority="463">
      <formula>$A3="Value"</formula>
    </cfRule>
  </conditionalFormatting>
  <conditionalFormatting sqref="T16">
    <cfRule type="expression" dxfId="459" priority="462">
      <formula>$A16="Value"</formula>
    </cfRule>
  </conditionalFormatting>
  <conditionalFormatting sqref="T19">
    <cfRule type="expression" dxfId="458" priority="461">
      <formula>$A19="Value"</formula>
    </cfRule>
  </conditionalFormatting>
  <conditionalFormatting sqref="T20:T21 T23:T28">
    <cfRule type="expression" dxfId="457" priority="460">
      <formula>$A20="Value"</formula>
    </cfRule>
  </conditionalFormatting>
  <conditionalFormatting sqref="T29:T32">
    <cfRule type="expression" dxfId="456" priority="459">
      <formula>$A29="Value"</formula>
    </cfRule>
  </conditionalFormatting>
  <conditionalFormatting sqref="T33:T34">
    <cfRule type="expression" dxfId="455" priority="458">
      <formula>$A33="Value"</formula>
    </cfRule>
  </conditionalFormatting>
  <conditionalFormatting sqref="T35:T36">
    <cfRule type="expression" dxfId="454" priority="457">
      <formula>$A35="Value"</formula>
    </cfRule>
  </conditionalFormatting>
  <conditionalFormatting sqref="T38:T39">
    <cfRule type="expression" dxfId="453" priority="456">
      <formula>$A38="Value"</formula>
    </cfRule>
  </conditionalFormatting>
  <conditionalFormatting sqref="T41:T42">
    <cfRule type="expression" dxfId="452" priority="455">
      <formula>$A41="Value"</formula>
    </cfRule>
  </conditionalFormatting>
  <conditionalFormatting sqref="U62">
    <cfRule type="expression" dxfId="451" priority="434">
      <formula>$A62="Value"</formula>
    </cfRule>
  </conditionalFormatting>
  <conditionalFormatting sqref="T60">
    <cfRule type="expression" dxfId="450" priority="452">
      <formula>$A60="Value"</formula>
    </cfRule>
  </conditionalFormatting>
  <conditionalFormatting sqref="T62">
    <cfRule type="expression" dxfId="449" priority="451">
      <formula>$A62="Value"</formula>
    </cfRule>
  </conditionalFormatting>
  <conditionalFormatting sqref="T42">
    <cfRule type="expression" dxfId="448" priority="450">
      <formula>$A42="Value"</formula>
    </cfRule>
  </conditionalFormatting>
  <conditionalFormatting sqref="T57">
    <cfRule type="expression" dxfId="447" priority="449">
      <formula>$A57="Value"</formula>
    </cfRule>
  </conditionalFormatting>
  <conditionalFormatting sqref="T57">
    <cfRule type="expression" dxfId="446" priority="448">
      <formula>$A57="Value"</formula>
    </cfRule>
  </conditionalFormatting>
  <conditionalFormatting sqref="U1:U2">
    <cfRule type="expression" dxfId="445" priority="447">
      <formula>$A1="Value"</formula>
    </cfRule>
  </conditionalFormatting>
  <conditionalFormatting sqref="U45:U48">
    <cfRule type="expression" dxfId="444" priority="437">
      <formula>$A45="Value"</formula>
    </cfRule>
  </conditionalFormatting>
  <conditionalFormatting sqref="U49 U51:U56">
    <cfRule type="expression" dxfId="443" priority="436">
      <formula>$A49="Value"</formula>
    </cfRule>
  </conditionalFormatting>
  <conditionalFormatting sqref="U3:U10 U17 U43:U44 U12 U14">
    <cfRule type="expression" dxfId="442" priority="446">
      <formula>$A3="Value"</formula>
    </cfRule>
  </conditionalFormatting>
  <conditionalFormatting sqref="U16">
    <cfRule type="expression" dxfId="441" priority="445">
      <formula>$A16="Value"</formula>
    </cfRule>
  </conditionalFormatting>
  <conditionalFormatting sqref="U19">
    <cfRule type="expression" dxfId="440" priority="444">
      <formula>$A19="Value"</formula>
    </cfRule>
  </conditionalFormatting>
  <conditionalFormatting sqref="U20:U21 U23:U28">
    <cfRule type="expression" dxfId="439" priority="443">
      <formula>$A20="Value"</formula>
    </cfRule>
  </conditionalFormatting>
  <conditionalFormatting sqref="U29:U32">
    <cfRule type="expression" dxfId="438" priority="442">
      <formula>$A29="Value"</formula>
    </cfRule>
  </conditionalFormatting>
  <conditionalFormatting sqref="U33:U34">
    <cfRule type="expression" dxfId="437" priority="441">
      <formula>$A33="Value"</formula>
    </cfRule>
  </conditionalFormatting>
  <conditionalFormatting sqref="U35:U36">
    <cfRule type="expression" dxfId="436" priority="440">
      <formula>$A35="Value"</formula>
    </cfRule>
  </conditionalFormatting>
  <conditionalFormatting sqref="U38:U39">
    <cfRule type="expression" dxfId="435" priority="439">
      <formula>$A38="Value"</formula>
    </cfRule>
  </conditionalFormatting>
  <conditionalFormatting sqref="U41:U42">
    <cfRule type="expression" dxfId="434" priority="438">
      <formula>$A41="Value"</formula>
    </cfRule>
  </conditionalFormatting>
  <conditionalFormatting sqref="U60">
    <cfRule type="expression" dxfId="433" priority="435">
      <formula>$A60="Value"</formula>
    </cfRule>
  </conditionalFormatting>
  <conditionalFormatting sqref="U42">
    <cfRule type="expression" dxfId="432" priority="433">
      <formula>$A42="Value"</formula>
    </cfRule>
  </conditionalFormatting>
  <conditionalFormatting sqref="U57">
    <cfRule type="expression" dxfId="431" priority="432">
      <formula>$A57="Value"</formula>
    </cfRule>
  </conditionalFormatting>
  <conditionalFormatting sqref="U57">
    <cfRule type="expression" dxfId="430" priority="431">
      <formula>$A57="Value"</formula>
    </cfRule>
  </conditionalFormatting>
  <conditionalFormatting sqref="U11">
    <cfRule type="expression" dxfId="429" priority="430">
      <formula>$A11="Value"</formula>
    </cfRule>
  </conditionalFormatting>
  <conditionalFormatting sqref="S58:U58">
    <cfRule type="expression" dxfId="428" priority="429">
      <formula>$A58="Value"</formula>
    </cfRule>
  </conditionalFormatting>
  <conditionalFormatting sqref="S58:U58">
    <cfRule type="expression" dxfId="427" priority="428">
      <formula>$A58="Value"</formula>
    </cfRule>
  </conditionalFormatting>
  <conditionalFormatting sqref="S59:U59">
    <cfRule type="expression" dxfId="426" priority="427">
      <formula>$A59="Value"</formula>
    </cfRule>
  </conditionalFormatting>
  <conditionalFormatting sqref="S59:U59">
    <cfRule type="expression" dxfId="425" priority="426">
      <formula>$A59="Value"</formula>
    </cfRule>
  </conditionalFormatting>
  <conditionalFormatting sqref="S63:U63">
    <cfRule type="expression" dxfId="424" priority="425">
      <formula>$A63="Value"</formula>
    </cfRule>
  </conditionalFormatting>
  <conditionalFormatting sqref="S64:U64">
    <cfRule type="expression" dxfId="423" priority="424">
      <formula>$A64="Value"</formula>
    </cfRule>
  </conditionalFormatting>
  <conditionalFormatting sqref="L18:N18 S18:U18">
    <cfRule type="expression" dxfId="422" priority="423">
      <formula>$A18="Value"</formula>
    </cfRule>
  </conditionalFormatting>
  <conditionalFormatting sqref="L22:N22 S22:U22">
    <cfRule type="expression" dxfId="421" priority="422">
      <formula>$A22="Value"</formula>
    </cfRule>
  </conditionalFormatting>
  <conditionalFormatting sqref="L50:N50 S50:U50">
    <cfRule type="expression" dxfId="420" priority="421">
      <formula>$A50="Value"</formula>
    </cfRule>
  </conditionalFormatting>
  <conditionalFormatting sqref="L13:N13">
    <cfRule type="expression" dxfId="419" priority="420">
      <formula>$A13="Value"</formula>
    </cfRule>
  </conditionalFormatting>
  <conditionalFormatting sqref="L40:N40 S40:U40">
    <cfRule type="expression" dxfId="418" priority="419">
      <formula>$A40="Value"</formula>
    </cfRule>
  </conditionalFormatting>
  <conditionalFormatting sqref="L37:N37 S37:U37">
    <cfRule type="expression" dxfId="417" priority="418">
      <formula>$A37="Value"</formula>
    </cfRule>
  </conditionalFormatting>
  <conditionalFormatting sqref="R59">
    <cfRule type="expression" dxfId="416" priority="417">
      <formula>$A59="Value"</formula>
    </cfRule>
  </conditionalFormatting>
  <conditionalFormatting sqref="R58">
    <cfRule type="expression" dxfId="415" priority="416">
      <formula>$A58="Value"</formula>
    </cfRule>
  </conditionalFormatting>
  <conditionalFormatting sqref="R47:R48 R45">
    <cfRule type="expression" dxfId="414" priority="406">
      <formula>$A45="Value"</formula>
    </cfRule>
  </conditionalFormatting>
  <conditionalFormatting sqref="R49 R51:R56">
    <cfRule type="expression" dxfId="413" priority="405">
      <formula>$A49="Value"</formula>
    </cfRule>
  </conditionalFormatting>
  <conditionalFormatting sqref="R43:R44 R17 R3:R12 R14">
    <cfRule type="expression" dxfId="412" priority="415">
      <formula>$A3="Value"</formula>
    </cfRule>
  </conditionalFormatting>
  <conditionalFormatting sqref="R16">
    <cfRule type="expression" dxfId="411" priority="414">
      <formula>$A16="Value"</formula>
    </cfRule>
  </conditionalFormatting>
  <conditionalFormatting sqref="R19">
    <cfRule type="expression" dxfId="410" priority="413">
      <formula>$A19="Value"</formula>
    </cfRule>
  </conditionalFormatting>
  <conditionalFormatting sqref="R20:R21 R23:R28">
    <cfRule type="expression" dxfId="409" priority="412">
      <formula>$A20="Value"</formula>
    </cfRule>
  </conditionalFormatting>
  <conditionalFormatting sqref="R29:R32">
    <cfRule type="expression" dxfId="408" priority="411">
      <formula>$A29="Value"</formula>
    </cfRule>
  </conditionalFormatting>
  <conditionalFormatting sqref="R33:R34">
    <cfRule type="expression" dxfId="407" priority="410">
      <formula>$A33="Value"</formula>
    </cfRule>
  </conditionalFormatting>
  <conditionalFormatting sqref="R36">
    <cfRule type="expression" dxfId="406" priority="409">
      <formula>$A36="Value"</formula>
    </cfRule>
  </conditionalFormatting>
  <conditionalFormatting sqref="R38:R39">
    <cfRule type="expression" dxfId="405" priority="408">
      <formula>$A38="Value"</formula>
    </cfRule>
  </conditionalFormatting>
  <conditionalFormatting sqref="R41:R42">
    <cfRule type="expression" dxfId="404" priority="407">
      <formula>$A41="Value"</formula>
    </cfRule>
  </conditionalFormatting>
  <conditionalFormatting sqref="R57">
    <cfRule type="expression" dxfId="403" priority="404">
      <formula>$A57="Value"</formula>
    </cfRule>
  </conditionalFormatting>
  <conditionalFormatting sqref="R45 R47:R48">
    <cfRule type="expression" dxfId="402" priority="394">
      <formula>$A45="Value"</formula>
    </cfRule>
  </conditionalFormatting>
  <conditionalFormatting sqref="R41:R42">
    <cfRule type="expression" dxfId="401" priority="395">
      <formula>$A41="Value"</formula>
    </cfRule>
  </conditionalFormatting>
  <conditionalFormatting sqref="R49 R51:R55">
    <cfRule type="expression" dxfId="400" priority="393">
      <formula>$A49="Value"</formula>
    </cfRule>
  </conditionalFormatting>
  <conditionalFormatting sqref="R3:R12 R17 R43:R44 R14">
    <cfRule type="expression" dxfId="399" priority="403">
      <formula>$A3="Value"</formula>
    </cfRule>
  </conditionalFormatting>
  <conditionalFormatting sqref="R16">
    <cfRule type="expression" dxfId="398" priority="402">
      <formula>$A16="Value"</formula>
    </cfRule>
  </conditionalFormatting>
  <conditionalFormatting sqref="R19">
    <cfRule type="expression" dxfId="397" priority="401">
      <formula>$A19="Value"</formula>
    </cfRule>
  </conditionalFormatting>
  <conditionalFormatting sqref="R20:R21 R23:R28">
    <cfRule type="expression" dxfId="396" priority="400">
      <formula>$A20="Value"</formula>
    </cfRule>
  </conditionalFormatting>
  <conditionalFormatting sqref="R29:R32">
    <cfRule type="expression" dxfId="395" priority="399">
      <formula>$A29="Value"</formula>
    </cfRule>
  </conditionalFormatting>
  <conditionalFormatting sqref="R33:R34">
    <cfRule type="expression" dxfId="394" priority="398">
      <formula>$A33="Value"</formula>
    </cfRule>
  </conditionalFormatting>
  <conditionalFormatting sqref="R36">
    <cfRule type="expression" dxfId="393" priority="397">
      <formula>$A36="Value"</formula>
    </cfRule>
  </conditionalFormatting>
  <conditionalFormatting sqref="R38:R39">
    <cfRule type="expression" dxfId="392" priority="396">
      <formula>$A38="Value"</formula>
    </cfRule>
  </conditionalFormatting>
  <conditionalFormatting sqref="R57">
    <cfRule type="expression" dxfId="391" priority="392">
      <formula>$A57="Value"</formula>
    </cfRule>
  </conditionalFormatting>
  <conditionalFormatting sqref="R60">
    <cfRule type="expression" dxfId="390" priority="391">
      <formula>$A60="Value"</formula>
    </cfRule>
  </conditionalFormatting>
  <conditionalFormatting sqref="R62">
    <cfRule type="expression" dxfId="389" priority="390">
      <formula>$A62="Value"</formula>
    </cfRule>
  </conditionalFormatting>
  <conditionalFormatting sqref="R62">
    <cfRule type="expression" dxfId="388" priority="389">
      <formula>$A62="Value"</formula>
    </cfRule>
  </conditionalFormatting>
  <conditionalFormatting sqref="R42">
    <cfRule type="expression" dxfId="387" priority="388">
      <formula>$A42="Value"</formula>
    </cfRule>
  </conditionalFormatting>
  <conditionalFormatting sqref="R46">
    <cfRule type="expression" dxfId="386" priority="387">
      <formula>$A46="Value"</formula>
    </cfRule>
  </conditionalFormatting>
  <conditionalFormatting sqref="R35">
    <cfRule type="expression" dxfId="385" priority="386">
      <formula>$A35="Value"</formula>
    </cfRule>
  </conditionalFormatting>
  <conditionalFormatting sqref="R18">
    <cfRule type="expression" dxfId="384" priority="385">
      <formula>$A18="Value"</formula>
    </cfRule>
  </conditionalFormatting>
  <conditionalFormatting sqref="R22">
    <cfRule type="expression" dxfId="383" priority="384">
      <formula>$A22="Value"</formula>
    </cfRule>
  </conditionalFormatting>
  <conditionalFormatting sqref="R50">
    <cfRule type="expression" dxfId="382" priority="383">
      <formula>$A50="Value"</formula>
    </cfRule>
  </conditionalFormatting>
  <conditionalFormatting sqref="R13">
    <cfRule type="expression" dxfId="381" priority="382">
      <formula>$A13="Value"</formula>
    </cfRule>
  </conditionalFormatting>
  <conditionalFormatting sqref="R40">
    <cfRule type="expression" dxfId="380" priority="381">
      <formula>$A40="Value"</formula>
    </cfRule>
  </conditionalFormatting>
  <conditionalFormatting sqref="R37">
    <cfRule type="expression" dxfId="379" priority="380">
      <formula>$A37="Value"</formula>
    </cfRule>
  </conditionalFormatting>
  <conditionalFormatting sqref="T13:U13">
    <cfRule type="expression" dxfId="378" priority="379">
      <formula>$A13="Value"</formula>
    </cfRule>
  </conditionalFormatting>
  <conditionalFormatting sqref="T13:U13">
    <cfRule type="expression" dxfId="377" priority="378">
      <formula>$A13="Value"</formula>
    </cfRule>
  </conditionalFormatting>
  <conditionalFormatting sqref="L15:N15 R15">
    <cfRule type="expression" dxfId="376" priority="377">
      <formula>$A15="Value"</formula>
    </cfRule>
  </conditionalFormatting>
  <conditionalFormatting sqref="T15:U15">
    <cfRule type="expression" dxfId="375" priority="376">
      <formula>$A15="Value"</formula>
    </cfRule>
  </conditionalFormatting>
  <conditionalFormatting sqref="T15:U15">
    <cfRule type="expression" dxfId="374" priority="375">
      <formula>$A15="Value"</formula>
    </cfRule>
  </conditionalFormatting>
  <conditionalFormatting sqref="W61">
    <cfRule type="expression" dxfId="373" priority="374">
      <formula>$A61="Value"</formula>
    </cfRule>
  </conditionalFormatting>
  <conditionalFormatting sqref="W62">
    <cfRule type="expression" dxfId="372" priority="360">
      <formula>$A62="Value"</formula>
    </cfRule>
  </conditionalFormatting>
  <conditionalFormatting sqref="W1:W2">
    <cfRule type="expression" dxfId="371" priority="373">
      <formula>$A1="Value"</formula>
    </cfRule>
  </conditionalFormatting>
  <conditionalFormatting sqref="W45:W48">
    <cfRule type="expression" dxfId="370" priority="363">
      <formula>$A45="Value"</formula>
    </cfRule>
  </conditionalFormatting>
  <conditionalFormatting sqref="W49 W51:W56">
    <cfRule type="expression" dxfId="369" priority="362">
      <formula>$A49="Value"</formula>
    </cfRule>
  </conditionalFormatting>
  <conditionalFormatting sqref="W3:W10 W17 W43:W44 W12 W14">
    <cfRule type="expression" dxfId="368" priority="372">
      <formula>$A3="Value"</formula>
    </cfRule>
  </conditionalFormatting>
  <conditionalFormatting sqref="W16">
    <cfRule type="expression" dxfId="367" priority="371">
      <formula>$A16="Value"</formula>
    </cfRule>
  </conditionalFormatting>
  <conditionalFormatting sqref="W19">
    <cfRule type="expression" dxfId="366" priority="370">
      <formula>$A19="Value"</formula>
    </cfRule>
  </conditionalFormatting>
  <conditionalFormatting sqref="W20:W21 W23:W28">
    <cfRule type="expression" dxfId="365" priority="369">
      <formula>$A20="Value"</formula>
    </cfRule>
  </conditionalFormatting>
  <conditionalFormatting sqref="W29:W32">
    <cfRule type="expression" dxfId="364" priority="368">
      <formula>$A29="Value"</formula>
    </cfRule>
  </conditionalFormatting>
  <conditionalFormatting sqref="W33:W34">
    <cfRule type="expression" dxfId="363" priority="367">
      <formula>$A33="Value"</formula>
    </cfRule>
  </conditionalFormatting>
  <conditionalFormatting sqref="W35:W36">
    <cfRule type="expression" dxfId="362" priority="366">
      <formula>$A35="Value"</formula>
    </cfRule>
  </conditionalFormatting>
  <conditionalFormatting sqref="W38:W39">
    <cfRule type="expression" dxfId="361" priority="365">
      <formula>$A38="Value"</formula>
    </cfRule>
  </conditionalFormatting>
  <conditionalFormatting sqref="W41:W42">
    <cfRule type="expression" dxfId="360" priority="364">
      <formula>$A41="Value"</formula>
    </cfRule>
  </conditionalFormatting>
  <conditionalFormatting sqref="W60">
    <cfRule type="expression" dxfId="359" priority="361">
      <formula>$A60="Value"</formula>
    </cfRule>
  </conditionalFormatting>
  <conditionalFormatting sqref="W42">
    <cfRule type="expression" dxfId="358" priority="359">
      <formula>$A42="Value"</formula>
    </cfRule>
  </conditionalFormatting>
  <conditionalFormatting sqref="W57">
    <cfRule type="expression" dxfId="357" priority="358">
      <formula>$A57="Value"</formula>
    </cfRule>
  </conditionalFormatting>
  <conditionalFormatting sqref="W57">
    <cfRule type="expression" dxfId="356" priority="357">
      <formula>$A57="Value"</formula>
    </cfRule>
  </conditionalFormatting>
  <conditionalFormatting sqref="W11">
    <cfRule type="expression" dxfId="355" priority="356">
      <formula>$A11="Value"</formula>
    </cfRule>
  </conditionalFormatting>
  <conditionalFormatting sqref="W58">
    <cfRule type="expression" dxfId="354" priority="355">
      <formula>$A58="Value"</formula>
    </cfRule>
  </conditionalFormatting>
  <conditionalFormatting sqref="W58">
    <cfRule type="expression" dxfId="353" priority="354">
      <formula>$A58="Value"</formula>
    </cfRule>
  </conditionalFormatting>
  <conditionalFormatting sqref="W59">
    <cfRule type="expression" dxfId="352" priority="353">
      <formula>$A59="Value"</formula>
    </cfRule>
  </conditionalFormatting>
  <conditionalFormatting sqref="W59">
    <cfRule type="expression" dxfId="351" priority="352">
      <formula>$A59="Value"</formula>
    </cfRule>
  </conditionalFormatting>
  <conditionalFormatting sqref="W63">
    <cfRule type="expression" dxfId="350" priority="351">
      <formula>$A63="Value"</formula>
    </cfRule>
  </conditionalFormatting>
  <conditionalFormatting sqref="W64">
    <cfRule type="expression" dxfId="349" priority="350">
      <formula>$A64="Value"</formula>
    </cfRule>
  </conditionalFormatting>
  <conditionalFormatting sqref="W18">
    <cfRule type="expression" dxfId="348" priority="349">
      <formula>$A18="Value"</formula>
    </cfRule>
  </conditionalFormatting>
  <conditionalFormatting sqref="W22">
    <cfRule type="expression" dxfId="347" priority="348">
      <formula>$A22="Value"</formula>
    </cfRule>
  </conditionalFormatting>
  <conditionalFormatting sqref="W50">
    <cfRule type="expression" dxfId="346" priority="347">
      <formula>$A50="Value"</formula>
    </cfRule>
  </conditionalFormatting>
  <conditionalFormatting sqref="W40">
    <cfRule type="expression" dxfId="345" priority="346">
      <formula>$A40="Value"</formula>
    </cfRule>
  </conditionalFormatting>
  <conditionalFormatting sqref="W37">
    <cfRule type="expression" dxfId="344" priority="345">
      <formula>$A37="Value"</formula>
    </cfRule>
  </conditionalFormatting>
  <conditionalFormatting sqref="W13">
    <cfRule type="expression" dxfId="343" priority="344">
      <formula>$A13="Value"</formula>
    </cfRule>
  </conditionalFormatting>
  <conditionalFormatting sqref="W13">
    <cfRule type="expression" dxfId="342" priority="343">
      <formula>$A13="Value"</formula>
    </cfRule>
  </conditionalFormatting>
  <conditionalFormatting sqref="W15">
    <cfRule type="expression" dxfId="341" priority="342">
      <formula>$A15="Value"</formula>
    </cfRule>
  </conditionalFormatting>
  <conditionalFormatting sqref="W15">
    <cfRule type="expression" dxfId="340" priority="341">
      <formula>$A15="Value"</formula>
    </cfRule>
  </conditionalFormatting>
  <conditionalFormatting sqref="H1:H2 H59">
    <cfRule type="expression" dxfId="339" priority="340">
      <formula>$A1="Value"</formula>
    </cfRule>
  </conditionalFormatting>
  <conditionalFormatting sqref="H45:H48">
    <cfRule type="expression" dxfId="338" priority="330">
      <formula>$A45="Value"</formula>
    </cfRule>
  </conditionalFormatting>
  <conditionalFormatting sqref="H49:H56">
    <cfRule type="expression" dxfId="337" priority="329">
      <formula>$A49="Value"</formula>
    </cfRule>
  </conditionalFormatting>
  <conditionalFormatting sqref="H3:H14 H17 H43:H44">
    <cfRule type="expression" dxfId="336" priority="339">
      <formula>$A3="Value"</formula>
    </cfRule>
  </conditionalFormatting>
  <conditionalFormatting sqref="H15:H16">
    <cfRule type="expression" dxfId="335" priority="338">
      <formula>$A15="Value"</formula>
    </cfRule>
  </conditionalFormatting>
  <conditionalFormatting sqref="H18:H19">
    <cfRule type="expression" dxfId="334" priority="337">
      <formula>$A18="Value"</formula>
    </cfRule>
  </conditionalFormatting>
  <conditionalFormatting sqref="H20:H28">
    <cfRule type="expression" dxfId="333" priority="336">
      <formula>$A20="Value"</formula>
    </cfRule>
  </conditionalFormatting>
  <conditionalFormatting sqref="H29:H32">
    <cfRule type="expression" dxfId="332" priority="335">
      <formula>$A29="Value"</formula>
    </cfRule>
  </conditionalFormatting>
  <conditionalFormatting sqref="H33:H34">
    <cfRule type="expression" dxfId="331" priority="334">
      <formula>$A33="Value"</formula>
    </cfRule>
  </conditionalFormatting>
  <conditionalFormatting sqref="H35:H36">
    <cfRule type="expression" dxfId="330" priority="333">
      <formula>$A35="Value"</formula>
    </cfRule>
  </conditionalFormatting>
  <conditionalFormatting sqref="H37:H39">
    <cfRule type="expression" dxfId="329" priority="332">
      <formula>$A37="Value"</formula>
    </cfRule>
  </conditionalFormatting>
  <conditionalFormatting sqref="H40:H42">
    <cfRule type="expression" dxfId="328" priority="331">
      <formula>$A40="Value"</formula>
    </cfRule>
  </conditionalFormatting>
  <conditionalFormatting sqref="H58">
    <cfRule type="expression" dxfId="327" priority="328">
      <formula>$A58="Value"</formula>
    </cfRule>
  </conditionalFormatting>
  <conditionalFormatting sqref="H60">
    <cfRule type="expression" dxfId="326" priority="327">
      <formula>$A60="Value"</formula>
    </cfRule>
  </conditionalFormatting>
  <conditionalFormatting sqref="H62">
    <cfRule type="expression" dxfId="325" priority="325">
      <formula>$A62="Value"</formula>
    </cfRule>
  </conditionalFormatting>
  <conditionalFormatting sqref="H61">
    <cfRule type="expression" dxfId="324" priority="326">
      <formula>$A61="Value"</formula>
    </cfRule>
  </conditionalFormatting>
  <conditionalFormatting sqref="H42">
    <cfRule type="expression" dxfId="323" priority="324">
      <formula>$A42="Value"</formula>
    </cfRule>
  </conditionalFormatting>
  <conditionalFormatting sqref="L2">
    <cfRule type="expression" dxfId="322" priority="323">
      <formula>$A2="Value"</formula>
    </cfRule>
  </conditionalFormatting>
  <conditionalFormatting sqref="C57 H57">
    <cfRule type="expression" dxfId="321" priority="322">
      <formula>$A57="Value"</formula>
    </cfRule>
  </conditionalFormatting>
  <conditionalFormatting sqref="C57 H57">
    <cfRule type="expression" dxfId="320" priority="321">
      <formula>$A57="Value"</formula>
    </cfRule>
  </conditionalFormatting>
  <conditionalFormatting sqref="G1:G2 G59">
    <cfRule type="expression" dxfId="319" priority="320">
      <formula>$A1="Value"</formula>
    </cfRule>
  </conditionalFormatting>
  <conditionalFormatting sqref="G45:G48">
    <cfRule type="expression" dxfId="318" priority="310">
      <formula>$A45="Value"</formula>
    </cfRule>
  </conditionalFormatting>
  <conditionalFormatting sqref="G49:G56">
    <cfRule type="expression" dxfId="317" priority="309">
      <formula>$A49="Value"</formula>
    </cfRule>
  </conditionalFormatting>
  <conditionalFormatting sqref="G3:G14 G17 G43:G44">
    <cfRule type="expression" dxfId="316" priority="319">
      <formula>$A3="Value"</formula>
    </cfRule>
  </conditionalFormatting>
  <conditionalFormatting sqref="G15:G16">
    <cfRule type="expression" dxfId="315" priority="318">
      <formula>$A15="Value"</formula>
    </cfRule>
  </conditionalFormatting>
  <conditionalFormatting sqref="G18:G19">
    <cfRule type="expression" dxfId="314" priority="317">
      <formula>$A18="Value"</formula>
    </cfRule>
  </conditionalFormatting>
  <conditionalFormatting sqref="G20:G28">
    <cfRule type="expression" dxfId="313" priority="316">
      <formula>$A20="Value"</formula>
    </cfRule>
  </conditionalFormatting>
  <conditionalFormatting sqref="G29:G32">
    <cfRule type="expression" dxfId="312" priority="315">
      <formula>$A29="Value"</formula>
    </cfRule>
  </conditionalFormatting>
  <conditionalFormatting sqref="G33:G34">
    <cfRule type="expression" dxfId="311" priority="314">
      <formula>$A33="Value"</formula>
    </cfRule>
  </conditionalFormatting>
  <conditionalFormatting sqref="G35:G36">
    <cfRule type="expression" dxfId="310" priority="313">
      <formula>$A35="Value"</formula>
    </cfRule>
  </conditionalFormatting>
  <conditionalFormatting sqref="G37:G39">
    <cfRule type="expression" dxfId="309" priority="312">
      <formula>$A37="Value"</formula>
    </cfRule>
  </conditionalFormatting>
  <conditionalFormatting sqref="G40:G42">
    <cfRule type="expression" dxfId="308" priority="311">
      <formula>$A40="Value"</formula>
    </cfRule>
  </conditionalFormatting>
  <conditionalFormatting sqref="G58">
    <cfRule type="expression" dxfId="307" priority="308">
      <formula>$A58="Value"</formula>
    </cfRule>
  </conditionalFormatting>
  <conditionalFormatting sqref="G60">
    <cfRule type="expression" dxfId="306" priority="307">
      <formula>$A60="Value"</formula>
    </cfRule>
  </conditionalFormatting>
  <conditionalFormatting sqref="G62">
    <cfRule type="expression" dxfId="305" priority="305">
      <formula>$A62="Value"</formula>
    </cfRule>
  </conditionalFormatting>
  <conditionalFormatting sqref="G61">
    <cfRule type="expression" dxfId="304" priority="306">
      <formula>$A61="Value"</formula>
    </cfRule>
  </conditionalFormatting>
  <conditionalFormatting sqref="G42">
    <cfRule type="expression" dxfId="303" priority="304">
      <formula>$A42="Value"</formula>
    </cfRule>
  </conditionalFormatting>
  <conditionalFormatting sqref="G57">
    <cfRule type="expression" dxfId="302" priority="303">
      <formula>$A57="Value"</formula>
    </cfRule>
  </conditionalFormatting>
  <conditionalFormatting sqref="G57">
    <cfRule type="expression" dxfId="301" priority="302">
      <formula>$A57="Value"</formula>
    </cfRule>
  </conditionalFormatting>
  <conditionalFormatting sqref="K59">
    <cfRule type="expression" dxfId="300" priority="301">
      <formula>$A59="Value"</formula>
    </cfRule>
  </conditionalFormatting>
  <conditionalFormatting sqref="K58">
    <cfRule type="expression" dxfId="299" priority="300">
      <formula>$A58="Value"</formula>
    </cfRule>
  </conditionalFormatting>
  <conditionalFormatting sqref="K61">
    <cfRule type="expression" dxfId="298" priority="299">
      <formula>$A61="Value"</formula>
    </cfRule>
  </conditionalFormatting>
  <conditionalFormatting sqref="K49 K51:K55">
    <cfRule type="expression" dxfId="297" priority="274">
      <formula>$A49="Value"</formula>
    </cfRule>
  </conditionalFormatting>
  <conditionalFormatting sqref="K35">
    <cfRule type="expression" dxfId="296" priority="267">
      <formula>$A35="Value"</formula>
    </cfRule>
  </conditionalFormatting>
  <conditionalFormatting sqref="K1">
    <cfRule type="expression" dxfId="295" priority="298">
      <formula>$A1="Value"</formula>
    </cfRule>
  </conditionalFormatting>
  <conditionalFormatting sqref="K47:K48 K45">
    <cfRule type="expression" dxfId="294" priority="288">
      <formula>$A45="Value"</formula>
    </cfRule>
  </conditionalFormatting>
  <conditionalFormatting sqref="K49 K51:K56">
    <cfRule type="expression" dxfId="293" priority="287">
      <formula>$A49="Value"</formula>
    </cfRule>
  </conditionalFormatting>
  <conditionalFormatting sqref="K43:K44 K17 K3:K12 K14">
    <cfRule type="expression" dxfId="292" priority="297">
      <formula>$A3="Value"</formula>
    </cfRule>
  </conditionalFormatting>
  <conditionalFormatting sqref="K16">
    <cfRule type="expression" dxfId="291" priority="296">
      <formula>$A16="Value"</formula>
    </cfRule>
  </conditionalFormatting>
  <conditionalFormatting sqref="K19">
    <cfRule type="expression" dxfId="290" priority="295">
      <formula>$A19="Value"</formula>
    </cfRule>
  </conditionalFormatting>
  <conditionalFormatting sqref="K20:K21 K23:K28">
    <cfRule type="expression" dxfId="289" priority="294">
      <formula>$A20="Value"</formula>
    </cfRule>
  </conditionalFormatting>
  <conditionalFormatting sqref="K29:K32">
    <cfRule type="expression" dxfId="288" priority="293">
      <formula>$A29="Value"</formula>
    </cfRule>
  </conditionalFormatting>
  <conditionalFormatting sqref="K33:K34">
    <cfRule type="expression" dxfId="287" priority="292">
      <formula>$A33="Value"</formula>
    </cfRule>
  </conditionalFormatting>
  <conditionalFormatting sqref="K36">
    <cfRule type="expression" dxfId="286" priority="291">
      <formula>$A36="Value"</formula>
    </cfRule>
  </conditionalFormatting>
  <conditionalFormatting sqref="K38:K39">
    <cfRule type="expression" dxfId="285" priority="290">
      <formula>$A38="Value"</formula>
    </cfRule>
  </conditionalFormatting>
  <conditionalFormatting sqref="K41:K42">
    <cfRule type="expression" dxfId="284" priority="289">
      <formula>$A41="Value"</formula>
    </cfRule>
  </conditionalFormatting>
  <conditionalFormatting sqref="K57">
    <cfRule type="expression" dxfId="283" priority="286">
      <formula>$A57="Value"</formula>
    </cfRule>
  </conditionalFormatting>
  <conditionalFormatting sqref="K45 K47:K48">
    <cfRule type="expression" dxfId="282" priority="275">
      <formula>$A45="Value"</formula>
    </cfRule>
  </conditionalFormatting>
  <conditionalFormatting sqref="K41:K42">
    <cfRule type="expression" dxfId="281" priority="276">
      <formula>$A41="Value"</formula>
    </cfRule>
  </conditionalFormatting>
  <conditionalFormatting sqref="K1">
    <cfRule type="expression" dxfId="280" priority="285">
      <formula>$A1="Value"</formula>
    </cfRule>
  </conditionalFormatting>
  <conditionalFormatting sqref="K3:K12 K17 K43:K44 K14">
    <cfRule type="expression" dxfId="279" priority="284">
      <formula>$A3="Value"</formula>
    </cfRule>
  </conditionalFormatting>
  <conditionalFormatting sqref="K16">
    <cfRule type="expression" dxfId="278" priority="283">
      <formula>$A16="Value"</formula>
    </cfRule>
  </conditionalFormatting>
  <conditionalFormatting sqref="K19">
    <cfRule type="expression" dxfId="277" priority="282">
      <formula>$A19="Value"</formula>
    </cfRule>
  </conditionalFormatting>
  <conditionalFormatting sqref="K20:K21 K23:K28">
    <cfRule type="expression" dxfId="276" priority="281">
      <formula>$A20="Value"</formula>
    </cfRule>
  </conditionalFormatting>
  <conditionalFormatting sqref="K29:K32">
    <cfRule type="expression" dxfId="275" priority="280">
      <formula>$A29="Value"</formula>
    </cfRule>
  </conditionalFormatting>
  <conditionalFormatting sqref="K33:K34">
    <cfRule type="expression" dxfId="274" priority="279">
      <formula>$A33="Value"</formula>
    </cfRule>
  </conditionalFormatting>
  <conditionalFormatting sqref="K36">
    <cfRule type="expression" dxfId="273" priority="278">
      <formula>$A36="Value"</formula>
    </cfRule>
  </conditionalFormatting>
  <conditionalFormatting sqref="K38:K39">
    <cfRule type="expression" dxfId="272" priority="277">
      <formula>$A38="Value"</formula>
    </cfRule>
  </conditionalFormatting>
  <conditionalFormatting sqref="K57">
    <cfRule type="expression" dxfId="271" priority="273">
      <formula>$A57="Value"</formula>
    </cfRule>
  </conditionalFormatting>
  <conditionalFormatting sqref="K60">
    <cfRule type="expression" dxfId="270" priority="272">
      <formula>$A60="Value"</formula>
    </cfRule>
  </conditionalFormatting>
  <conditionalFormatting sqref="K62">
    <cfRule type="expression" dxfId="269" priority="271">
      <formula>$A62="Value"</formula>
    </cfRule>
  </conditionalFormatting>
  <conditionalFormatting sqref="K62">
    <cfRule type="expression" dxfId="268" priority="270">
      <formula>$A62="Value"</formula>
    </cfRule>
  </conditionalFormatting>
  <conditionalFormatting sqref="K42">
    <cfRule type="expression" dxfId="267" priority="269">
      <formula>$A42="Value"</formula>
    </cfRule>
  </conditionalFormatting>
  <conditionalFormatting sqref="K46">
    <cfRule type="expression" dxfId="266" priority="268">
      <formula>$A46="Value"</formula>
    </cfRule>
  </conditionalFormatting>
  <conditionalFormatting sqref="K18">
    <cfRule type="expression" dxfId="265" priority="266">
      <formula>$A18="Value"</formula>
    </cfRule>
  </conditionalFormatting>
  <conditionalFormatting sqref="K22">
    <cfRule type="expression" dxfId="264" priority="265">
      <formula>$A22="Value"</formula>
    </cfRule>
  </conditionalFormatting>
  <conditionalFormatting sqref="K50">
    <cfRule type="expression" dxfId="263" priority="264">
      <formula>$A50="Value"</formula>
    </cfRule>
  </conditionalFormatting>
  <conditionalFormatting sqref="K13">
    <cfRule type="expression" dxfId="262" priority="263">
      <formula>$A13="Value"</formula>
    </cfRule>
  </conditionalFormatting>
  <conditionalFormatting sqref="K40">
    <cfRule type="expression" dxfId="261" priority="262">
      <formula>$A40="Value"</formula>
    </cfRule>
  </conditionalFormatting>
  <conditionalFormatting sqref="K37">
    <cfRule type="expression" dxfId="260" priority="261">
      <formula>$A37="Value"</formula>
    </cfRule>
  </conditionalFormatting>
  <conditionalFormatting sqref="K15">
    <cfRule type="expression" dxfId="259" priority="260">
      <formula>$A15="Value"</formula>
    </cfRule>
  </conditionalFormatting>
  <conditionalFormatting sqref="K2">
    <cfRule type="expression" dxfId="258" priority="259">
      <formula>$A2="Value"</formula>
    </cfRule>
  </conditionalFormatting>
  <conditionalFormatting sqref="I1:I2 I59">
    <cfRule type="expression" dxfId="257" priority="258">
      <formula>$A1="Value"</formula>
    </cfRule>
  </conditionalFormatting>
  <conditionalFormatting sqref="I45:I48">
    <cfRule type="expression" dxfId="256" priority="248">
      <formula>$A45="Value"</formula>
    </cfRule>
  </conditionalFormatting>
  <conditionalFormatting sqref="I49:I56">
    <cfRule type="expression" dxfId="255" priority="247">
      <formula>$A49="Value"</formula>
    </cfRule>
  </conditionalFormatting>
  <conditionalFormatting sqref="I3:I14 I17 I43:I44">
    <cfRule type="expression" dxfId="254" priority="257">
      <formula>$A3="Value"</formula>
    </cfRule>
  </conditionalFormatting>
  <conditionalFormatting sqref="I15:I16">
    <cfRule type="expression" dxfId="253" priority="256">
      <formula>$A15="Value"</formula>
    </cfRule>
  </conditionalFormatting>
  <conditionalFormatting sqref="I18:I19">
    <cfRule type="expression" dxfId="252" priority="255">
      <formula>$A18="Value"</formula>
    </cfRule>
  </conditionalFormatting>
  <conditionalFormatting sqref="I20:I28">
    <cfRule type="expression" dxfId="251" priority="254">
      <formula>$A20="Value"</formula>
    </cfRule>
  </conditionalFormatting>
  <conditionalFormatting sqref="I29:I32">
    <cfRule type="expression" dxfId="250" priority="253">
      <formula>$A29="Value"</formula>
    </cfRule>
  </conditionalFormatting>
  <conditionalFormatting sqref="I33:I34">
    <cfRule type="expression" dxfId="249" priority="252">
      <formula>$A33="Value"</formula>
    </cfRule>
  </conditionalFormatting>
  <conditionalFormatting sqref="I35:I36">
    <cfRule type="expression" dxfId="248" priority="251">
      <formula>$A35="Value"</formula>
    </cfRule>
  </conditionalFormatting>
  <conditionalFormatting sqref="I37:I39">
    <cfRule type="expression" dxfId="247" priority="250">
      <formula>$A37="Value"</formula>
    </cfRule>
  </conditionalFormatting>
  <conditionalFormatting sqref="I40:I42">
    <cfRule type="expression" dxfId="246" priority="249">
      <formula>$A40="Value"</formula>
    </cfRule>
  </conditionalFormatting>
  <conditionalFormatting sqref="I58">
    <cfRule type="expression" dxfId="245" priority="246">
      <formula>$A58="Value"</formula>
    </cfRule>
  </conditionalFormatting>
  <conditionalFormatting sqref="I60">
    <cfRule type="expression" dxfId="244" priority="245">
      <formula>$A60="Value"</formula>
    </cfRule>
  </conditionalFormatting>
  <conditionalFormatting sqref="I62">
    <cfRule type="expression" dxfId="243" priority="243">
      <formula>$A62="Value"</formula>
    </cfRule>
  </conditionalFormatting>
  <conditionalFormatting sqref="I61">
    <cfRule type="expression" dxfId="242" priority="244">
      <formula>$A61="Value"</formula>
    </cfRule>
  </conditionalFormatting>
  <conditionalFormatting sqref="I42">
    <cfRule type="expression" dxfId="241" priority="242">
      <formula>$A42="Value"</formula>
    </cfRule>
  </conditionalFormatting>
  <conditionalFormatting sqref="I57">
    <cfRule type="expression" dxfId="240" priority="241">
      <formula>$A57="Value"</formula>
    </cfRule>
  </conditionalFormatting>
  <conditionalFormatting sqref="I57">
    <cfRule type="expression" dxfId="239" priority="240">
      <formula>$A57="Value"</formula>
    </cfRule>
  </conditionalFormatting>
  <conditionalFormatting sqref="J1:J2 J59">
    <cfRule type="expression" dxfId="238" priority="239">
      <formula>$A1="Value"</formula>
    </cfRule>
  </conditionalFormatting>
  <conditionalFormatting sqref="J45:J48">
    <cfRule type="expression" dxfId="237" priority="229">
      <formula>$A45="Value"</formula>
    </cfRule>
  </conditionalFormatting>
  <conditionalFormatting sqref="J49:J56">
    <cfRule type="expression" dxfId="236" priority="228">
      <formula>$A49="Value"</formula>
    </cfRule>
  </conditionalFormatting>
  <conditionalFormatting sqref="J3:J14 J17 J43:J44">
    <cfRule type="expression" dxfId="235" priority="238">
      <formula>$A3="Value"</formula>
    </cfRule>
  </conditionalFormatting>
  <conditionalFormatting sqref="J15:J16">
    <cfRule type="expression" dxfId="234" priority="237">
      <formula>$A15="Value"</formula>
    </cfRule>
  </conditionalFormatting>
  <conditionalFormatting sqref="J18:J19">
    <cfRule type="expression" dxfId="233" priority="236">
      <formula>$A18="Value"</formula>
    </cfRule>
  </conditionalFormatting>
  <conditionalFormatting sqref="J20:J28">
    <cfRule type="expression" dxfId="232" priority="235">
      <formula>$A20="Value"</formula>
    </cfRule>
  </conditionalFormatting>
  <conditionalFormatting sqref="J29:J32">
    <cfRule type="expression" dxfId="231" priority="234">
      <formula>$A29="Value"</formula>
    </cfRule>
  </conditionalFormatting>
  <conditionalFormatting sqref="J33:J34">
    <cfRule type="expression" dxfId="230" priority="233">
      <formula>$A33="Value"</formula>
    </cfRule>
  </conditionalFormatting>
  <conditionalFormatting sqref="J35:J36">
    <cfRule type="expression" dxfId="229" priority="232">
      <formula>$A35="Value"</formula>
    </cfRule>
  </conditionalFormatting>
  <conditionalFormatting sqref="J37:J39">
    <cfRule type="expression" dxfId="228" priority="231">
      <formula>$A37="Value"</formula>
    </cfRule>
  </conditionalFormatting>
  <conditionalFormatting sqref="J40:J42">
    <cfRule type="expression" dxfId="227" priority="230">
      <formula>$A40="Value"</formula>
    </cfRule>
  </conditionalFormatting>
  <conditionalFormatting sqref="J58">
    <cfRule type="expression" dxfId="226" priority="227">
      <formula>$A58="Value"</formula>
    </cfRule>
  </conditionalFormatting>
  <conditionalFormatting sqref="J60">
    <cfRule type="expression" dxfId="225" priority="226">
      <formula>$A60="Value"</formula>
    </cfRule>
  </conditionalFormatting>
  <conditionalFormatting sqref="J62">
    <cfRule type="expression" dxfId="224" priority="224">
      <formula>$A62="Value"</formula>
    </cfRule>
  </conditionalFormatting>
  <conditionalFormatting sqref="J61">
    <cfRule type="expression" dxfId="223" priority="225">
      <formula>$A61="Value"</formula>
    </cfRule>
  </conditionalFormatting>
  <conditionalFormatting sqref="J42">
    <cfRule type="expression" dxfId="222" priority="223">
      <formula>$A42="Value"</formula>
    </cfRule>
  </conditionalFormatting>
  <conditionalFormatting sqref="J57">
    <cfRule type="expression" dxfId="221" priority="222">
      <formula>$A57="Value"</formula>
    </cfRule>
  </conditionalFormatting>
  <conditionalFormatting sqref="J57">
    <cfRule type="expression" dxfId="220" priority="221">
      <formula>$A57="Value"</formula>
    </cfRule>
  </conditionalFormatting>
  <conditionalFormatting sqref="Q4">
    <cfRule type="expression" dxfId="219" priority="220">
      <formula>$A4="Value"</formula>
    </cfRule>
  </conditionalFormatting>
  <conditionalFormatting sqref="Q4">
    <cfRule type="expression" dxfId="218" priority="219">
      <formula>$A4="Value"</formula>
    </cfRule>
  </conditionalFormatting>
  <conditionalFormatting sqref="Q5">
    <cfRule type="expression" dxfId="217" priority="218">
      <formula>$A5="Value"</formula>
    </cfRule>
  </conditionalFormatting>
  <conditionalFormatting sqref="Q5">
    <cfRule type="expression" dxfId="216" priority="217">
      <formula>$A5="Value"</formula>
    </cfRule>
  </conditionalFormatting>
  <conditionalFormatting sqref="Q59">
    <cfRule type="expression" dxfId="215" priority="216">
      <formula>$A59="Value"</formula>
    </cfRule>
  </conditionalFormatting>
  <conditionalFormatting sqref="Q45:Q48">
    <cfRule type="expression" dxfId="214" priority="206">
      <formula>$A45="Value"</formula>
    </cfRule>
  </conditionalFormatting>
  <conditionalFormatting sqref="Q49:Q56">
    <cfRule type="expression" dxfId="213" priority="205">
      <formula>$A49="Value"</formula>
    </cfRule>
  </conditionalFormatting>
  <conditionalFormatting sqref="Q6:Q14 Q17 Q43:Q44">
    <cfRule type="expression" dxfId="212" priority="215">
      <formula>$A6="Value"</formula>
    </cfRule>
  </conditionalFormatting>
  <conditionalFormatting sqref="Q15:Q16">
    <cfRule type="expression" dxfId="211" priority="214">
      <formula>$A15="Value"</formula>
    </cfRule>
  </conditionalFormatting>
  <conditionalFormatting sqref="Q18:Q19">
    <cfRule type="expression" dxfId="210" priority="213">
      <formula>$A18="Value"</formula>
    </cfRule>
  </conditionalFormatting>
  <conditionalFormatting sqref="Q20:Q28">
    <cfRule type="expression" dxfId="209" priority="212">
      <formula>$A20="Value"</formula>
    </cfRule>
  </conditionalFormatting>
  <conditionalFormatting sqref="Q29:Q32">
    <cfRule type="expression" dxfId="208" priority="211">
      <formula>$A29="Value"</formula>
    </cfRule>
  </conditionalFormatting>
  <conditionalFormatting sqref="Q33:Q34">
    <cfRule type="expression" dxfId="207" priority="210">
      <formula>$A33="Value"</formula>
    </cfRule>
  </conditionalFormatting>
  <conditionalFormatting sqref="Q35:Q36">
    <cfRule type="expression" dxfId="206" priority="209">
      <formula>$A35="Value"</formula>
    </cfRule>
  </conditionalFormatting>
  <conditionalFormatting sqref="Q37:Q39">
    <cfRule type="expression" dxfId="205" priority="208">
      <formula>$A37="Value"</formula>
    </cfRule>
  </conditionalFormatting>
  <conditionalFormatting sqref="Q40:Q42">
    <cfRule type="expression" dxfId="204" priority="207">
      <formula>$A40="Value"</formula>
    </cfRule>
  </conditionalFormatting>
  <conditionalFormatting sqref="Q58">
    <cfRule type="expression" dxfId="203" priority="204">
      <formula>$A58="Value"</formula>
    </cfRule>
  </conditionalFormatting>
  <conditionalFormatting sqref="Q60">
    <cfRule type="expression" dxfId="202" priority="203">
      <formula>$A60="Value"</formula>
    </cfRule>
  </conditionalFormatting>
  <conditionalFormatting sqref="Q62">
    <cfRule type="expression" dxfId="201" priority="201">
      <formula>$A62="Value"</formula>
    </cfRule>
  </conditionalFormatting>
  <conditionalFormatting sqref="Q61">
    <cfRule type="expression" dxfId="200" priority="202">
      <formula>$A61="Value"</formula>
    </cfRule>
  </conditionalFormatting>
  <conditionalFormatting sqref="Q42">
    <cfRule type="expression" dxfId="199" priority="200">
      <formula>$A42="Value"</formula>
    </cfRule>
  </conditionalFormatting>
  <conditionalFormatting sqref="Q57">
    <cfRule type="expression" dxfId="198" priority="199">
      <formula>$A57="Value"</formula>
    </cfRule>
  </conditionalFormatting>
  <conditionalFormatting sqref="Q57">
    <cfRule type="expression" dxfId="197" priority="198">
      <formula>$A57="Value"</formula>
    </cfRule>
  </conditionalFormatting>
  <conditionalFormatting sqref="E1:E2 E59">
    <cfRule type="expression" dxfId="196" priority="197">
      <formula>$A1="Value"</formula>
    </cfRule>
  </conditionalFormatting>
  <conditionalFormatting sqref="E45:E48">
    <cfRule type="expression" dxfId="195" priority="187">
      <formula>$A45="Value"</formula>
    </cfRule>
  </conditionalFormatting>
  <conditionalFormatting sqref="E49:E56">
    <cfRule type="expression" dxfId="194" priority="186">
      <formula>$A49="Value"</formula>
    </cfRule>
  </conditionalFormatting>
  <conditionalFormatting sqref="E3:E14 E17 E43:E44">
    <cfRule type="expression" dxfId="193" priority="196">
      <formula>$A3="Value"</formula>
    </cfRule>
  </conditionalFormatting>
  <conditionalFormatting sqref="E15:E16">
    <cfRule type="expression" dxfId="192" priority="195">
      <formula>$A15="Value"</formula>
    </cfRule>
  </conditionalFormatting>
  <conditionalFormatting sqref="E18:E19">
    <cfRule type="expression" dxfId="191" priority="194">
      <formula>$A18="Value"</formula>
    </cfRule>
  </conditionalFormatting>
  <conditionalFormatting sqref="E20:E28">
    <cfRule type="expression" dxfId="190" priority="193">
      <formula>$A20="Value"</formula>
    </cfRule>
  </conditionalFormatting>
  <conditionalFormatting sqref="E29:E32">
    <cfRule type="expression" dxfId="189" priority="192">
      <formula>$A29="Value"</formula>
    </cfRule>
  </conditionalFormatting>
  <conditionalFormatting sqref="E33:E34">
    <cfRule type="expression" dxfId="188" priority="191">
      <formula>$A33="Value"</formula>
    </cfRule>
  </conditionalFormatting>
  <conditionalFormatting sqref="E35:E36">
    <cfRule type="expression" dxfId="187" priority="190">
      <formula>$A35="Value"</formula>
    </cfRule>
  </conditionalFormatting>
  <conditionalFormatting sqref="E37:E39">
    <cfRule type="expression" dxfId="186" priority="189">
      <formula>$A37="Value"</formula>
    </cfRule>
  </conditionalFormatting>
  <conditionalFormatting sqref="E40:E42">
    <cfRule type="expression" dxfId="185" priority="188">
      <formula>$A40="Value"</formula>
    </cfRule>
  </conditionalFormatting>
  <conditionalFormatting sqref="E58">
    <cfRule type="expression" dxfId="184" priority="185">
      <formula>$A58="Value"</formula>
    </cfRule>
  </conditionalFormatting>
  <conditionalFormatting sqref="E60">
    <cfRule type="expression" dxfId="183" priority="184">
      <formula>$A60="Value"</formula>
    </cfRule>
  </conditionalFormatting>
  <conditionalFormatting sqref="E62">
    <cfRule type="expression" dxfId="182" priority="182">
      <formula>$A62="Value"</formula>
    </cfRule>
  </conditionalFormatting>
  <conditionalFormatting sqref="E61">
    <cfRule type="expression" dxfId="181" priority="183">
      <formula>$A61="Value"</formula>
    </cfRule>
  </conditionalFormatting>
  <conditionalFormatting sqref="E42">
    <cfRule type="expression" dxfId="180" priority="181">
      <formula>$A42="Value"</formula>
    </cfRule>
  </conditionalFormatting>
  <conditionalFormatting sqref="E57">
    <cfRule type="expression" dxfId="179" priority="180">
      <formula>$A57="Value"</formula>
    </cfRule>
  </conditionalFormatting>
  <conditionalFormatting sqref="E57">
    <cfRule type="expression" dxfId="178" priority="179">
      <formula>$A57="Value"</formula>
    </cfRule>
  </conditionalFormatting>
  <conditionalFormatting sqref="V61">
    <cfRule type="expression" dxfId="177" priority="178">
      <formula>$A61="Value"</formula>
    </cfRule>
  </conditionalFormatting>
  <conditionalFormatting sqref="V62">
    <cfRule type="expression" dxfId="176" priority="164">
      <formula>$A62="Value"</formula>
    </cfRule>
  </conditionalFormatting>
  <conditionalFormatting sqref="V1:V2">
    <cfRule type="expression" dxfId="175" priority="177">
      <formula>$A1="Value"</formula>
    </cfRule>
  </conditionalFormatting>
  <conditionalFormatting sqref="V45:V48">
    <cfRule type="expression" dxfId="174" priority="167">
      <formula>$A45="Value"</formula>
    </cfRule>
  </conditionalFormatting>
  <conditionalFormatting sqref="V49 V51:V56">
    <cfRule type="expression" dxfId="173" priority="166">
      <formula>$A49="Value"</formula>
    </cfRule>
  </conditionalFormatting>
  <conditionalFormatting sqref="V3:V10 V17 V43:V44 V12 V14">
    <cfRule type="expression" dxfId="172" priority="176">
      <formula>$A3="Value"</formula>
    </cfRule>
  </conditionalFormatting>
  <conditionalFormatting sqref="V16">
    <cfRule type="expression" dxfId="171" priority="175">
      <formula>$A16="Value"</formula>
    </cfRule>
  </conditionalFormatting>
  <conditionalFormatting sqref="V19">
    <cfRule type="expression" dxfId="170" priority="174">
      <formula>$A19="Value"</formula>
    </cfRule>
  </conditionalFormatting>
  <conditionalFormatting sqref="V20:V21 V23:V28">
    <cfRule type="expression" dxfId="169" priority="173">
      <formula>$A20="Value"</formula>
    </cfRule>
  </conditionalFormatting>
  <conditionalFormatting sqref="V29:V32">
    <cfRule type="expression" dxfId="168" priority="172">
      <formula>$A29="Value"</formula>
    </cfRule>
  </conditionalFormatting>
  <conditionalFormatting sqref="V33:V34">
    <cfRule type="expression" dxfId="167" priority="171">
      <formula>$A33="Value"</formula>
    </cfRule>
  </conditionalFormatting>
  <conditionalFormatting sqref="V35:V36">
    <cfRule type="expression" dxfId="166" priority="170">
      <formula>$A35="Value"</formula>
    </cfRule>
  </conditionalFormatting>
  <conditionalFormatting sqref="V38:V39">
    <cfRule type="expression" dxfId="165" priority="169">
      <formula>$A38="Value"</formula>
    </cfRule>
  </conditionalFormatting>
  <conditionalFormatting sqref="V41:V42">
    <cfRule type="expression" dxfId="164" priority="168">
      <formula>$A41="Value"</formula>
    </cfRule>
  </conditionalFormatting>
  <conditionalFormatting sqref="V60">
    <cfRule type="expression" dxfId="163" priority="165">
      <formula>$A60="Value"</formula>
    </cfRule>
  </conditionalFormatting>
  <conditionalFormatting sqref="V42">
    <cfRule type="expression" dxfId="162" priority="163">
      <formula>$A42="Value"</formula>
    </cfRule>
  </conditionalFormatting>
  <conditionalFormatting sqref="V57">
    <cfRule type="expression" dxfId="161" priority="162">
      <formula>$A57="Value"</formula>
    </cfRule>
  </conditionalFormatting>
  <conditionalFormatting sqref="V57">
    <cfRule type="expression" dxfId="160" priority="161">
      <formula>$A57="Value"</formula>
    </cfRule>
  </conditionalFormatting>
  <conditionalFormatting sqref="V11">
    <cfRule type="expression" dxfId="159" priority="160">
      <formula>$A11="Value"</formula>
    </cfRule>
  </conditionalFormatting>
  <conditionalFormatting sqref="V58">
    <cfRule type="expression" dxfId="158" priority="159">
      <formula>$A58="Value"</formula>
    </cfRule>
  </conditionalFormatting>
  <conditionalFormatting sqref="V58">
    <cfRule type="expression" dxfId="157" priority="158">
      <formula>$A58="Value"</formula>
    </cfRule>
  </conditionalFormatting>
  <conditionalFormatting sqref="V59">
    <cfRule type="expression" dxfId="156" priority="157">
      <formula>$A59="Value"</formula>
    </cfRule>
  </conditionalFormatting>
  <conditionalFormatting sqref="V59">
    <cfRule type="expression" dxfId="155" priority="156">
      <formula>$A59="Value"</formula>
    </cfRule>
  </conditionalFormatting>
  <conditionalFormatting sqref="V63">
    <cfRule type="expression" dxfId="154" priority="155">
      <formula>$A63="Value"</formula>
    </cfRule>
  </conditionalFormatting>
  <conditionalFormatting sqref="V64">
    <cfRule type="expression" dxfId="153" priority="154">
      <formula>$A64="Value"</formula>
    </cfRule>
  </conditionalFormatting>
  <conditionalFormatting sqref="V18">
    <cfRule type="expression" dxfId="152" priority="153">
      <formula>$A18="Value"</formula>
    </cfRule>
  </conditionalFormatting>
  <conditionalFormatting sqref="V22">
    <cfRule type="expression" dxfId="151" priority="152">
      <formula>$A22="Value"</formula>
    </cfRule>
  </conditionalFormatting>
  <conditionalFormatting sqref="V50">
    <cfRule type="expression" dxfId="150" priority="151">
      <formula>$A50="Value"</formula>
    </cfRule>
  </conditionalFormatting>
  <conditionalFormatting sqref="V40">
    <cfRule type="expression" dxfId="149" priority="150">
      <formula>$A40="Value"</formula>
    </cfRule>
  </conditionalFormatting>
  <conditionalFormatting sqref="V37">
    <cfRule type="expression" dxfId="148" priority="149">
      <formula>$A37="Value"</formula>
    </cfRule>
  </conditionalFormatting>
  <conditionalFormatting sqref="V13">
    <cfRule type="expression" dxfId="147" priority="148">
      <formula>$A13="Value"</formula>
    </cfRule>
  </conditionalFormatting>
  <conditionalFormatting sqref="V13">
    <cfRule type="expression" dxfId="146" priority="147">
      <formula>$A13="Value"</formula>
    </cfRule>
  </conditionalFormatting>
  <conditionalFormatting sqref="V15">
    <cfRule type="expression" dxfId="145" priority="146">
      <formula>$A15="Value"</formula>
    </cfRule>
  </conditionalFormatting>
  <conditionalFormatting sqref="V15">
    <cfRule type="expression" dxfId="144" priority="145">
      <formula>$A15="Value"</formula>
    </cfRule>
  </conditionalFormatting>
  <conditionalFormatting sqref="P1:P2">
    <cfRule type="expression" dxfId="143" priority="144">
      <formula>$A1="Value"</formula>
    </cfRule>
  </conditionalFormatting>
  <conditionalFormatting sqref="P3">
    <cfRule type="expression" dxfId="142" priority="143">
      <formula>$A3="Value"</formula>
    </cfRule>
  </conditionalFormatting>
  <conditionalFormatting sqref="P1:P2">
    <cfRule type="expression" dxfId="141" priority="142">
      <formula>$A1="Value"</formula>
    </cfRule>
  </conditionalFormatting>
  <conditionalFormatting sqref="P3">
    <cfRule type="expression" dxfId="140" priority="141">
      <formula>$A3="Value"</formula>
    </cfRule>
  </conditionalFormatting>
  <conditionalFormatting sqref="P4">
    <cfRule type="expression" dxfId="139" priority="140">
      <formula>$A4="Value"</formula>
    </cfRule>
  </conditionalFormatting>
  <conditionalFormatting sqref="P4">
    <cfRule type="expression" dxfId="138" priority="139">
      <formula>$A4="Value"</formula>
    </cfRule>
  </conditionalFormatting>
  <conditionalFormatting sqref="P5">
    <cfRule type="expression" dxfId="137" priority="138">
      <formula>$A5="Value"</formula>
    </cfRule>
  </conditionalFormatting>
  <conditionalFormatting sqref="P5">
    <cfRule type="expression" dxfId="136" priority="137">
      <formula>$A5="Value"</formula>
    </cfRule>
  </conditionalFormatting>
  <conditionalFormatting sqref="P59">
    <cfRule type="expression" dxfId="135" priority="136">
      <formula>$A59="Value"</formula>
    </cfRule>
  </conditionalFormatting>
  <conditionalFormatting sqref="P45:P48">
    <cfRule type="expression" dxfId="134" priority="126">
      <formula>$A45="Value"</formula>
    </cfRule>
  </conditionalFormatting>
  <conditionalFormatting sqref="P49:P56">
    <cfRule type="expression" dxfId="133" priority="125">
      <formula>$A49="Value"</formula>
    </cfRule>
  </conditionalFormatting>
  <conditionalFormatting sqref="P6:P14 P17 P43:P44">
    <cfRule type="expression" dxfId="132" priority="135">
      <formula>$A6="Value"</formula>
    </cfRule>
  </conditionalFormatting>
  <conditionalFormatting sqref="P15:P16">
    <cfRule type="expression" dxfId="131" priority="134">
      <formula>$A15="Value"</formula>
    </cfRule>
  </conditionalFormatting>
  <conditionalFormatting sqref="P18:P19">
    <cfRule type="expression" dxfId="130" priority="133">
      <formula>$A18="Value"</formula>
    </cfRule>
  </conditionalFormatting>
  <conditionalFormatting sqref="P20:P28">
    <cfRule type="expression" dxfId="129" priority="132">
      <formula>$A20="Value"</formula>
    </cfRule>
  </conditionalFormatting>
  <conditionalFormatting sqref="P29:P32">
    <cfRule type="expression" dxfId="128" priority="131">
      <formula>$A29="Value"</formula>
    </cfRule>
  </conditionalFormatting>
  <conditionalFormatting sqref="P33:P34">
    <cfRule type="expression" dxfId="127" priority="130">
      <formula>$A33="Value"</formula>
    </cfRule>
  </conditionalFormatting>
  <conditionalFormatting sqref="P35:P36">
    <cfRule type="expression" dxfId="126" priority="129">
      <formula>$A35="Value"</formula>
    </cfRule>
  </conditionalFormatting>
  <conditionalFormatting sqref="P37:P39">
    <cfRule type="expression" dxfId="125" priority="128">
      <formula>$A37="Value"</formula>
    </cfRule>
  </conditionalFormatting>
  <conditionalFormatting sqref="P40:P42">
    <cfRule type="expression" dxfId="124" priority="127">
      <formula>$A40="Value"</formula>
    </cfRule>
  </conditionalFormatting>
  <conditionalFormatting sqref="P58">
    <cfRule type="expression" dxfId="123" priority="124">
      <formula>$A58="Value"</formula>
    </cfRule>
  </conditionalFormatting>
  <conditionalFormatting sqref="P60">
    <cfRule type="expression" dxfId="122" priority="123">
      <formula>$A60="Value"</formula>
    </cfRule>
  </conditionalFormatting>
  <conditionalFormatting sqref="P62">
    <cfRule type="expression" dxfId="121" priority="121">
      <formula>$A62="Value"</formula>
    </cfRule>
  </conditionalFormatting>
  <conditionalFormatting sqref="P61">
    <cfRule type="expression" dxfId="120" priority="122">
      <formula>$A61="Value"</formula>
    </cfRule>
  </conditionalFormatting>
  <conditionalFormatting sqref="P42">
    <cfRule type="expression" dxfId="119" priority="120">
      <formula>$A42="Value"</formula>
    </cfRule>
  </conditionalFormatting>
  <conditionalFormatting sqref="P57">
    <cfRule type="expression" dxfId="118" priority="119">
      <formula>$A57="Value"</formula>
    </cfRule>
  </conditionalFormatting>
  <conditionalFormatting sqref="P57">
    <cfRule type="expression" dxfId="117" priority="118">
      <formula>$A57="Value"</formula>
    </cfRule>
  </conditionalFormatting>
  <conditionalFormatting sqref="L17">
    <cfRule type="expression" dxfId="116" priority="117">
      <formula>$A17="Value"</formula>
    </cfRule>
  </conditionalFormatting>
  <conditionalFormatting sqref="L17">
    <cfRule type="expression" dxfId="115" priority="116">
      <formula>$A17="Value"</formula>
    </cfRule>
  </conditionalFormatting>
  <conditionalFormatting sqref="O59">
    <cfRule type="expression" dxfId="114" priority="115">
      <formula>$A59="Value"</formula>
    </cfRule>
  </conditionalFormatting>
  <conditionalFormatting sqref="O58">
    <cfRule type="expression" dxfId="113" priority="114">
      <formula>$A58="Value"</formula>
    </cfRule>
  </conditionalFormatting>
  <conditionalFormatting sqref="O61">
    <cfRule type="expression" dxfId="112" priority="113">
      <formula>$A61="Value"</formula>
    </cfRule>
  </conditionalFormatting>
  <conditionalFormatting sqref="O1:O2">
    <cfRule type="expression" dxfId="111" priority="112">
      <formula>$A1="Value"</formula>
    </cfRule>
  </conditionalFormatting>
  <conditionalFormatting sqref="O47:O48 O45">
    <cfRule type="expression" dxfId="110" priority="102">
      <formula>$A45="Value"</formula>
    </cfRule>
  </conditionalFormatting>
  <conditionalFormatting sqref="O49 O51:O56">
    <cfRule type="expression" dxfId="109" priority="101">
      <formula>$A49="Value"</formula>
    </cfRule>
  </conditionalFormatting>
  <conditionalFormatting sqref="O43:O44 O17 O14 O3:O8 O10:O12">
    <cfRule type="expression" dxfId="108" priority="111">
      <formula>$A3="Value"</formula>
    </cfRule>
  </conditionalFormatting>
  <conditionalFormatting sqref="O16">
    <cfRule type="expression" dxfId="107" priority="110">
      <formula>$A16="Value"</formula>
    </cfRule>
  </conditionalFormatting>
  <conditionalFormatting sqref="O19">
    <cfRule type="expression" dxfId="106" priority="109">
      <formula>$A19="Value"</formula>
    </cfRule>
  </conditionalFormatting>
  <conditionalFormatting sqref="O20:O21 O23:O28">
    <cfRule type="expression" dxfId="105" priority="108">
      <formula>$A20="Value"</formula>
    </cfRule>
  </conditionalFormatting>
  <conditionalFormatting sqref="O29:O32">
    <cfRule type="expression" dxfId="104" priority="107">
      <formula>$A29="Value"</formula>
    </cfRule>
  </conditionalFormatting>
  <conditionalFormatting sqref="O33:O34">
    <cfRule type="expression" dxfId="103" priority="106">
      <formula>$A33="Value"</formula>
    </cfRule>
  </conditionalFormatting>
  <conditionalFormatting sqref="O36">
    <cfRule type="expression" dxfId="102" priority="105">
      <formula>$A36="Value"</formula>
    </cfRule>
  </conditionalFormatting>
  <conditionalFormatting sqref="O38:O39">
    <cfRule type="expression" dxfId="101" priority="104">
      <formula>$A38="Value"</formula>
    </cfRule>
  </conditionalFormatting>
  <conditionalFormatting sqref="O41:O42">
    <cfRule type="expression" dxfId="100" priority="103">
      <formula>$A41="Value"</formula>
    </cfRule>
  </conditionalFormatting>
  <conditionalFormatting sqref="O57">
    <cfRule type="expression" dxfId="99" priority="100">
      <formula>$A57="Value"</formula>
    </cfRule>
  </conditionalFormatting>
  <conditionalFormatting sqref="O45 O47:O48">
    <cfRule type="expression" dxfId="98" priority="89">
      <formula>$A45="Value"</formula>
    </cfRule>
  </conditionalFormatting>
  <conditionalFormatting sqref="O41:O42">
    <cfRule type="expression" dxfId="97" priority="90">
      <formula>$A41="Value"</formula>
    </cfRule>
  </conditionalFormatting>
  <conditionalFormatting sqref="O49 O51:O55">
    <cfRule type="expression" dxfId="96" priority="88">
      <formula>$A49="Value"</formula>
    </cfRule>
  </conditionalFormatting>
  <conditionalFormatting sqref="O1:O2">
    <cfRule type="expression" dxfId="95" priority="99">
      <formula>$A1="Value"</formula>
    </cfRule>
  </conditionalFormatting>
  <conditionalFormatting sqref="O17 O43:O44 O14 O3:O8 O10:O12">
    <cfRule type="expression" dxfId="94" priority="98">
      <formula>$A3="Value"</formula>
    </cfRule>
  </conditionalFormatting>
  <conditionalFormatting sqref="O16">
    <cfRule type="expression" dxfId="93" priority="97">
      <formula>$A16="Value"</formula>
    </cfRule>
  </conditionalFormatting>
  <conditionalFormatting sqref="O19">
    <cfRule type="expression" dxfId="92" priority="96">
      <formula>$A19="Value"</formula>
    </cfRule>
  </conditionalFormatting>
  <conditionalFormatting sqref="O20:O21 O23:O28">
    <cfRule type="expression" dxfId="91" priority="95">
      <formula>$A20="Value"</formula>
    </cfRule>
  </conditionalFormatting>
  <conditionalFormatting sqref="O29:O32">
    <cfRule type="expression" dxfId="90" priority="94">
      <formula>$A29="Value"</formula>
    </cfRule>
  </conditionalFormatting>
  <conditionalFormatting sqref="O33:O34">
    <cfRule type="expression" dxfId="89" priority="93">
      <formula>$A33="Value"</formula>
    </cfRule>
  </conditionalFormatting>
  <conditionalFormatting sqref="O36">
    <cfRule type="expression" dxfId="88" priority="92">
      <formula>$A36="Value"</formula>
    </cfRule>
  </conditionalFormatting>
  <conditionalFormatting sqref="O38:O39">
    <cfRule type="expression" dxfId="87" priority="91">
      <formula>$A38="Value"</formula>
    </cfRule>
  </conditionalFormatting>
  <conditionalFormatting sqref="O57">
    <cfRule type="expression" dxfId="86" priority="87">
      <formula>$A57="Value"</formula>
    </cfRule>
  </conditionalFormatting>
  <conditionalFormatting sqref="O60">
    <cfRule type="expression" dxfId="85" priority="86">
      <formula>$A60="Value"</formula>
    </cfRule>
  </conditionalFormatting>
  <conditionalFormatting sqref="O62">
    <cfRule type="expression" dxfId="84" priority="85">
      <formula>$A62="Value"</formula>
    </cfRule>
  </conditionalFormatting>
  <conditionalFormatting sqref="O62">
    <cfRule type="expression" dxfId="83" priority="84">
      <formula>$A62="Value"</formula>
    </cfRule>
  </conditionalFormatting>
  <conditionalFormatting sqref="O42">
    <cfRule type="expression" dxfId="82" priority="83">
      <formula>$A42="Value"</formula>
    </cfRule>
  </conditionalFormatting>
  <conditionalFormatting sqref="O46">
    <cfRule type="expression" dxfId="81" priority="82">
      <formula>$A46="Value"</formula>
    </cfRule>
  </conditionalFormatting>
  <conditionalFormatting sqref="O35">
    <cfRule type="expression" dxfId="80" priority="81">
      <formula>$A35="Value"</formula>
    </cfRule>
  </conditionalFormatting>
  <conditionalFormatting sqref="O18">
    <cfRule type="expression" dxfId="79" priority="80">
      <formula>$A18="Value"</formula>
    </cfRule>
  </conditionalFormatting>
  <conditionalFormatting sqref="O22">
    <cfRule type="expression" dxfId="78" priority="79">
      <formula>$A22="Value"</formula>
    </cfRule>
  </conditionalFormatting>
  <conditionalFormatting sqref="O50">
    <cfRule type="expression" dxfId="77" priority="78">
      <formula>$A50="Value"</formula>
    </cfRule>
  </conditionalFormatting>
  <conditionalFormatting sqref="O13">
    <cfRule type="expression" dxfId="76" priority="77">
      <formula>$A13="Value"</formula>
    </cfRule>
  </conditionalFormatting>
  <conditionalFormatting sqref="O40">
    <cfRule type="expression" dxfId="75" priority="76">
      <formula>$A40="Value"</formula>
    </cfRule>
  </conditionalFormatting>
  <conditionalFormatting sqref="O37">
    <cfRule type="expression" dxfId="74" priority="75">
      <formula>$A37="Value"</formula>
    </cfRule>
  </conditionalFormatting>
  <conditionalFormatting sqref="O15">
    <cfRule type="expression" dxfId="73" priority="74">
      <formula>$A15="Value"</formula>
    </cfRule>
  </conditionalFormatting>
  <conditionalFormatting sqref="X61">
    <cfRule type="expression" dxfId="72" priority="73">
      <formula>$A61="Value"</formula>
    </cfRule>
  </conditionalFormatting>
  <conditionalFormatting sqref="X62">
    <cfRule type="expression" dxfId="71" priority="59">
      <formula>$A62="Value"</formula>
    </cfRule>
  </conditionalFormatting>
  <conditionalFormatting sqref="X1:X2">
    <cfRule type="expression" dxfId="70" priority="72">
      <formula>$A1="Value"</formula>
    </cfRule>
  </conditionalFormatting>
  <conditionalFormatting sqref="X45:X48">
    <cfRule type="expression" dxfId="69" priority="62">
      <formula>$A45="Value"</formula>
    </cfRule>
  </conditionalFormatting>
  <conditionalFormatting sqref="X49 X51:X56">
    <cfRule type="expression" dxfId="68" priority="61">
      <formula>$A49="Value"</formula>
    </cfRule>
  </conditionalFormatting>
  <conditionalFormatting sqref="X3:X10 X17 X43:X44 X12 X14">
    <cfRule type="expression" dxfId="67" priority="71">
      <formula>$A3="Value"</formula>
    </cfRule>
  </conditionalFormatting>
  <conditionalFormatting sqref="X16">
    <cfRule type="expression" dxfId="66" priority="70">
      <formula>$A16="Value"</formula>
    </cfRule>
  </conditionalFormatting>
  <conditionalFormatting sqref="X19">
    <cfRule type="expression" dxfId="65" priority="69">
      <formula>$A19="Value"</formula>
    </cfRule>
  </conditionalFormatting>
  <conditionalFormatting sqref="X20:X21 X23:X28">
    <cfRule type="expression" dxfId="64" priority="68">
      <formula>$A20="Value"</formula>
    </cfRule>
  </conditionalFormatting>
  <conditionalFormatting sqref="X29:X32">
    <cfRule type="expression" dxfId="63" priority="67">
      <formula>$A29="Value"</formula>
    </cfRule>
  </conditionalFormatting>
  <conditionalFormatting sqref="X33:X34">
    <cfRule type="expression" dxfId="62" priority="66">
      <formula>$A33="Value"</formula>
    </cfRule>
  </conditionalFormatting>
  <conditionalFormatting sqref="X35:X36">
    <cfRule type="expression" dxfId="61" priority="65">
      <formula>$A35="Value"</formula>
    </cfRule>
  </conditionalFormatting>
  <conditionalFormatting sqref="X38:X39">
    <cfRule type="expression" dxfId="60" priority="64">
      <formula>$A38="Value"</formula>
    </cfRule>
  </conditionalFormatting>
  <conditionalFormatting sqref="X41:X42">
    <cfRule type="expression" dxfId="59" priority="63">
      <formula>$A41="Value"</formula>
    </cfRule>
  </conditionalFormatting>
  <conditionalFormatting sqref="X60">
    <cfRule type="expression" dxfId="58" priority="60">
      <formula>$A60="Value"</formula>
    </cfRule>
  </conditionalFormatting>
  <conditionalFormatting sqref="X42">
    <cfRule type="expression" dxfId="57" priority="58">
      <formula>$A42="Value"</formula>
    </cfRule>
  </conditionalFormatting>
  <conditionalFormatting sqref="X57">
    <cfRule type="expression" dxfId="56" priority="57">
      <formula>$A57="Value"</formula>
    </cfRule>
  </conditionalFormatting>
  <conditionalFormatting sqref="X57">
    <cfRule type="expression" dxfId="55" priority="56">
      <formula>$A57="Value"</formula>
    </cfRule>
  </conditionalFormatting>
  <conditionalFormatting sqref="X11">
    <cfRule type="expression" dxfId="54" priority="55">
      <formula>$A11="Value"</formula>
    </cfRule>
  </conditionalFormatting>
  <conditionalFormatting sqref="X58">
    <cfRule type="expression" dxfId="53" priority="54">
      <formula>$A58="Value"</formula>
    </cfRule>
  </conditionalFormatting>
  <conditionalFormatting sqref="X58">
    <cfRule type="expression" dxfId="52" priority="53">
      <formula>$A58="Value"</formula>
    </cfRule>
  </conditionalFormatting>
  <conditionalFormatting sqref="X59">
    <cfRule type="expression" dxfId="51" priority="52">
      <formula>$A59="Value"</formula>
    </cfRule>
  </conditionalFormatting>
  <conditionalFormatting sqref="X59">
    <cfRule type="expression" dxfId="50" priority="51">
      <formula>$A59="Value"</formula>
    </cfRule>
  </conditionalFormatting>
  <conditionalFormatting sqref="X63">
    <cfRule type="expression" dxfId="49" priority="50">
      <formula>$A63="Value"</formula>
    </cfRule>
  </conditionalFormatting>
  <conditionalFormatting sqref="X64">
    <cfRule type="expression" dxfId="48" priority="49">
      <formula>$A64="Value"</formula>
    </cfRule>
  </conditionalFormatting>
  <conditionalFormatting sqref="X18">
    <cfRule type="expression" dxfId="47" priority="48">
      <formula>$A18="Value"</formula>
    </cfRule>
  </conditionalFormatting>
  <conditionalFormatting sqref="X22">
    <cfRule type="expression" dxfId="46" priority="47">
      <formula>$A22="Value"</formula>
    </cfRule>
  </conditionalFormatting>
  <conditionalFormatting sqref="X50">
    <cfRule type="expression" dxfId="45" priority="46">
      <formula>$A50="Value"</formula>
    </cfRule>
  </conditionalFormatting>
  <conditionalFormatting sqref="X40">
    <cfRule type="expression" dxfId="44" priority="45">
      <formula>$A40="Value"</formula>
    </cfRule>
  </conditionalFormatting>
  <conditionalFormatting sqref="X37">
    <cfRule type="expression" dxfId="43" priority="44">
      <formula>$A37="Value"</formula>
    </cfRule>
  </conditionalFormatting>
  <conditionalFormatting sqref="X13">
    <cfRule type="expression" dxfId="42" priority="43">
      <formula>$A13="Value"</formula>
    </cfRule>
  </conditionalFormatting>
  <conditionalFormatting sqref="X13">
    <cfRule type="expression" dxfId="41" priority="42">
      <formula>$A13="Value"</formula>
    </cfRule>
  </conditionalFormatting>
  <conditionalFormatting sqref="X15">
    <cfRule type="expression" dxfId="40" priority="41">
      <formula>$A15="Value"</formula>
    </cfRule>
  </conditionalFormatting>
  <conditionalFormatting sqref="X15">
    <cfRule type="expression" dxfId="39" priority="40">
      <formula>$A15="Value"</formula>
    </cfRule>
  </conditionalFormatting>
  <conditionalFormatting sqref="D1:D2 D59">
    <cfRule type="expression" dxfId="38" priority="39">
      <formula>$A1="Value"</formula>
    </cfRule>
  </conditionalFormatting>
  <conditionalFormatting sqref="D45:D48">
    <cfRule type="expression" dxfId="37" priority="29">
      <formula>$A45="Value"</formula>
    </cfRule>
  </conditionalFormatting>
  <conditionalFormatting sqref="D49:D56">
    <cfRule type="expression" dxfId="36" priority="28">
      <formula>$A49="Value"</formula>
    </cfRule>
  </conditionalFormatting>
  <conditionalFormatting sqref="D3:D14 D17 D43:D44">
    <cfRule type="expression" dxfId="35" priority="38">
      <formula>$A3="Value"</formula>
    </cfRule>
  </conditionalFormatting>
  <conditionalFormatting sqref="D15:D16">
    <cfRule type="expression" dxfId="34" priority="37">
      <formula>$A15="Value"</formula>
    </cfRule>
  </conditionalFormatting>
  <conditionalFormatting sqref="D18:D19">
    <cfRule type="expression" dxfId="33" priority="36">
      <formula>$A18="Value"</formula>
    </cfRule>
  </conditionalFormatting>
  <conditionalFormatting sqref="D20:D28">
    <cfRule type="expression" dxfId="32" priority="35">
      <formula>$A20="Value"</formula>
    </cfRule>
  </conditionalFormatting>
  <conditionalFormatting sqref="D29:D32">
    <cfRule type="expression" dxfId="31" priority="34">
      <formula>$A29="Value"</formula>
    </cfRule>
  </conditionalFormatting>
  <conditionalFormatting sqref="D33:D34">
    <cfRule type="expression" dxfId="30" priority="33">
      <formula>$A33="Value"</formula>
    </cfRule>
  </conditionalFormatting>
  <conditionalFormatting sqref="D35:D36">
    <cfRule type="expression" dxfId="29" priority="32">
      <formula>$A35="Value"</formula>
    </cfRule>
  </conditionalFormatting>
  <conditionalFormatting sqref="D37:D39">
    <cfRule type="expression" dxfId="28" priority="31">
      <formula>$A37="Value"</formula>
    </cfRule>
  </conditionalFormatting>
  <conditionalFormatting sqref="D40:D42">
    <cfRule type="expression" dxfId="27" priority="30">
      <formula>$A40="Value"</formula>
    </cfRule>
  </conditionalFormatting>
  <conditionalFormatting sqref="D58">
    <cfRule type="expression" dxfId="26" priority="27">
      <formula>$A58="Value"</formula>
    </cfRule>
  </conditionalFormatting>
  <conditionalFormatting sqref="D60">
    <cfRule type="expression" dxfId="25" priority="26">
      <formula>$A60="Value"</formula>
    </cfRule>
  </conditionalFormatting>
  <conditionalFormatting sqref="D62">
    <cfRule type="expression" dxfId="24" priority="24">
      <formula>$A62="Value"</formula>
    </cfRule>
  </conditionalFormatting>
  <conditionalFormatting sqref="D61">
    <cfRule type="expression" dxfId="23" priority="25">
      <formula>$A61="Value"</formula>
    </cfRule>
  </conditionalFormatting>
  <conditionalFormatting sqref="D42">
    <cfRule type="expression" dxfId="22" priority="23">
      <formula>$A42="Value"</formula>
    </cfRule>
  </conditionalFormatting>
  <conditionalFormatting sqref="D57">
    <cfRule type="expression" dxfId="21" priority="22">
      <formula>$A57="Value"</formula>
    </cfRule>
  </conditionalFormatting>
  <conditionalFormatting sqref="D57">
    <cfRule type="expression" dxfId="20" priority="21">
      <formula>$A57="Value"</formula>
    </cfRule>
  </conditionalFormatting>
  <conditionalFormatting sqref="F1:F2 F59">
    <cfRule type="expression" dxfId="19" priority="20">
      <formula>$A1="Value"</formula>
    </cfRule>
  </conditionalFormatting>
  <conditionalFormatting sqref="F45:F48">
    <cfRule type="expression" dxfId="18" priority="10">
      <formula>$A45="Value"</formula>
    </cfRule>
  </conditionalFormatting>
  <conditionalFormatting sqref="F49:F56">
    <cfRule type="expression" dxfId="17" priority="9">
      <formula>$A49="Value"</formula>
    </cfRule>
  </conditionalFormatting>
  <conditionalFormatting sqref="F4:F14 F17 F43:F44">
    <cfRule type="expression" dxfId="16" priority="19">
      <formula>$A4="Value"</formula>
    </cfRule>
  </conditionalFormatting>
  <conditionalFormatting sqref="F15:F16">
    <cfRule type="expression" dxfId="15" priority="18">
      <formula>$A15="Value"</formula>
    </cfRule>
  </conditionalFormatting>
  <conditionalFormatting sqref="F18:F19">
    <cfRule type="expression" dxfId="14" priority="17">
      <formula>$A18="Value"</formula>
    </cfRule>
  </conditionalFormatting>
  <conditionalFormatting sqref="F20:F28">
    <cfRule type="expression" dxfId="13" priority="16">
      <formula>$A20="Value"</formula>
    </cfRule>
  </conditionalFormatting>
  <conditionalFormatting sqref="F29:F32">
    <cfRule type="expression" dxfId="12" priority="15">
      <formula>$A29="Value"</formula>
    </cfRule>
  </conditionalFormatting>
  <conditionalFormatting sqref="F33:F34">
    <cfRule type="expression" dxfId="11" priority="14">
      <formula>$A33="Value"</formula>
    </cfRule>
  </conditionalFormatting>
  <conditionalFormatting sqref="F35:F36">
    <cfRule type="expression" dxfId="10" priority="13">
      <formula>$A35="Value"</formula>
    </cfRule>
  </conditionalFormatting>
  <conditionalFormatting sqref="F37:F39">
    <cfRule type="expression" dxfId="9" priority="12">
      <formula>$A37="Value"</formula>
    </cfRule>
  </conditionalFormatting>
  <conditionalFormatting sqref="F40:F42">
    <cfRule type="expression" dxfId="8" priority="11">
      <formula>$A40="Value"</formula>
    </cfRule>
  </conditionalFormatting>
  <conditionalFormatting sqref="F58">
    <cfRule type="expression" dxfId="7" priority="8">
      <formula>$A58="Value"</formula>
    </cfRule>
  </conditionalFormatting>
  <conditionalFormatting sqref="F60">
    <cfRule type="expression" dxfId="6" priority="7">
      <formula>$A60="Value"</formula>
    </cfRule>
  </conditionalFormatting>
  <conditionalFormatting sqref="F62">
    <cfRule type="expression" dxfId="5" priority="5">
      <formula>$A62="Value"</formula>
    </cfRule>
  </conditionalFormatting>
  <conditionalFormatting sqref="F61">
    <cfRule type="expression" dxfId="4" priority="6">
      <formula>$A61="Value"</formula>
    </cfRule>
  </conditionalFormatting>
  <conditionalFormatting sqref="F42">
    <cfRule type="expression" dxfId="3" priority="4">
      <formula>$A42="Value"</formula>
    </cfRule>
  </conditionalFormatting>
  <conditionalFormatting sqref="F57">
    <cfRule type="expression" dxfId="2" priority="3">
      <formula>$A57="Value"</formula>
    </cfRule>
  </conditionalFormatting>
  <conditionalFormatting sqref="F57">
    <cfRule type="expression" dxfId="1" priority="2">
      <formula>$A57="Value"</formula>
    </cfRule>
  </conditionalFormatting>
  <conditionalFormatting sqref="F3">
    <cfRule type="expression" dxfId="0" priority="1">
      <formula>$A3="Value"</formula>
    </cfRule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cost-Y-cone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2026-08-12T13:16:28Z</dcterms:created>
  <dcterms:modified xsi:type="dcterms:W3CDTF">2026-08-12T13:16:53Z</dcterms:modified>
</cp:coreProperties>
</file>