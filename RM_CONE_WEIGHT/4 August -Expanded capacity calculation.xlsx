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ERP\"/>
    </mc:Choice>
  </mc:AlternateContent>
  <bookViews>
    <workbookView xWindow="0" yWindow="0" windowWidth="24000" windowHeight="9600" firstSheet="2" activeTab="4"/>
  </bookViews>
  <sheets>
    <sheet name="capacity" sheetId="2" r:id="rId1"/>
    <sheet name="New Cycle time-Filament" sheetId="8" r:id="rId2"/>
    <sheet name="New-Cycle time SSP-TXP-PPC (2)" sheetId="17" r:id="rId3"/>
    <sheet name="New-Cycle time TUBE)" sheetId="10" r:id="rId4"/>
    <sheet name="New kg-Spun+Filament (2)" sheetId="9" r:id="rId5"/>
    <sheet name="HEADCOUNT" sheetId="18" r:id="rId6"/>
    <sheet name="IR" sheetId="16" r:id="rId7"/>
    <sheet name="Routing " sheetId="5" r:id="rId8"/>
  </sheets>
  <definedNames>
    <definedName name="_xlnm._FilterDatabase" localSheetId="0" hidden="1">capacity!$A$1:$H$38</definedName>
    <definedName name="_xlnm._FilterDatabase" localSheetId="1" hidden="1">'New Cycle time-Filament'!$A$1:$T$59</definedName>
    <definedName name="_xlnm._FilterDatabase" localSheetId="4" hidden="1">'New kg-Spun+Filament (2)'!$A$1:$V$16</definedName>
    <definedName name="_xlnm._FilterDatabase" localSheetId="2" hidden="1">'New-Cycle time SSP-TXP-PPC (2)'!$A$1:$T$25</definedName>
    <definedName name="_xlnm._FilterDatabase" localSheetId="3" hidden="1">'New-Cycle time TUBE)'!$D$1:$W$11</definedName>
    <definedName name="_xlnm._FilterDatabase" localSheetId="7" hidden="1">'Routing '!$A$1:$O$13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5" i="9" l="1"/>
  <c r="U14" i="9"/>
  <c r="S16" i="9"/>
  <c r="L58" i="8"/>
  <c r="L56" i="8"/>
  <c r="L54" i="8"/>
  <c r="L53" i="8"/>
  <c r="L51" i="8"/>
  <c r="L50" i="8"/>
  <c r="L49" i="8"/>
  <c r="L48" i="8"/>
  <c r="L46" i="8"/>
  <c r="L44" i="8"/>
  <c r="L43" i="8"/>
  <c r="L34" i="8"/>
  <c r="L33" i="8"/>
  <c r="L32" i="8"/>
  <c r="L31" i="8"/>
  <c r="L30" i="8"/>
  <c r="L29" i="8"/>
  <c r="L27" i="8"/>
  <c r="L26" i="8"/>
  <c r="L25" i="8"/>
  <c r="L24" i="8"/>
  <c r="L23" i="8"/>
  <c r="L22" i="8"/>
  <c r="L21" i="8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" i="17"/>
  <c r="L16" i="18" l="1"/>
  <c r="O15" i="18"/>
  <c r="O9" i="18"/>
  <c r="N9" i="18"/>
  <c r="N10" i="18"/>
  <c r="N11" i="18"/>
  <c r="N12" i="18"/>
  <c r="N13" i="18"/>
  <c r="N14" i="18"/>
  <c r="M9" i="18"/>
  <c r="M10" i="18"/>
  <c r="O10" i="18" s="1"/>
  <c r="M11" i="18"/>
  <c r="O11" i="18" s="1"/>
  <c r="M12" i="18"/>
  <c r="O12" i="18" s="1"/>
  <c r="M13" i="18"/>
  <c r="O13" i="18" s="1"/>
  <c r="M14" i="18"/>
  <c r="O14" i="18" s="1"/>
  <c r="D7" i="18" l="1"/>
  <c r="C7" i="18"/>
  <c r="O5" i="18"/>
  <c r="N5" i="18"/>
  <c r="N6" i="18"/>
  <c r="N7" i="18"/>
  <c r="O7" i="18" s="1"/>
  <c r="N8" i="18"/>
  <c r="N16" i="18" s="1"/>
  <c r="M5" i="18"/>
  <c r="M6" i="18"/>
  <c r="M7" i="18"/>
  <c r="M8" i="18"/>
  <c r="O4" i="18"/>
  <c r="N3" i="18"/>
  <c r="M3" i="18"/>
  <c r="O3" i="18" s="1"/>
  <c r="O8" i="18" l="1"/>
  <c r="O16" i="18" s="1"/>
  <c r="M16" i="18"/>
  <c r="O6" i="18"/>
  <c r="E18" i="18"/>
  <c r="E17" i="18"/>
  <c r="E16" i="18"/>
  <c r="E14" i="18"/>
  <c r="E13" i="18"/>
  <c r="D15" i="18"/>
  <c r="C15" i="18"/>
  <c r="E15" i="18" s="1"/>
  <c r="L25" i="17" l="1"/>
  <c r="R25" i="17" s="1"/>
  <c r="L24" i="17"/>
  <c r="R24" i="17" s="1"/>
  <c r="L23" i="17"/>
  <c r="R23" i="17" s="1"/>
  <c r="L22" i="17"/>
  <c r="N22" i="17" s="1"/>
  <c r="Q22" i="17" s="1"/>
  <c r="T22" i="17" s="1"/>
  <c r="V22" i="17" s="1"/>
  <c r="R21" i="17"/>
  <c r="L21" i="17"/>
  <c r="N21" i="17" s="1"/>
  <c r="Q21" i="17" s="1"/>
  <c r="T21" i="17" s="1"/>
  <c r="V21" i="17" s="1"/>
  <c r="R20" i="17"/>
  <c r="L20" i="17"/>
  <c r="N20" i="17" s="1"/>
  <c r="Q20" i="17" s="1"/>
  <c r="T20" i="17" s="1"/>
  <c r="V20" i="17" s="1"/>
  <c r="R19" i="17"/>
  <c r="L19" i="17"/>
  <c r="N19" i="17" s="1"/>
  <c r="Q19" i="17" s="1"/>
  <c r="T19" i="17" s="1"/>
  <c r="V19" i="17" s="1"/>
  <c r="R18" i="17"/>
  <c r="N18" i="17"/>
  <c r="Q18" i="17" s="1"/>
  <c r="T18" i="17" s="1"/>
  <c r="V18" i="17" s="1"/>
  <c r="L18" i="17"/>
  <c r="L17" i="17"/>
  <c r="R17" i="17" s="1"/>
  <c r="N16" i="17"/>
  <c r="Q16" i="17" s="1"/>
  <c r="T16" i="17" s="1"/>
  <c r="V16" i="17" s="1"/>
  <c r="L16" i="17"/>
  <c r="R16" i="17" s="1"/>
  <c r="L15" i="17"/>
  <c r="R15" i="17" s="1"/>
  <c r="L14" i="17"/>
  <c r="N14" i="17" s="1"/>
  <c r="Q14" i="17" s="1"/>
  <c r="T14" i="17" s="1"/>
  <c r="V14" i="17" s="1"/>
  <c r="R13" i="17"/>
  <c r="L13" i="17"/>
  <c r="N13" i="17" s="1"/>
  <c r="Q13" i="17" s="1"/>
  <c r="T13" i="17" s="1"/>
  <c r="V13" i="17" s="1"/>
  <c r="R12" i="17"/>
  <c r="L12" i="17"/>
  <c r="N12" i="17" s="1"/>
  <c r="Q12" i="17" s="1"/>
  <c r="T12" i="17" s="1"/>
  <c r="V12" i="17" s="1"/>
  <c r="R11" i="17"/>
  <c r="L11" i="17"/>
  <c r="N11" i="17" s="1"/>
  <c r="Q11" i="17" s="1"/>
  <c r="T11" i="17" s="1"/>
  <c r="V11" i="17" s="1"/>
  <c r="N10" i="17"/>
  <c r="Q10" i="17" s="1"/>
  <c r="T10" i="17" s="1"/>
  <c r="V10" i="17" s="1"/>
  <c r="L10" i="17"/>
  <c r="R10" i="17" s="1"/>
  <c r="L9" i="17"/>
  <c r="R9" i="17" s="1"/>
  <c r="N8" i="17"/>
  <c r="Q8" i="17" s="1"/>
  <c r="T8" i="17" s="1"/>
  <c r="V8" i="17" s="1"/>
  <c r="L8" i="17"/>
  <c r="R8" i="17" s="1"/>
  <c r="L7" i="17"/>
  <c r="N7" i="17" s="1"/>
  <c r="Q7" i="17" s="1"/>
  <c r="T7" i="17" s="1"/>
  <c r="L6" i="17"/>
  <c r="N6" i="17" s="1"/>
  <c r="Q6" i="17" s="1"/>
  <c r="T6" i="17" s="1"/>
  <c r="R5" i="17"/>
  <c r="L5" i="17"/>
  <c r="N5" i="17" s="1"/>
  <c r="Q5" i="17" s="1"/>
  <c r="T5" i="17" s="1"/>
  <c r="V5" i="17" s="1"/>
  <c r="N4" i="17"/>
  <c r="Q4" i="17" s="1"/>
  <c r="T4" i="17" s="1"/>
  <c r="V4" i="17" s="1"/>
  <c r="L4" i="17"/>
  <c r="R4" i="17" s="1"/>
  <c r="L3" i="17"/>
  <c r="R3" i="17" s="1"/>
  <c r="N2" i="17"/>
  <c r="Q2" i="17" s="1"/>
  <c r="T2" i="17" s="1"/>
  <c r="V2" i="17" s="1"/>
  <c r="L2" i="17"/>
  <c r="R2" i="17" s="1"/>
  <c r="R7" i="17" l="1"/>
  <c r="R14" i="17"/>
  <c r="R22" i="17"/>
  <c r="N3" i="17"/>
  <c r="Q3" i="17" s="1"/>
  <c r="T3" i="17" s="1"/>
  <c r="V3" i="17" s="1"/>
  <c r="R6" i="17"/>
  <c r="N9" i="17"/>
  <c r="Q9" i="17" s="1"/>
  <c r="T9" i="17" s="1"/>
  <c r="V9" i="17" s="1"/>
  <c r="N17" i="17"/>
  <c r="Q17" i="17" s="1"/>
  <c r="T17" i="17" s="1"/>
  <c r="V17" i="17" s="1"/>
  <c r="N25" i="17"/>
  <c r="Q25" i="17" s="1"/>
  <c r="T25" i="17" s="1"/>
  <c r="V25" i="17" s="1"/>
  <c r="N24" i="17"/>
  <c r="Q24" i="17" s="1"/>
  <c r="T24" i="17" s="1"/>
  <c r="V24" i="17" s="1"/>
  <c r="N15" i="17"/>
  <c r="Q15" i="17" s="1"/>
  <c r="T15" i="17" s="1"/>
  <c r="V15" i="17" s="1"/>
  <c r="N23" i="17"/>
  <c r="Q23" i="17" s="1"/>
  <c r="T23" i="17" s="1"/>
  <c r="V23" i="17" s="1"/>
  <c r="M25" i="2" l="1"/>
  <c r="M26" i="2" s="1"/>
  <c r="E30" i="2"/>
  <c r="E29" i="2"/>
  <c r="E28" i="2"/>
  <c r="E27" i="2"/>
  <c r="E26" i="2"/>
  <c r="E25" i="2"/>
  <c r="E24" i="2"/>
  <c r="T7" i="10" l="1"/>
  <c r="T8" i="10"/>
  <c r="R7" i="10"/>
  <c r="R8" i="10"/>
  <c r="Q7" i="10"/>
  <c r="Q8" i="10"/>
  <c r="O7" i="10"/>
  <c r="O8" i="10"/>
  <c r="N7" i="10"/>
  <c r="N8" i="10"/>
  <c r="L7" i="10"/>
  <c r="L8" i="10"/>
  <c r="T6" i="10"/>
  <c r="T4" i="10"/>
  <c r="T3" i="10"/>
  <c r="T2" i="10"/>
  <c r="R6" i="10"/>
  <c r="Q3" i="10"/>
  <c r="Q4" i="10"/>
  <c r="Q6" i="10"/>
  <c r="O3" i="10"/>
  <c r="O4" i="10"/>
  <c r="O6" i="10"/>
  <c r="O2" i="10"/>
  <c r="N6" i="10"/>
  <c r="L6" i="10"/>
  <c r="G46" i="16" l="1"/>
  <c r="D46" i="16"/>
  <c r="D30" i="16"/>
  <c r="E30" i="16"/>
  <c r="F30" i="16"/>
  <c r="C30" i="16"/>
  <c r="C46" i="16"/>
  <c r="G6" i="16"/>
  <c r="G7" i="16"/>
  <c r="G8" i="16"/>
  <c r="G14" i="16"/>
  <c r="G15" i="16"/>
  <c r="G16" i="16"/>
  <c r="G17" i="16"/>
  <c r="G18" i="16"/>
  <c r="G19" i="16"/>
  <c r="G20" i="16"/>
  <c r="G21" i="16"/>
  <c r="G22" i="16"/>
  <c r="G24" i="16"/>
  <c r="G25" i="16"/>
  <c r="G28" i="16"/>
  <c r="G29" i="16"/>
  <c r="G31" i="16"/>
  <c r="G34" i="16"/>
  <c r="G35" i="16"/>
  <c r="G36" i="16"/>
  <c r="G37" i="16"/>
  <c r="G38" i="16"/>
  <c r="G43" i="16"/>
  <c r="G44" i="16"/>
  <c r="G5" i="16"/>
  <c r="D45" i="16"/>
  <c r="C45" i="16"/>
  <c r="F39" i="16"/>
  <c r="E39" i="16"/>
  <c r="D39" i="16"/>
  <c r="C39" i="16"/>
  <c r="F23" i="16"/>
  <c r="E23" i="16"/>
  <c r="D23" i="16"/>
  <c r="C23" i="16"/>
  <c r="F9" i="16"/>
  <c r="E9" i="16"/>
  <c r="D9" i="16"/>
  <c r="C9" i="16"/>
  <c r="G9" i="16" l="1"/>
  <c r="G30" i="16"/>
  <c r="G23" i="16"/>
  <c r="G39" i="16"/>
  <c r="G45" i="16"/>
  <c r="T16" i="9" l="1"/>
  <c r="R16" i="9"/>
  <c r="L8" i="9" l="1"/>
  <c r="R8" i="9" s="1"/>
  <c r="U16" i="9"/>
  <c r="N8" i="9" l="1"/>
  <c r="O8" i="9" s="1"/>
  <c r="Q8" i="9" s="1"/>
  <c r="V8" i="9" s="1"/>
  <c r="L5" i="10"/>
  <c r="R5" i="10" s="1"/>
  <c r="W5" i="10" s="1"/>
  <c r="N5" i="10" l="1"/>
  <c r="O5" i="10" l="1"/>
  <c r="Q5" i="10" s="1"/>
  <c r="T5" i="10" s="1"/>
  <c r="V5" i="10" s="1"/>
  <c r="L12" i="9"/>
  <c r="N12" i="9" s="1"/>
  <c r="O12" i="9" s="1"/>
  <c r="Q12" i="9" s="1"/>
  <c r="T12" i="9" s="1"/>
  <c r="V12" i="9" s="1"/>
  <c r="R12" i="9" l="1"/>
  <c r="L12" i="8" l="1"/>
  <c r="R12" i="8" s="1"/>
  <c r="N12" i="8" l="1"/>
  <c r="O12" i="8" s="1"/>
  <c r="Q12" i="8" s="1"/>
  <c r="T12" i="8" s="1"/>
  <c r="R51" i="8" l="1"/>
  <c r="N51" i="8" l="1"/>
  <c r="O51" i="8" s="1"/>
  <c r="Q51" i="8" s="1"/>
  <c r="T51" i="8" s="1"/>
  <c r="N46" i="8"/>
  <c r="O46" i="8" s="1"/>
  <c r="Q46" i="8" s="1"/>
  <c r="L11" i="8"/>
  <c r="N11" i="8" s="1"/>
  <c r="O11" i="8" s="1"/>
  <c r="Q11" i="8" s="1"/>
  <c r="T11" i="8" s="1"/>
  <c r="R46" i="8" l="1"/>
  <c r="R11" i="8"/>
  <c r="L5" i="2"/>
  <c r="M5" i="2" s="1"/>
  <c r="L6" i="2"/>
  <c r="L6" i="9" l="1"/>
  <c r="R6" i="9" s="1"/>
  <c r="N6" i="9" l="1"/>
  <c r="O6" i="9" s="1"/>
  <c r="Q6" i="9" s="1"/>
  <c r="V6" i="9" s="1"/>
  <c r="L42" i="8"/>
  <c r="R42" i="8" s="1"/>
  <c r="L38" i="8"/>
  <c r="N38" i="8" s="1"/>
  <c r="L35" i="8"/>
  <c r="N35" i="8" s="1"/>
  <c r="O35" i="8" s="1"/>
  <c r="Q35" i="8" s="1"/>
  <c r="T35" i="8" s="1"/>
  <c r="N34" i="8"/>
  <c r="O34" i="8" s="1"/>
  <c r="Q34" i="8" s="1"/>
  <c r="T34" i="8" s="1"/>
  <c r="R33" i="8"/>
  <c r="N32" i="8"/>
  <c r="O32" i="8" s="1"/>
  <c r="Q32" i="8" s="1"/>
  <c r="T32" i="8" s="1"/>
  <c r="R29" i="8"/>
  <c r="L10" i="8"/>
  <c r="R10" i="8" s="1"/>
  <c r="R32" i="8" l="1"/>
  <c r="R35" i="8"/>
  <c r="O38" i="8"/>
  <c r="Q38" i="8" s="1"/>
  <c r="T38" i="8" s="1"/>
  <c r="N42" i="8"/>
  <c r="O42" i="8" s="1"/>
  <c r="Q42" i="8" s="1"/>
  <c r="T42" i="8" s="1"/>
  <c r="R38" i="8"/>
  <c r="N33" i="8"/>
  <c r="O33" i="8" s="1"/>
  <c r="Q33" i="8" s="1"/>
  <c r="T33" i="8" s="1"/>
  <c r="R34" i="8"/>
  <c r="N29" i="8"/>
  <c r="N10" i="8"/>
  <c r="O10" i="8" s="1"/>
  <c r="Q10" i="8" s="1"/>
  <c r="T10" i="8" s="1"/>
  <c r="O29" i="8" l="1"/>
  <c r="Q29" i="8" l="1"/>
  <c r="T29" i="8" s="1"/>
  <c r="O50" i="8"/>
  <c r="Q50" i="8" s="1"/>
  <c r="T50" i="8" s="1"/>
  <c r="O49" i="8"/>
  <c r="Q49" i="8" s="1"/>
  <c r="T49" i="8" s="1"/>
  <c r="L6" i="8"/>
  <c r="R6" i="8" s="1"/>
  <c r="L5" i="8"/>
  <c r="R5" i="8" s="1"/>
  <c r="N31" i="8"/>
  <c r="R30" i="8"/>
  <c r="L28" i="8"/>
  <c r="R28" i="8" s="1"/>
  <c r="N27" i="8"/>
  <c r="O27" i="8" s="1"/>
  <c r="Q27" i="8" s="1"/>
  <c r="N26" i="8"/>
  <c r="O26" i="8" s="1"/>
  <c r="Q26" i="8" s="1"/>
  <c r="R25" i="8"/>
  <c r="R24" i="8"/>
  <c r="N23" i="8"/>
  <c r="N22" i="8"/>
  <c r="O22" i="8" s="1"/>
  <c r="Q22" i="8" s="1"/>
  <c r="O7" i="8"/>
  <c r="Q7" i="8" s="1"/>
  <c r="N5" i="8" l="1"/>
  <c r="O5" i="8" s="1"/>
  <c r="Q5" i="8" s="1"/>
  <c r="T5" i="8" s="1"/>
  <c r="T26" i="8"/>
  <c r="O31" i="8"/>
  <c r="T22" i="8"/>
  <c r="O23" i="8"/>
  <c r="T27" i="8"/>
  <c r="N6" i="8"/>
  <c r="O6" i="8" s="1"/>
  <c r="Q6" i="8" s="1"/>
  <c r="T6" i="8" s="1"/>
  <c r="R31" i="8"/>
  <c r="R26" i="8"/>
  <c r="R23" i="8"/>
  <c r="R22" i="8"/>
  <c r="R27" i="8"/>
  <c r="N25" i="8"/>
  <c r="N30" i="8"/>
  <c r="N24" i="8"/>
  <c r="N28" i="8"/>
  <c r="O28" i="8" s="1"/>
  <c r="Q31" i="8" l="1"/>
  <c r="T31" i="8" s="1"/>
  <c r="Q23" i="8"/>
  <c r="T23" i="8" s="1"/>
  <c r="Q28" i="8"/>
  <c r="T28" i="8" s="1"/>
  <c r="O24" i="8"/>
  <c r="O25" i="8"/>
  <c r="O30" i="8"/>
  <c r="Q24" i="8" l="1"/>
  <c r="T24" i="8" s="1"/>
  <c r="Q25" i="8"/>
  <c r="T25" i="8" s="1"/>
  <c r="Q30" i="8"/>
  <c r="T30" i="8" s="1"/>
  <c r="W10" i="10" l="1"/>
  <c r="R4" i="10"/>
  <c r="W4" i="10" s="1"/>
  <c r="L4" i="10"/>
  <c r="N4" i="10" s="1"/>
  <c r="V4" i="10" s="1"/>
  <c r="L3" i="10"/>
  <c r="N3" i="10" s="1"/>
  <c r="V3" i="10" s="1"/>
  <c r="L2" i="10"/>
  <c r="N2" i="10" s="1"/>
  <c r="Q2" i="10" s="1"/>
  <c r="V2" i="10" s="1"/>
  <c r="R3" i="10" l="1"/>
  <c r="W3" i="10" s="1"/>
  <c r="R2" i="10"/>
  <c r="W2" i="10" s="1"/>
  <c r="L11" i="9"/>
  <c r="R11" i="9" s="1"/>
  <c r="L10" i="9"/>
  <c r="N10" i="9" s="1"/>
  <c r="O10" i="9" s="1"/>
  <c r="W9" i="10" l="1"/>
  <c r="W11" i="10" s="1"/>
  <c r="Q10" i="9"/>
  <c r="T10" i="9" s="1"/>
  <c r="V10" i="9" s="1"/>
  <c r="R10" i="9"/>
  <c r="N11" i="9"/>
  <c r="O11" i="9" l="1"/>
  <c r="Q11" i="9" s="1"/>
  <c r="T11" i="9" s="1"/>
  <c r="V11" i="9" s="1"/>
  <c r="L9" i="9" l="1"/>
  <c r="N9" i="9" s="1"/>
  <c r="L7" i="9"/>
  <c r="N7" i="9" s="1"/>
  <c r="O7" i="9" l="1"/>
  <c r="Q7" i="9" s="1"/>
  <c r="V7" i="9" s="1"/>
  <c r="O9" i="9"/>
  <c r="Q9" i="9" s="1"/>
  <c r="T9" i="9" s="1"/>
  <c r="V9" i="9" s="1"/>
  <c r="R9" i="9"/>
  <c r="R7" i="9"/>
  <c r="L5" i="9" l="1"/>
  <c r="N5" i="9" s="1"/>
  <c r="O5" i="9" s="1"/>
  <c r="L4" i="9"/>
  <c r="R4" i="9" s="1"/>
  <c r="L3" i="9"/>
  <c r="R3" i="9" s="1"/>
  <c r="N58" i="8"/>
  <c r="R48" i="8"/>
  <c r="R56" i="8"/>
  <c r="R54" i="8"/>
  <c r="N53" i="8"/>
  <c r="L9" i="8"/>
  <c r="R9" i="8" s="1"/>
  <c r="R44" i="8"/>
  <c r="N43" i="8"/>
  <c r="L8" i="8"/>
  <c r="R8" i="8" s="1"/>
  <c r="L47" i="8"/>
  <c r="R47" i="8" s="1"/>
  <c r="L55" i="8"/>
  <c r="R55" i="8" s="1"/>
  <c r="L52" i="8"/>
  <c r="R52" i="8" s="1"/>
  <c r="L18" i="8"/>
  <c r="N18" i="8" s="1"/>
  <c r="L15" i="8"/>
  <c r="R15" i="8" s="1"/>
  <c r="L3" i="8"/>
  <c r="N3" i="8" s="1"/>
  <c r="L45" i="8"/>
  <c r="N45" i="8" s="1"/>
  <c r="L37" i="8"/>
  <c r="R37" i="8" s="1"/>
  <c r="L36" i="8"/>
  <c r="R36" i="8" s="1"/>
  <c r="L41" i="8"/>
  <c r="N41" i="8" s="1"/>
  <c r="L40" i="8"/>
  <c r="N40" i="8" s="1"/>
  <c r="L2" i="9"/>
  <c r="R2" i="9" s="1"/>
  <c r="L57" i="8"/>
  <c r="R57" i="8" s="1"/>
  <c r="L59" i="8"/>
  <c r="N59" i="8" s="1"/>
  <c r="R21" i="8"/>
  <c r="L20" i="8"/>
  <c r="N20" i="8" s="1"/>
  <c r="L19" i="8"/>
  <c r="R19" i="8" s="1"/>
  <c r="L17" i="8"/>
  <c r="R17" i="8" s="1"/>
  <c r="L13" i="8"/>
  <c r="N13" i="8" s="1"/>
  <c r="L14" i="8"/>
  <c r="N14" i="8" s="1"/>
  <c r="L16" i="8"/>
  <c r="R16" i="8" s="1"/>
  <c r="L4" i="8"/>
  <c r="N4" i="8" s="1"/>
  <c r="L2" i="8"/>
  <c r="R2" i="8" s="1"/>
  <c r="L39" i="8"/>
  <c r="R39" i="8" s="1"/>
  <c r="O20" i="8" l="1"/>
  <c r="Q20" i="8" s="1"/>
  <c r="T20" i="8" s="1"/>
  <c r="O59" i="8"/>
  <c r="Q59" i="8" s="1"/>
  <c r="T59" i="8" s="1"/>
  <c r="O4" i="8"/>
  <c r="Q4" i="8" s="1"/>
  <c r="T4" i="8" s="1"/>
  <c r="O13" i="8"/>
  <c r="Q13" i="8" s="1"/>
  <c r="T13" i="8" s="1"/>
  <c r="O18" i="8"/>
  <c r="Q18" i="8" s="1"/>
  <c r="T18" i="8" s="1"/>
  <c r="O53" i="8"/>
  <c r="Q53" i="8" s="1"/>
  <c r="T53" i="8" s="1"/>
  <c r="O41" i="8"/>
  <c r="Q41" i="8" s="1"/>
  <c r="T41" i="8" s="1"/>
  <c r="O58" i="8"/>
  <c r="Q58" i="8" s="1"/>
  <c r="T58" i="8" s="1"/>
  <c r="O45" i="8"/>
  <c r="Q45" i="8" s="1"/>
  <c r="T45" i="8" s="1"/>
  <c r="O43" i="8"/>
  <c r="Q43" i="8" s="1"/>
  <c r="T43" i="8" s="1"/>
  <c r="O40" i="8"/>
  <c r="Q40" i="8" s="1"/>
  <c r="T40" i="8" s="1"/>
  <c r="O14" i="8"/>
  <c r="Q14" i="8" s="1"/>
  <c r="T14" i="8" s="1"/>
  <c r="O3" i="8"/>
  <c r="Q3" i="8" s="1"/>
  <c r="T3" i="8" s="1"/>
  <c r="N56" i="8"/>
  <c r="Q5" i="9"/>
  <c r="V5" i="9" s="1"/>
  <c r="N47" i="8"/>
  <c r="N52" i="8"/>
  <c r="R5" i="9"/>
  <c r="N4" i="9"/>
  <c r="O4" i="9" s="1"/>
  <c r="N3" i="9"/>
  <c r="O3" i="9" s="1"/>
  <c r="R20" i="8"/>
  <c r="R3" i="8"/>
  <c r="R14" i="8"/>
  <c r="R58" i="8"/>
  <c r="R43" i="8"/>
  <c r="R53" i="8"/>
  <c r="R59" i="8"/>
  <c r="R13" i="8"/>
  <c r="N2" i="9"/>
  <c r="R45" i="8"/>
  <c r="R18" i="8"/>
  <c r="R41" i="8"/>
  <c r="N39" i="8"/>
  <c r="N37" i="8"/>
  <c r="N2" i="8"/>
  <c r="N15" i="8"/>
  <c r="N19" i="8"/>
  <c r="N9" i="8"/>
  <c r="N55" i="8"/>
  <c r="N8" i="8"/>
  <c r="R40" i="8"/>
  <c r="R4" i="8"/>
  <c r="N36" i="8"/>
  <c r="N44" i="8"/>
  <c r="N16" i="8"/>
  <c r="O16" i="8" s="1"/>
  <c r="Q16" i="8" s="1"/>
  <c r="T16" i="8" s="1"/>
  <c r="N17" i="8"/>
  <c r="N21" i="8"/>
  <c r="N54" i="8"/>
  <c r="N48" i="8"/>
  <c r="N57" i="8"/>
  <c r="O17" i="8" l="1"/>
  <c r="Q17" i="8" s="1"/>
  <c r="T17" i="8" s="1"/>
  <c r="O19" i="8"/>
  <c r="Q19" i="8" s="1"/>
  <c r="T19" i="8" s="1"/>
  <c r="O54" i="8"/>
  <c r="Q54" i="8" s="1"/>
  <c r="T54" i="8" s="1"/>
  <c r="O8" i="8"/>
  <c r="Q8" i="8" s="1"/>
  <c r="T8" i="8" s="1"/>
  <c r="O52" i="8"/>
  <c r="Q52" i="8" s="1"/>
  <c r="T52" i="8" s="1"/>
  <c r="O55" i="8"/>
  <c r="Q55" i="8" s="1"/>
  <c r="T55" i="8" s="1"/>
  <c r="O48" i="8"/>
  <c r="Q48" i="8" s="1"/>
  <c r="T48" i="8" s="1"/>
  <c r="O56" i="8"/>
  <c r="Q56" i="8" s="1"/>
  <c r="T56" i="8" s="1"/>
  <c r="O57" i="8"/>
  <c r="Q57" i="8" s="1"/>
  <c r="T57" i="8" s="1"/>
  <c r="O21" i="8"/>
  <c r="Q21" i="8" s="1"/>
  <c r="T21" i="8" s="1"/>
  <c r="O9" i="8"/>
  <c r="Q9" i="8" s="1"/>
  <c r="T9" i="8" s="1"/>
  <c r="O15" i="8"/>
  <c r="Q15" i="8" s="1"/>
  <c r="T15" i="8" s="1"/>
  <c r="O37" i="8"/>
  <c r="Q37" i="8" s="1"/>
  <c r="T37" i="8" s="1"/>
  <c r="O47" i="8"/>
  <c r="Q47" i="8" s="1"/>
  <c r="T47" i="8" s="1"/>
  <c r="O44" i="8"/>
  <c r="Q44" i="8" s="1"/>
  <c r="T44" i="8" s="1"/>
  <c r="O36" i="8"/>
  <c r="Q36" i="8" s="1"/>
  <c r="T36" i="8" s="1"/>
  <c r="O2" i="8"/>
  <c r="Q2" i="8" s="1"/>
  <c r="T2" i="8" s="1"/>
  <c r="O39" i="8"/>
  <c r="Q39" i="8" s="1"/>
  <c r="T39" i="8" s="1"/>
  <c r="Q3" i="9"/>
  <c r="V3" i="9" s="1"/>
  <c r="Q4" i="9"/>
  <c r="V4" i="9" s="1"/>
  <c r="O2" i="9"/>
  <c r="Q2" i="9" s="1"/>
  <c r="T2" i="9" s="1"/>
  <c r="V2" i="9" s="1"/>
  <c r="J44" i="2" l="1"/>
  <c r="H46" i="2"/>
  <c r="H45" i="2"/>
  <c r="H44" i="2"/>
</calcChain>
</file>

<file path=xl/comments1.xml><?xml version="1.0" encoding="utf-8"?>
<comments xmlns="http://schemas.openxmlformats.org/spreadsheetml/2006/main">
  <authors>
    <author>DELL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based on 210/3</t>
        </r>
      </text>
    </comment>
  </commentList>
</comments>
</file>

<file path=xl/sharedStrings.xml><?xml version="1.0" encoding="utf-8"?>
<sst xmlns="http://schemas.openxmlformats.org/spreadsheetml/2006/main" count="850" uniqueCount="328">
  <si>
    <t>Packing</t>
  </si>
  <si>
    <t>Section</t>
  </si>
  <si>
    <t>Cop winding</t>
  </si>
  <si>
    <t>Existing Number</t>
  </si>
  <si>
    <t>spindles</t>
  </si>
  <si>
    <t>Additional</t>
  </si>
  <si>
    <t>Capacity</t>
  </si>
  <si>
    <t>U/M</t>
  </si>
  <si>
    <t>Compound twisting</t>
  </si>
  <si>
    <t>Machines</t>
  </si>
  <si>
    <t>Take-up Spindles per machines</t>
  </si>
  <si>
    <t>Total spindles</t>
  </si>
  <si>
    <t>TFO</t>
  </si>
  <si>
    <t>Machine</t>
  </si>
  <si>
    <t>machines</t>
  </si>
  <si>
    <t>240/120</t>
  </si>
  <si>
    <t>primary/secondary spindles</t>
  </si>
  <si>
    <t>Filament soft package winder</t>
  </si>
  <si>
    <t>Positions</t>
  </si>
  <si>
    <t>Spun soft package winder</t>
  </si>
  <si>
    <t>Make</t>
  </si>
  <si>
    <t>Alidhra</t>
  </si>
  <si>
    <t>JOVIAN</t>
  </si>
  <si>
    <t>PEASS</t>
  </si>
  <si>
    <t>Dyeing laboratory</t>
  </si>
  <si>
    <t>package dyeing-200gram</t>
  </si>
  <si>
    <t>600 gram</t>
  </si>
  <si>
    <t>1 package</t>
  </si>
  <si>
    <t>2 packages</t>
  </si>
  <si>
    <t>Dyeing Production</t>
  </si>
  <si>
    <t>package dyeing-5 p</t>
  </si>
  <si>
    <t>Fongs</t>
  </si>
  <si>
    <t>15 p</t>
  </si>
  <si>
    <t>Weavetex</t>
  </si>
  <si>
    <t>20 p</t>
  </si>
  <si>
    <t>48p</t>
  </si>
  <si>
    <t>30p</t>
  </si>
  <si>
    <t>Hydro</t>
  </si>
  <si>
    <t>Unbranded</t>
  </si>
  <si>
    <t>RF Dryer</t>
  </si>
  <si>
    <t>Monga Strayfield</t>
  </si>
  <si>
    <t>Kim Textile</t>
  </si>
  <si>
    <t>Heat -Stretching- 100 mm godget</t>
  </si>
  <si>
    <t>Heat -Stretching- 130 mm godget</t>
  </si>
  <si>
    <t>kg/day</t>
  </si>
  <si>
    <t>Spun Cone winding</t>
  </si>
  <si>
    <t>Chang-li</t>
  </si>
  <si>
    <t>Spindles</t>
  </si>
  <si>
    <t>ROXX GOLD</t>
  </si>
  <si>
    <t>Units/hours</t>
  </si>
  <si>
    <t>Cycle time(minute)</t>
  </si>
  <si>
    <t>Cones/day</t>
  </si>
  <si>
    <t>ROXX POLY 800M</t>
  </si>
  <si>
    <t>ROXX POLY 180M</t>
  </si>
  <si>
    <t>Tubes/day</t>
  </si>
  <si>
    <t>ROXX-135M</t>
  </si>
  <si>
    <t>Aakash Engineering</t>
  </si>
  <si>
    <t>Y-cone winding- 4 inch BF</t>
  </si>
  <si>
    <t>Spindles(1 U/spindle)</t>
  </si>
  <si>
    <t xml:space="preserve">Y-cone winding- 2 inch </t>
  </si>
  <si>
    <t>UTM</t>
  </si>
  <si>
    <t>Spindles(3 U/spindle)</t>
  </si>
  <si>
    <t xml:space="preserve"> </t>
  </si>
  <si>
    <r>
      <rPr>
        <sz val="9"/>
        <rFont val="Calibri"/>
        <family val="1"/>
      </rPr>
      <t>Brand Name</t>
    </r>
  </si>
  <si>
    <r>
      <rPr>
        <sz val="9"/>
        <rFont val="Calibri"/>
        <family val="1"/>
      </rPr>
      <t>Tkt</t>
    </r>
  </si>
  <si>
    <r>
      <rPr>
        <sz val="9"/>
        <rFont val="Calibri"/>
        <family val="1"/>
      </rPr>
      <t>Tex size</t>
    </r>
  </si>
  <si>
    <r>
      <rPr>
        <sz val="9"/>
        <rFont val="Calibri"/>
        <family val="1"/>
      </rPr>
      <t>Ply</t>
    </r>
  </si>
  <si>
    <r>
      <rPr>
        <sz val="9"/>
        <rFont val="Calibri"/>
        <family val="1"/>
      </rPr>
      <t xml:space="preserve">FG
</t>
    </r>
    <r>
      <rPr>
        <sz val="9"/>
        <rFont val="Calibri"/>
        <family val="1"/>
      </rPr>
      <t>code</t>
    </r>
  </si>
  <si>
    <r>
      <rPr>
        <sz val="9"/>
        <rFont val="Calibri"/>
        <family val="1"/>
      </rPr>
      <t>Subs</t>
    </r>
  </si>
  <si>
    <r>
      <rPr>
        <sz val="9"/>
        <rFont val="Calibri"/>
        <family val="1"/>
      </rPr>
      <t>Length/ Wt. per unit</t>
    </r>
  </si>
  <si>
    <r>
      <rPr>
        <sz val="9"/>
        <rFont val="Calibri"/>
        <family val="1"/>
      </rPr>
      <t>U/M</t>
    </r>
  </si>
  <si>
    <r>
      <rPr>
        <sz val="9"/>
        <rFont val="Calibri"/>
        <family val="1"/>
      </rPr>
      <t>Make up</t>
    </r>
  </si>
  <si>
    <r>
      <rPr>
        <sz val="8"/>
        <rFont val="Calibri"/>
        <family val="1"/>
      </rPr>
      <t>TUFF PREMIUM</t>
    </r>
  </si>
  <si>
    <r>
      <rPr>
        <sz val="8"/>
        <rFont val="Calibri"/>
        <family val="1"/>
      </rPr>
      <t>CFN-6</t>
    </r>
  </si>
  <si>
    <r>
      <rPr>
        <sz val="10"/>
        <rFont val="Calibri"/>
        <family val="1"/>
      </rPr>
      <t>m</t>
    </r>
  </si>
  <si>
    <r>
      <rPr>
        <sz val="8"/>
        <rFont val="Calibri"/>
        <family val="1"/>
      </rPr>
      <t>2 in KS</t>
    </r>
  </si>
  <si>
    <r>
      <rPr>
        <sz val="8"/>
        <rFont val="Calibri"/>
        <family val="1"/>
      </rPr>
      <t>TUFF CLASSIC</t>
    </r>
  </si>
  <si>
    <r>
      <rPr>
        <sz val="8"/>
        <rFont val="Calibri"/>
        <family val="1"/>
      </rPr>
      <t>3.25 in KS</t>
    </r>
  </si>
  <si>
    <r>
      <rPr>
        <sz val="8"/>
        <rFont val="Calibri"/>
        <family val="1"/>
      </rPr>
      <t>TUFF STAR</t>
    </r>
  </si>
  <si>
    <r>
      <rPr>
        <sz val="8"/>
        <rFont val="Calibri"/>
        <family val="1"/>
      </rPr>
      <t>TUFF  60</t>
    </r>
  </si>
  <si>
    <t>3.25 in KS</t>
  </si>
  <si>
    <r>
      <rPr>
        <sz val="8"/>
        <rFont val="Calibri"/>
        <family val="1"/>
      </rPr>
      <t>TUFF PREMIUM 60</t>
    </r>
  </si>
  <si>
    <r>
      <rPr>
        <sz val="8"/>
        <rFont val="Calibri"/>
        <family val="1"/>
      </rPr>
      <t>TUFF 20</t>
    </r>
  </si>
  <si>
    <r>
      <rPr>
        <sz val="8"/>
        <rFont val="Calibri"/>
        <family val="1"/>
      </rPr>
      <t>4 in KS  MF</t>
    </r>
  </si>
  <si>
    <t>TUFF 30</t>
  </si>
  <si>
    <t>m</t>
  </si>
  <si>
    <r>
      <rPr>
        <sz val="8"/>
        <rFont val="Calibri"/>
        <family val="1"/>
      </rPr>
      <t>TUFF 10</t>
    </r>
  </si>
  <si>
    <r>
      <rPr>
        <sz val="8"/>
        <rFont val="Calibri"/>
        <family val="1"/>
      </rPr>
      <t>COMFO PLUS 60</t>
    </r>
  </si>
  <si>
    <r>
      <rPr>
        <sz val="8"/>
        <rFont val="Calibri"/>
        <family val="1"/>
      </rPr>
      <t>CFP</t>
    </r>
  </si>
  <si>
    <r>
      <rPr>
        <sz val="8"/>
        <rFont val="Calibri"/>
        <family val="1"/>
      </rPr>
      <t>4 in KS  BF</t>
    </r>
  </si>
  <si>
    <r>
      <rPr>
        <sz val="8"/>
        <rFont val="Calibri"/>
        <family val="1"/>
      </rPr>
      <t>6 in KS  BF</t>
    </r>
  </si>
  <si>
    <r>
      <rPr>
        <sz val="8"/>
        <rFont val="Calibri"/>
        <family val="1"/>
      </rPr>
      <t>COMFO 60</t>
    </r>
  </si>
  <si>
    <r>
      <rPr>
        <sz val="8"/>
        <rFont val="Calibri"/>
        <family val="1"/>
      </rPr>
      <t>COMFO STAR</t>
    </r>
  </si>
  <si>
    <t>2 in KS</t>
  </si>
  <si>
    <r>
      <rPr>
        <sz val="8"/>
        <rFont val="Calibri"/>
        <family val="1"/>
      </rPr>
      <t>COMFO COOL</t>
    </r>
  </si>
  <si>
    <r>
      <rPr>
        <sz val="8"/>
        <rFont val="Calibri"/>
        <family val="1"/>
      </rPr>
      <t>COMFO PREMIUM</t>
    </r>
  </si>
  <si>
    <r>
      <rPr>
        <sz val="8"/>
        <rFont val="Calibri"/>
        <family val="1"/>
      </rPr>
      <t>COMFO PLUS</t>
    </r>
  </si>
  <si>
    <t>COMFO PLUS</t>
  </si>
  <si>
    <t>CFP</t>
  </si>
  <si>
    <t>COMFO 30</t>
  </si>
  <si>
    <r>
      <rPr>
        <sz val="8"/>
        <rFont val="Calibri"/>
        <family val="1"/>
      </rPr>
      <t>COMFO PLUS 20</t>
    </r>
  </si>
  <si>
    <r>
      <rPr>
        <sz val="8"/>
        <rFont val="Calibri"/>
        <family val="1"/>
      </rPr>
      <t>COMFO 20</t>
    </r>
  </si>
  <si>
    <t>COMFO 80</t>
  </si>
  <si>
    <t>150/2 CFP</t>
  </si>
  <si>
    <r>
      <rPr>
        <sz val="8"/>
        <rFont val="Calibri"/>
        <family val="1"/>
      </rPr>
      <t>TUFF BOND</t>
    </r>
  </si>
  <si>
    <r>
      <rPr>
        <sz val="8"/>
        <rFont val="Calibri"/>
        <family val="1"/>
      </rPr>
      <t>N-66 IB</t>
    </r>
  </si>
  <si>
    <t>AMIDE BOND 40</t>
  </si>
  <si>
    <t>Polyamide Inbonded</t>
  </si>
  <si>
    <t>AMIDE BOND 20</t>
  </si>
  <si>
    <r>
      <rPr>
        <sz val="8"/>
        <rFont val="Calibri"/>
        <family val="1"/>
      </rPr>
      <t>COMFO BOND</t>
    </r>
  </si>
  <si>
    <r>
      <rPr>
        <sz val="8"/>
        <rFont val="Calibri"/>
        <family val="1"/>
      </rPr>
      <t>CFP-IB</t>
    </r>
  </si>
  <si>
    <t>COMFO PRIDE</t>
  </si>
  <si>
    <t>120/2 Cf Polyester premium fror embroidery</t>
  </si>
  <si>
    <r>
      <rPr>
        <sz val="8"/>
        <rFont val="Calibri"/>
        <family val="1"/>
      </rPr>
      <t>ROXX GOLD</t>
    </r>
  </si>
  <si>
    <r>
      <rPr>
        <sz val="8"/>
        <rFont val="Calibri"/>
        <family val="1"/>
      </rPr>
      <t>SSP</t>
    </r>
  </si>
  <si>
    <r>
      <rPr>
        <sz val="8"/>
        <rFont val="Calibri"/>
        <family val="1"/>
      </rPr>
      <t>4 in Cone</t>
    </r>
  </si>
  <si>
    <r>
      <rPr>
        <sz val="8"/>
        <rFont val="Calibri"/>
        <family val="1"/>
      </rPr>
      <t>ROXX STAR</t>
    </r>
  </si>
  <si>
    <t>ROXX SILVER</t>
  </si>
  <si>
    <t>SSP</t>
  </si>
  <si>
    <r>
      <rPr>
        <sz val="8"/>
        <rFont val="Calibri"/>
        <family val="1"/>
      </rPr>
      <t>Tube(10 tube/box)</t>
    </r>
  </si>
  <si>
    <r>
      <rPr>
        <sz val="8"/>
        <rFont val="Calibri"/>
        <family val="1"/>
      </rPr>
      <t>Tube(20 tubes/box)</t>
    </r>
  </si>
  <si>
    <r>
      <rPr>
        <sz val="8"/>
        <rFont val="Calibri"/>
        <family val="1"/>
      </rPr>
      <t>ROXX 20</t>
    </r>
  </si>
  <si>
    <r>
      <rPr>
        <sz val="9"/>
        <rFont val="Calibri"/>
        <family val="1"/>
      </rPr>
      <t>SSP</t>
    </r>
  </si>
  <si>
    <r>
      <rPr>
        <sz val="8"/>
        <rFont val="Calibri"/>
        <family val="1"/>
      </rPr>
      <t>ROXX 30</t>
    </r>
  </si>
  <si>
    <r>
      <rPr>
        <sz val="8"/>
        <rFont val="Calibri"/>
        <family val="1"/>
      </rPr>
      <t>ROXX 50</t>
    </r>
  </si>
  <si>
    <t>ROXX EURO</t>
  </si>
  <si>
    <t>ROXX DIAMOND</t>
  </si>
  <si>
    <t>Tube(20 tubes/box)</t>
  </si>
  <si>
    <t>ROXX SILKY</t>
  </si>
  <si>
    <t>COMPACT POLYESTER</t>
  </si>
  <si>
    <t>ROXX SILKY 120</t>
  </si>
  <si>
    <r>
      <rPr>
        <sz val="8"/>
        <rFont val="Calibri"/>
        <family val="1"/>
      </rPr>
      <t>ROXX CORE POLY</t>
    </r>
  </si>
  <si>
    <r>
      <rPr>
        <sz val="8"/>
        <rFont val="Calibri"/>
        <family val="1"/>
      </rPr>
      <t>PPC</t>
    </r>
  </si>
  <si>
    <t>PPC(PREMIUM)</t>
  </si>
  <si>
    <t>COMFO TEX PLUS</t>
  </si>
  <si>
    <t>TEXTURED POLYESTER 300D/100TPM</t>
  </si>
  <si>
    <t>COMFO TEX 150</t>
  </si>
  <si>
    <t>TEXTURED POLYESTER 150D/100TPM</t>
  </si>
  <si>
    <t>COMFO TEX 80</t>
  </si>
  <si>
    <t>COMFO TEX</t>
  </si>
  <si>
    <t xml:space="preserve">TEXTURED POLYESTER 150D/2 </t>
  </si>
  <si>
    <t>Speed-mpm</t>
  </si>
  <si>
    <t>Theo cycle time-Minute</t>
  </si>
  <si>
    <t>Units/hour/spindle</t>
  </si>
  <si>
    <t>Efficiency</t>
  </si>
  <si>
    <t>Actual cycle time-minute</t>
  </si>
  <si>
    <t>SSP-200 gram</t>
  </si>
  <si>
    <t>Total capacity-actual</t>
  </si>
  <si>
    <t>TEXTURED POLYESTER 300D/100TPM-950 gram</t>
  </si>
  <si>
    <t>PPC</t>
  </si>
  <si>
    <t>PUNP</t>
  </si>
  <si>
    <t>Raw Mat</t>
  </si>
  <si>
    <t>Twisting</t>
  </si>
  <si>
    <t>Autoclave</t>
  </si>
  <si>
    <t>Soft Pkg</t>
  </si>
  <si>
    <t>Dyeing</t>
  </si>
  <si>
    <t>Stretching</t>
  </si>
  <si>
    <t xml:space="preserve">Winding </t>
  </si>
  <si>
    <t>Nylon6</t>
  </si>
  <si>
    <t>Stretching+lube</t>
  </si>
  <si>
    <t>For NW Autoclave &amp; no soft pkg, no dyeing,</t>
  </si>
  <si>
    <t>Nylon 66 bonded</t>
  </si>
  <si>
    <t>For NW Autoclave  no dyeing,</t>
  </si>
  <si>
    <t>Winding</t>
  </si>
  <si>
    <t>For NW Autoclave &amp; no soft pkg, no dyeing,Glazing</t>
  </si>
  <si>
    <t>Oiling+Winding</t>
  </si>
  <si>
    <t>For NW Mat Autoclave, no Soft Pkg &amp; no Dyeing</t>
  </si>
  <si>
    <t>Spun Polyester-dyed</t>
  </si>
  <si>
    <t>Poly Poly core spun</t>
  </si>
  <si>
    <t>Filament-Unbonded</t>
  </si>
  <si>
    <t>Single yarn</t>
  </si>
  <si>
    <t xml:space="preserve">Winding+Lube </t>
  </si>
  <si>
    <t>CFP-1 kg</t>
  </si>
  <si>
    <t>CFP-1kg</t>
  </si>
  <si>
    <t xml:space="preserve">Product </t>
  </si>
  <si>
    <t>No. of units/spindle</t>
  </si>
  <si>
    <t>No. of spindles</t>
  </si>
  <si>
    <t>Unit wt(Kg)</t>
  </si>
  <si>
    <t>Total capacity-actual-kg</t>
  </si>
  <si>
    <t>Theo Units/23 hours/spindle</t>
  </si>
  <si>
    <t>ROXX POLY-RESHMI</t>
  </si>
  <si>
    <t>ROXX GOLD-Reshmi</t>
  </si>
  <si>
    <t>TUFF 20-Reshmi</t>
  </si>
  <si>
    <t>TUFF CLASSIC-Reshmi</t>
  </si>
  <si>
    <t>ROXX GOLD-Chang Li</t>
  </si>
  <si>
    <t>ROXX POLY-Jovian</t>
  </si>
  <si>
    <t>TUFF PREMIUM-UTM</t>
  </si>
  <si>
    <r>
      <rPr>
        <sz val="9"/>
        <rFont val="Calibri"/>
        <family val="2"/>
      </rPr>
      <t>Brand Name</t>
    </r>
  </si>
  <si>
    <r>
      <rPr>
        <sz val="9"/>
        <rFont val="Calibri"/>
        <family val="2"/>
      </rPr>
      <t>Tkt</t>
    </r>
  </si>
  <si>
    <r>
      <rPr>
        <sz val="9"/>
        <rFont val="Calibri"/>
        <family val="2"/>
      </rPr>
      <t>Tex size</t>
    </r>
  </si>
  <si>
    <r>
      <rPr>
        <sz val="9"/>
        <rFont val="Calibri"/>
        <family val="2"/>
      </rPr>
      <t>Ply</t>
    </r>
  </si>
  <si>
    <r>
      <rPr>
        <sz val="9"/>
        <rFont val="Calibri"/>
        <family val="2"/>
      </rPr>
      <t xml:space="preserve">FG
</t>
    </r>
    <r>
      <rPr>
        <sz val="9"/>
        <rFont val="Calibri"/>
        <family val="2"/>
      </rPr>
      <t>code</t>
    </r>
  </si>
  <si>
    <r>
      <rPr>
        <sz val="9"/>
        <rFont val="Calibri"/>
        <family val="2"/>
      </rPr>
      <t>Subs</t>
    </r>
  </si>
  <si>
    <r>
      <rPr>
        <sz val="9"/>
        <rFont val="Calibri"/>
        <family val="2"/>
      </rPr>
      <t>Length/ Wt. per unit</t>
    </r>
  </si>
  <si>
    <r>
      <rPr>
        <sz val="9"/>
        <rFont val="Calibri"/>
        <family val="2"/>
      </rPr>
      <t>U/M</t>
    </r>
  </si>
  <si>
    <r>
      <rPr>
        <sz val="9"/>
        <rFont val="Calibri"/>
        <family val="2"/>
      </rPr>
      <t>Make up</t>
    </r>
  </si>
  <si>
    <t>PENDING PO</t>
  </si>
  <si>
    <t>TOTAL DAYS OF TAKE WINDING</t>
  </si>
  <si>
    <t>TOTAL CYCLE TIME NEEDED(MIN)</t>
  </si>
  <si>
    <r>
      <rPr>
        <sz val="8"/>
        <rFont val="Calibri"/>
        <family val="2"/>
      </rPr>
      <t>ROXX POLY</t>
    </r>
  </si>
  <si>
    <r>
      <rPr>
        <sz val="8"/>
        <rFont val="Calibri"/>
        <family val="2"/>
      </rPr>
      <t>SSP</t>
    </r>
  </si>
  <si>
    <r>
      <rPr>
        <sz val="10"/>
        <rFont val="Calibri"/>
        <family val="2"/>
      </rPr>
      <t>m</t>
    </r>
  </si>
  <si>
    <r>
      <rPr>
        <sz val="8"/>
        <rFont val="Calibri"/>
        <family val="2"/>
      </rPr>
      <t>Tube(10 tube/box)</t>
    </r>
  </si>
  <si>
    <r>
      <rPr>
        <sz val="8"/>
        <rFont val="Calibri"/>
        <family val="2"/>
      </rPr>
      <t>Tube(20 tubes/box)</t>
    </r>
  </si>
  <si>
    <t>Available time(minute)</t>
  </si>
  <si>
    <t>Requd day</t>
  </si>
  <si>
    <t>Theo Units/22 hours/spindle</t>
  </si>
  <si>
    <t>Actual units/22 hours/spindle</t>
  </si>
  <si>
    <t>Theo Units/22.5 hours/spindle</t>
  </si>
  <si>
    <t>Actual units/22.5 hours/spindle</t>
  </si>
  <si>
    <t>4 in KS  BF</t>
  </si>
  <si>
    <t>6 in KS  BF</t>
  </si>
  <si>
    <t>150*2 PLY CFP-8 gpd-950gr</t>
  </si>
  <si>
    <t>210*2 PLY CFP-8 gpd-950 gr</t>
  </si>
  <si>
    <t>4 in KS  MF</t>
  </si>
  <si>
    <t>COMFO 20(for denim)</t>
  </si>
  <si>
    <t>COMFO 20</t>
  </si>
  <si>
    <t>COMFO 40</t>
  </si>
  <si>
    <t>COMFO 8</t>
  </si>
  <si>
    <t>TUFF 20</t>
  </si>
  <si>
    <t>210*3 PLY CFP 8gpd</t>
  </si>
  <si>
    <t>420*3 ply CFP(8gpd)</t>
  </si>
  <si>
    <t>210*3 PLY CFP 7.5gpd</t>
  </si>
  <si>
    <t>420*3 PLY CFP 7.5gpd</t>
  </si>
  <si>
    <t>840*3 PLY CFP 8gpd</t>
  </si>
  <si>
    <t>500*3 PLY CFP 7.5gpd</t>
  </si>
  <si>
    <t>210*3 PLY CFP-8 gpd</t>
  </si>
  <si>
    <t>CFP 8gpd</t>
  </si>
  <si>
    <t>CFN-6</t>
  </si>
  <si>
    <t>420*3 PLY CFP BOND</t>
  </si>
  <si>
    <t>1280D</t>
  </si>
  <si>
    <t>420*3 PLY CFP BONDED</t>
  </si>
  <si>
    <t>Tuff 60</t>
  </si>
  <si>
    <t>COMFO PLUS 60-Tai-He</t>
  </si>
  <si>
    <t>270/90</t>
  </si>
  <si>
    <t>COMFO BOND 40</t>
  </si>
  <si>
    <t>210*2 PLY CFP-7.5 GPD-1 kG</t>
  </si>
  <si>
    <t>COMFO 60 SUPER</t>
  </si>
  <si>
    <t>Sr</t>
  </si>
  <si>
    <t>2P</t>
  </si>
  <si>
    <t>15P</t>
  </si>
  <si>
    <t>20P</t>
  </si>
  <si>
    <t>RESHMI</t>
  </si>
  <si>
    <t>TAI-HE</t>
  </si>
  <si>
    <t>Actual units/23 hours/spindle</t>
  </si>
  <si>
    <t>Spun Tube winding-800 M</t>
  </si>
  <si>
    <t>Spun Tube winding-180M, 135 M</t>
  </si>
  <si>
    <t>5 p</t>
  </si>
  <si>
    <t>42p</t>
  </si>
  <si>
    <t>ROXX POLY 120</t>
  </si>
  <si>
    <t>Tube(10 tubes/box)</t>
  </si>
  <si>
    <t>Existing</t>
  </si>
  <si>
    <t>Expansion</t>
  </si>
  <si>
    <t>Gross After expansion</t>
  </si>
  <si>
    <t>kg</t>
  </si>
  <si>
    <t>V-cone</t>
  </si>
  <si>
    <t>Y-cone</t>
  </si>
  <si>
    <t>Paper tube</t>
  </si>
  <si>
    <t>REQUIRMENT OF HELPER &amp; OPERATOR FOR KST</t>
  </si>
  <si>
    <t>TWISTING M/C</t>
  </si>
  <si>
    <t>DESIGNATION</t>
  </si>
  <si>
    <t>TIME</t>
  </si>
  <si>
    <t>REQUIRED</t>
  </si>
  <si>
    <t>EXISTING</t>
  </si>
  <si>
    <t xml:space="preserve">DAY </t>
  </si>
  <si>
    <t>NIGHT</t>
  </si>
  <si>
    <t>DAY</t>
  </si>
  <si>
    <t>AK DOUBLER M/C OP.</t>
  </si>
  <si>
    <t>8:00 TO 8:00</t>
  </si>
  <si>
    <t>AL DOUBLER M/C OP.</t>
  </si>
  <si>
    <t>R/W M/C OP.</t>
  </si>
  <si>
    <t>Gents Helper</t>
  </si>
  <si>
    <t>Total</t>
  </si>
  <si>
    <t>WINDING-2</t>
  </si>
  <si>
    <t>V CONE OP.</t>
  </si>
  <si>
    <t>V CONE HP.</t>
  </si>
  <si>
    <t>Y CONE OP.</t>
  </si>
  <si>
    <t>TUBING M/C OP (UTM)</t>
  </si>
  <si>
    <t>AUTOMATIC TUB.M/C OP.</t>
  </si>
  <si>
    <t>AUTOMATIC TUB.M/C HP.</t>
  </si>
  <si>
    <t>LABAL M/C HP.</t>
  </si>
  <si>
    <t>PACKING LADIES HP</t>
  </si>
  <si>
    <t>9:00 TO 7:00</t>
  </si>
  <si>
    <t>PACKING GENTS HP</t>
  </si>
  <si>
    <t>WINDING-1</t>
  </si>
  <si>
    <t>AUTOMATIC WINDING M/C  OP</t>
  </si>
  <si>
    <t>DRAW WINDER OP.</t>
  </si>
  <si>
    <t>DRAW WINDER HP.</t>
  </si>
  <si>
    <t>SOFT PACKAGE M/C OP. PS</t>
  </si>
  <si>
    <t>SOFT PACKAGE M/C OP.SSM</t>
  </si>
  <si>
    <t>SOFT PACKAGE M/C HP.SSM</t>
  </si>
  <si>
    <t>LOADING&amp;UNLOADING HP</t>
  </si>
  <si>
    <t>PEON</t>
  </si>
  <si>
    <t>Grand Total</t>
  </si>
  <si>
    <t>Total capacity-actual boxes</t>
  </si>
  <si>
    <t>AKASH</t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</si>
  <si>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(KIRAN)</t>
    </r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</si>
  <si>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(ZIGMA)</t>
    </r>
  </si>
  <si>
    <t xml:space="preserve"> Total</t>
  </si>
  <si>
    <t>KST Winding capacity-Kg per day</t>
  </si>
  <si>
    <t>Filament twisting capacity</t>
  </si>
  <si>
    <t>Kg /day</t>
  </si>
  <si>
    <t>Soft package winding  Winding capacity-Kg per day</t>
  </si>
  <si>
    <t>Spun</t>
  </si>
  <si>
    <t>Filament</t>
  </si>
  <si>
    <t>Heat stretching capacity-Kg per day</t>
  </si>
  <si>
    <t>Manpower</t>
  </si>
  <si>
    <t>Deployment</t>
  </si>
  <si>
    <t>Twisting section</t>
  </si>
  <si>
    <t>Off-day reliever-17%</t>
  </si>
  <si>
    <t>Absent reliever-5%</t>
  </si>
  <si>
    <t>Total Listed manpower</t>
  </si>
  <si>
    <t>Heat stretching</t>
  </si>
  <si>
    <t>Soft package winding -spun</t>
  </si>
  <si>
    <t xml:space="preserve">Soft package winding-filament </t>
  </si>
  <si>
    <t>V-Cone packing</t>
  </si>
  <si>
    <t>Y-Cone packing</t>
  </si>
  <si>
    <t>Paper tube packing</t>
  </si>
  <si>
    <t>No. of units after expansion</t>
  </si>
  <si>
    <t>Aurtoclave+boiler</t>
  </si>
  <si>
    <t>Final packing+despatch</t>
  </si>
  <si>
    <t>Others(pantry etc)</t>
  </si>
  <si>
    <t>Gross</t>
  </si>
  <si>
    <t>Kg/day</t>
  </si>
  <si>
    <t>210*2 PLY CFP 8 gpd-580 gr</t>
  </si>
  <si>
    <t>CFP 7.5 gpd</t>
  </si>
  <si>
    <t>150/2 CFP 8 gpd</t>
  </si>
  <si>
    <t>Y-cone winding- 6 inch 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</si>
</sst>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36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name val="Calibri"/>
      <family val="1"/>
    </font>
    <font>
      <sz val="9"/>
      <name val="Calibri"/>
      <family val="2"/>
    </font>
    <font>
      <sz val="9"/>
      <name val="Times New Roman"/>
      <family val="1"/>
    </font>
    <font>
      <sz val="8"/>
      <color rgb="FF000000"/>
      <name val="Calibri"/>
      <family val="2"/>
    </font>
    <font>
      <sz val="8"/>
      <name val="Calibri"/>
      <family val="2"/>
    </font>
    <font>
      <sz val="8"/>
      <name val="Calibri"/>
      <family val="1"/>
    </font>
    <font>
      <sz val="10"/>
      <name val="Calibri"/>
      <family val="2"/>
    </font>
    <font>
      <sz val="10"/>
      <name val="Calibri"/>
      <family val="1"/>
    </font>
    <font>
      <sz val="7"/>
      <name val="Calibri"/>
      <family val="2"/>
    </font>
    <font>
      <sz val="10"/>
      <color rgb="FF000000"/>
      <name val="Times New Roman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6"/>
      <color theme="1"/>
      <name val="Century"/>
      <family val="1"/>
    </font>
    <font>
      <sz val="11"/>
      <color theme="1"/>
      <name val="Century"/>
      <family val="1"/>
    </font>
    <font>
      <b/>
      <sz val="12"/>
      <color theme="1"/>
      <name val="Century"/>
      <family val="1"/>
    </font>
    <font>
      <sz val="14"/>
      <color theme="1"/>
      <name val="Century"/>
      <family val="1"/>
    </font>
    <font>
      <b/>
      <sz val="14"/>
      <color theme="1"/>
      <name val="Century"/>
      <family val="1"/>
    </font>
    <font>
      <sz val="12"/>
      <color theme="1"/>
      <name val="Century"/>
      <family val="1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20" fillId="0" borderId="0"/>
    <xf numFmtId="0" fontId="26" fillId="0" borderId="0">
      <protection locked="0"/>
    </xf>
    <xf numFmtId="0" fontId="28" fillId="0" borderId="0">
      <alignment vertical="center"/>
    </xf>
    <xf numFmtId="0" fontId="2" fillId="0" borderId="0"/>
  </cellStyleXfs>
  <cellXfs count="157">
    <xf numFmtId="0" fontId="0" fillId="0" borderId="0" xfId="0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9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0" fontId="6" fillId="0" borderId="0" xfId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left" vertical="center" wrapText="1"/>
    </xf>
    <xf numFmtId="1" fontId="13" fillId="0" borderId="1" xfId="1" applyNumberFormat="1" applyFont="1" applyFill="1" applyBorder="1" applyAlignment="1">
      <alignment horizontal="center" vertical="center" shrinkToFit="1"/>
    </xf>
    <xf numFmtId="0" fontId="14" fillId="0" borderId="1" xfId="1" applyFont="1" applyFill="1" applyBorder="1" applyAlignment="1">
      <alignment horizontal="left" vertical="center" wrapText="1"/>
    </xf>
    <xf numFmtId="1" fontId="13" fillId="0" borderId="1" xfId="1" applyNumberFormat="1" applyFont="1" applyFill="1" applyBorder="1" applyAlignment="1">
      <alignment horizontal="left" vertical="center" shrinkToFit="1"/>
    </xf>
    <xf numFmtId="0" fontId="16" fillId="0" borderId="1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left" vertical="center" wrapText="1"/>
    </xf>
    <xf numFmtId="0" fontId="6" fillId="0" borderId="1" xfId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left" vertical="center" wrapText="1"/>
    </xf>
    <xf numFmtId="1" fontId="19" fillId="0" borderId="1" xfId="1" applyNumberFormat="1" applyFont="1" applyFill="1" applyBorder="1" applyAlignment="1">
      <alignment horizontal="left" vertical="center" shrinkToFit="1"/>
    </xf>
    <xf numFmtId="0" fontId="10" fillId="2" borderId="1" xfId="1" applyFont="1" applyFill="1" applyBorder="1" applyAlignment="1">
      <alignment horizontal="left" vertical="center" wrapText="1"/>
    </xf>
    <xf numFmtId="9" fontId="6" fillId="0" borderId="0" xfId="1" applyNumberFormat="1" applyFill="1" applyBorder="1" applyAlignment="1">
      <alignment horizontal="center" vertical="center"/>
    </xf>
    <xf numFmtId="9" fontId="6" fillId="0" borderId="1" xfId="1" applyNumberFormat="1" applyFill="1" applyBorder="1" applyAlignment="1">
      <alignment horizontal="center" vertical="center"/>
    </xf>
    <xf numFmtId="0" fontId="21" fillId="0" borderId="2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/>
    </xf>
    <xf numFmtId="0" fontId="22" fillId="0" borderId="0" xfId="2" applyFont="1" applyAlignment="1">
      <alignment horizontal="left" vertical="center" wrapText="1"/>
    </xf>
    <xf numFmtId="0" fontId="21" fillId="0" borderId="1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22" fillId="0" borderId="0" xfId="2" applyFont="1" applyAlignment="1">
      <alignment horizontal="left"/>
    </xf>
    <xf numFmtId="0" fontId="15" fillId="0" borderId="1" xfId="1" applyFont="1" applyFill="1" applyBorder="1" applyAlignment="1">
      <alignment horizontal="center" vertical="center" wrapText="1"/>
    </xf>
    <xf numFmtId="2" fontId="6" fillId="0" borderId="1" xfId="1" applyNumberFormat="1" applyFill="1" applyBorder="1" applyAlignment="1">
      <alignment horizontal="center" vertical="center"/>
    </xf>
    <xf numFmtId="2" fontId="16" fillId="0" borderId="1" xfId="1" applyNumberFormat="1" applyFont="1" applyFill="1" applyBorder="1" applyAlignment="1">
      <alignment horizontal="left" vertical="center" wrapText="1"/>
    </xf>
    <xf numFmtId="0" fontId="14" fillId="0" borderId="1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6" fillId="2" borderId="2" xfId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left" vertical="center" wrapText="1"/>
    </xf>
    <xf numFmtId="165" fontId="6" fillId="0" borderId="1" xfId="1" applyNumberFormat="1" applyFill="1" applyBorder="1" applyAlignment="1">
      <alignment horizontal="center" vertical="center"/>
    </xf>
    <xf numFmtId="166" fontId="6" fillId="0" borderId="1" xfId="1" applyNumberFormat="1" applyFill="1" applyBorder="1" applyAlignment="1">
      <alignment horizontal="center" vertical="center"/>
    </xf>
    <xf numFmtId="164" fontId="6" fillId="0" borderId="1" xfId="1" applyNumberFormat="1" applyFill="1" applyBorder="1" applyAlignment="1">
      <alignment horizontal="center" vertical="center"/>
    </xf>
    <xf numFmtId="1" fontId="6" fillId="0" borderId="1" xfId="1" applyNumberFormat="1" applyFill="1" applyBorder="1" applyAlignment="1">
      <alignment horizontal="center" vertical="center"/>
    </xf>
    <xf numFmtId="166" fontId="23" fillId="0" borderId="1" xfId="1" applyNumberFormat="1" applyFont="1" applyFill="1" applyBorder="1" applyAlignment="1">
      <alignment horizontal="left" vertical="center" wrapText="1"/>
    </xf>
    <xf numFmtId="0" fontId="11" fillId="2" borderId="1" xfId="3" applyFont="1" applyFill="1" applyBorder="1" applyAlignment="1" applyProtection="1">
      <alignment horizontal="center" vertical="center" wrapText="1"/>
    </xf>
    <xf numFmtId="0" fontId="11" fillId="2" borderId="1" xfId="3" applyFont="1" applyFill="1" applyBorder="1" applyAlignment="1" applyProtection="1">
      <alignment horizontal="left" vertical="center" wrapText="1"/>
    </xf>
    <xf numFmtId="0" fontId="26" fillId="2" borderId="1" xfId="3" applyFill="1" applyBorder="1" applyAlignment="1" applyProtection="1">
      <alignment horizontal="left" vertical="center" wrapText="1"/>
    </xf>
    <xf numFmtId="0" fontId="12" fillId="2" borderId="1" xfId="3" applyFont="1" applyFill="1" applyBorder="1" applyAlignment="1" applyProtection="1">
      <alignment horizontal="left" vertical="center" wrapText="1"/>
    </xf>
    <xf numFmtId="0" fontId="26" fillId="0" borderId="0" xfId="3" applyFont="1" applyFill="1" applyBorder="1" applyAlignment="1" applyProtection="1">
      <alignment horizontal="center" vertical="center"/>
    </xf>
    <xf numFmtId="0" fontId="26" fillId="0" borderId="0" xfId="3" applyFont="1" applyFill="1" applyBorder="1" applyAlignment="1" applyProtection="1">
      <alignment horizontal="center" vertical="center" wrapText="1"/>
    </xf>
    <xf numFmtId="0" fontId="26" fillId="0" borderId="0" xfId="3" applyFill="1" applyBorder="1" applyAlignment="1" applyProtection="1">
      <alignment horizontal="center" vertical="center"/>
    </xf>
    <xf numFmtId="1" fontId="13" fillId="0" borderId="1" xfId="3" applyNumberFormat="1" applyFont="1" applyFill="1" applyBorder="1" applyAlignment="1" applyProtection="1">
      <alignment horizontal="center" vertical="center" shrinkToFit="1"/>
    </xf>
    <xf numFmtId="0" fontId="14" fillId="0" borderId="1" xfId="3" applyFont="1" applyFill="1" applyBorder="1" applyAlignment="1" applyProtection="1">
      <alignment horizontal="left" vertical="center" wrapText="1"/>
    </xf>
    <xf numFmtId="0" fontId="16" fillId="0" borderId="1" xfId="3" applyFont="1" applyFill="1" applyBorder="1" applyAlignment="1" applyProtection="1">
      <alignment horizontal="left" vertical="center" wrapText="1"/>
    </xf>
    <xf numFmtId="0" fontId="18" fillId="0" borderId="1" xfId="3" applyFont="1" applyFill="1" applyBorder="1" applyAlignment="1" applyProtection="1">
      <alignment horizontal="left" vertical="center" wrapText="1"/>
    </xf>
    <xf numFmtId="1" fontId="27" fillId="0" borderId="1" xfId="3" applyNumberFormat="1" applyFont="1" applyFill="1" applyBorder="1" applyAlignment="1" applyProtection="1">
      <alignment horizontal="left" vertical="center" shrinkToFit="1"/>
    </xf>
    <xf numFmtId="9" fontId="26" fillId="0" borderId="1" xfId="3" applyNumberFormat="1" applyFill="1" applyBorder="1" applyAlignment="1" applyProtection="1">
      <alignment horizontal="center" vertical="center"/>
    </xf>
    <xf numFmtId="0" fontId="26" fillId="0" borderId="1" xfId="3" applyFill="1" applyBorder="1" applyAlignment="1" applyProtection="1">
      <alignment horizontal="center" vertical="center"/>
    </xf>
    <xf numFmtId="2" fontId="26" fillId="0" borderId="0" xfId="3" applyNumberFormat="1" applyFill="1" applyBorder="1" applyAlignment="1" applyProtection="1">
      <alignment horizontal="center" vertical="center"/>
    </xf>
    <xf numFmtId="1" fontId="13" fillId="0" borderId="1" xfId="3" applyNumberFormat="1" applyFont="1" applyFill="1" applyBorder="1" applyAlignment="1" applyProtection="1">
      <alignment horizontal="left" vertical="center" shrinkToFit="1"/>
    </xf>
    <xf numFmtId="0" fontId="26" fillId="0" borderId="0" xfId="3" applyFill="1" applyBorder="1" applyAlignment="1" applyProtection="1">
      <alignment horizontal="left" vertical="center"/>
    </xf>
    <xf numFmtId="0" fontId="26" fillId="0" borderId="0" xfId="3" applyFont="1" applyFill="1" applyBorder="1" applyAlignment="1" applyProtection="1">
      <alignment horizontal="left" vertical="center"/>
    </xf>
    <xf numFmtId="0" fontId="5" fillId="0" borderId="1" xfId="1" applyFont="1" applyFill="1" applyBorder="1" applyAlignment="1">
      <alignment horizontal="center" vertical="center"/>
    </xf>
    <xf numFmtId="9" fontId="6" fillId="0" borderId="2" xfId="1" applyNumberFormat="1" applyFill="1" applyBorder="1" applyAlignment="1">
      <alignment horizontal="center" vertical="center"/>
    </xf>
    <xf numFmtId="9" fontId="6" fillId="0" borderId="3" xfId="1" applyNumberFormat="1" applyFill="1" applyBorder="1" applyAlignment="1">
      <alignment horizontal="center" vertical="center"/>
    </xf>
    <xf numFmtId="9" fontId="6" fillId="0" borderId="4" xfId="1" applyNumberFormat="1" applyFill="1" applyBorder="1" applyAlignment="1">
      <alignment horizontal="center" vertical="center"/>
    </xf>
    <xf numFmtId="9" fontId="26" fillId="0" borderId="1" xfId="3" applyNumberFormat="1" applyFont="1" applyFill="1" applyBorder="1" applyAlignment="1" applyProtection="1">
      <alignment horizontal="center" vertical="center"/>
    </xf>
    <xf numFmtId="2" fontId="26" fillId="0" borderId="1" xfId="3" applyNumberFormat="1" applyFont="1" applyFill="1" applyBorder="1" applyAlignment="1" applyProtection="1">
      <alignment horizontal="center" vertical="center"/>
    </xf>
    <xf numFmtId="0" fontId="26" fillId="0" borderId="1" xfId="3" applyFont="1" applyFill="1" applyBorder="1" applyAlignment="1" applyProtection="1">
      <alignment horizontal="center" vertical="center"/>
    </xf>
    <xf numFmtId="2" fontId="15" fillId="0" borderId="1" xfId="1" applyNumberFormat="1" applyFont="1" applyFill="1" applyBorder="1" applyAlignment="1">
      <alignment horizontal="left" vertical="center" wrapText="1"/>
    </xf>
    <xf numFmtId="2" fontId="14" fillId="0" borderId="1" xfId="1" applyNumberFormat="1" applyFont="1" applyFill="1" applyBorder="1" applyAlignment="1">
      <alignment horizontal="left" vertical="center" wrapText="1"/>
    </xf>
    <xf numFmtId="2" fontId="18" fillId="0" borderId="1" xfId="1" applyNumberFormat="1" applyFont="1" applyFill="1" applyBorder="1" applyAlignment="1">
      <alignment horizontal="left" vertical="center" wrapText="1"/>
    </xf>
    <xf numFmtId="2" fontId="19" fillId="0" borderId="1" xfId="1" applyNumberFormat="1" applyFont="1" applyFill="1" applyBorder="1" applyAlignment="1">
      <alignment horizontal="left" vertical="center" shrinkToFit="1"/>
    </xf>
    <xf numFmtId="2" fontId="26" fillId="0" borderId="1" xfId="3" applyNumberFormat="1" applyFont="1" applyFill="1" applyBorder="1" applyAlignment="1" applyProtection="1">
      <alignment horizontal="left" vertical="center" shrinkToFit="1"/>
    </xf>
    <xf numFmtId="164" fontId="6" fillId="3" borderId="1" xfId="1" applyNumberFormat="1" applyFill="1" applyBorder="1" applyAlignment="1">
      <alignment horizontal="center" vertical="center"/>
    </xf>
    <xf numFmtId="1" fontId="6" fillId="3" borderId="1" xfId="1" applyNumberForma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18" fontId="8" fillId="0" borderId="1" xfId="0" quotePrefix="1" applyNumberFormat="1" applyFont="1" applyBorder="1" applyAlignment="1">
      <alignment horizontal="right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/>
    </xf>
    <xf numFmtId="0" fontId="3" fillId="0" borderId="1" xfId="1" quotePrefix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1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21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1" fillId="0" borderId="7" xfId="0" applyFont="1" applyBorder="1"/>
    <xf numFmtId="0" fontId="31" fillId="0" borderId="0" xfId="0" applyFont="1" applyAlignment="1">
      <alignment horizontal="left"/>
    </xf>
    <xf numFmtId="0" fontId="32" fillId="0" borderId="1" xfId="0" applyFont="1" applyBorder="1"/>
    <xf numFmtId="0" fontId="34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32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31" fillId="0" borderId="9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" fontId="13" fillId="0" borderId="0" xfId="3" applyNumberFormat="1" applyFont="1" applyFill="1" applyBorder="1" applyAlignment="1" applyProtection="1">
      <alignment horizontal="center" vertical="center" shrinkToFit="1"/>
    </xf>
    <xf numFmtId="1" fontId="13" fillId="0" borderId="0" xfId="3" applyNumberFormat="1" applyFont="1" applyFill="1" applyBorder="1" applyAlignment="1" applyProtection="1">
      <alignment horizontal="left" vertical="center" shrinkToFi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10" fillId="2" borderId="1" xfId="5" applyFont="1" applyFill="1" applyBorder="1" applyAlignment="1">
      <alignment horizontal="center" vertical="center" wrapText="1"/>
    </xf>
    <xf numFmtId="0" fontId="11" fillId="2" borderId="1" xfId="5" applyFont="1" applyFill="1" applyBorder="1" applyAlignment="1">
      <alignment horizontal="left" vertical="center" wrapText="1"/>
    </xf>
    <xf numFmtId="0" fontId="2" fillId="2" borderId="1" xfId="5" applyFill="1" applyBorder="1" applyAlignment="1">
      <alignment horizontal="left" vertical="center" wrapText="1"/>
    </xf>
    <xf numFmtId="0" fontId="10" fillId="2" borderId="1" xfId="5" applyFont="1" applyFill="1" applyBorder="1" applyAlignment="1">
      <alignment horizontal="left" vertical="center" wrapText="1"/>
    </xf>
    <xf numFmtId="0" fontId="12" fillId="2" borderId="1" xfId="5" applyFont="1" applyFill="1" applyBorder="1" applyAlignment="1">
      <alignment horizontal="left" vertical="center" wrapText="1"/>
    </xf>
    <xf numFmtId="0" fontId="2" fillId="0" borderId="0" xfId="5" applyFill="1" applyBorder="1" applyAlignment="1">
      <alignment horizontal="center" vertical="center"/>
    </xf>
    <xf numFmtId="1" fontId="13" fillId="0" borderId="1" xfId="5" applyNumberFormat="1" applyFont="1" applyFill="1" applyBorder="1" applyAlignment="1">
      <alignment horizontal="center" vertical="center" shrinkToFit="1"/>
    </xf>
    <xf numFmtId="0" fontId="14" fillId="0" borderId="1" xfId="5" applyFont="1" applyFill="1" applyBorder="1" applyAlignment="1">
      <alignment horizontal="left" vertical="center" wrapText="1"/>
    </xf>
    <xf numFmtId="1" fontId="13" fillId="0" borderId="1" xfId="5" applyNumberFormat="1" applyFont="1" applyFill="1" applyBorder="1" applyAlignment="1">
      <alignment horizontal="left" vertical="center" shrinkToFit="1"/>
    </xf>
    <xf numFmtId="0" fontId="16" fillId="0" borderId="1" xfId="5" applyFont="1" applyFill="1" applyBorder="1" applyAlignment="1">
      <alignment horizontal="left" vertical="center" wrapText="1"/>
    </xf>
    <xf numFmtId="0" fontId="15" fillId="0" borderId="1" xfId="5" applyFont="1" applyFill="1" applyBorder="1" applyAlignment="1">
      <alignment horizontal="left" vertical="center" wrapText="1"/>
    </xf>
    <xf numFmtId="0" fontId="18" fillId="0" borderId="1" xfId="5" applyFont="1" applyFill="1" applyBorder="1" applyAlignment="1">
      <alignment horizontal="left" vertical="center" wrapText="1"/>
    </xf>
    <xf numFmtId="1" fontId="19" fillId="0" borderId="1" xfId="5" applyNumberFormat="1" applyFont="1" applyFill="1" applyBorder="1" applyAlignment="1">
      <alignment horizontal="left" vertical="center" shrinkToFit="1"/>
    </xf>
    <xf numFmtId="9" fontId="2" fillId="0" borderId="1" xfId="5" applyNumberFormat="1" applyFill="1" applyBorder="1" applyAlignment="1">
      <alignment horizontal="center" vertical="center"/>
    </xf>
    <xf numFmtId="0" fontId="2" fillId="0" borderId="1" xfId="5" applyFill="1" applyBorder="1" applyAlignment="1">
      <alignment horizontal="center" vertical="center"/>
    </xf>
    <xf numFmtId="2" fontId="2" fillId="0" borderId="1" xfId="5" applyNumberFormat="1" applyFill="1" applyBorder="1" applyAlignment="1">
      <alignment horizontal="center" vertical="center"/>
    </xf>
    <xf numFmtId="1" fontId="13" fillId="0" borderId="1" xfId="5" applyNumberFormat="1" applyFont="1" applyFill="1" applyBorder="1" applyAlignment="1">
      <alignment horizontal="left" vertical="center" wrapText="1" shrinkToFit="1"/>
    </xf>
    <xf numFmtId="0" fontId="2" fillId="0" borderId="0" xfId="5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5" fillId="0" borderId="1" xfId="0" applyFont="1" applyBorder="1"/>
    <xf numFmtId="0" fontId="1" fillId="0" borderId="0" xfId="1" applyFont="1" applyFill="1" applyBorder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Fill="1" applyBorder="1"/>
    <xf numFmtId="0" fontId="0" fillId="0" borderId="1" xfId="0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6" fillId="3" borderId="1" xfId="1" applyFill="1" applyBorder="1" applyAlignment="1">
      <alignment horizontal="center" vertical="center"/>
    </xf>
  </cellXfs>
  <cellStyles count="6">
    <cellStyle name="Normal" xfId="0" builtinId="0"/>
    <cellStyle name="Normal 2" xfId="1"/>
    <cellStyle name="Normal 2 2" xfId="3"/>
    <cellStyle name="Normal 2 3" xfId="5"/>
    <cellStyle name="Normal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4"/>
  <sheetViews>
    <sheetView workbookViewId="0">
      <pane ySplit="1" topLeftCell="A26" activePane="bottomLeft" state="frozen"/>
      <selection pane="bottomLeft" activeCell="C47" sqref="C47"/>
    </sheetView>
  </sheetViews>
  <sheetFormatPr defaultRowHeight="15"/>
  <cols>
    <col min="1" max="1" width="33.28515625" customWidth="1"/>
    <col min="2" max="2" width="18.5703125" bestFit="1" customWidth="1"/>
    <col min="3" max="3" width="14.28515625" bestFit="1" customWidth="1"/>
    <col min="4" max="4" width="30.28515625" customWidth="1"/>
    <col min="5" max="5" width="11" customWidth="1"/>
    <col min="6" max="6" width="10.7109375" customWidth="1"/>
    <col min="8" max="8" width="23.5703125" bestFit="1" customWidth="1"/>
    <col min="9" max="9" width="15.28515625" bestFit="1" customWidth="1"/>
    <col min="10" max="10" width="12.5703125" bestFit="1" customWidth="1"/>
  </cols>
  <sheetData>
    <row r="1" spans="1:13" ht="15.75">
      <c r="A1" s="2" t="s">
        <v>1</v>
      </c>
      <c r="B1" s="2" t="s">
        <v>20</v>
      </c>
      <c r="C1" s="2" t="s">
        <v>3</v>
      </c>
      <c r="D1" s="2"/>
      <c r="E1" s="2" t="s">
        <v>6</v>
      </c>
      <c r="F1" s="2" t="s">
        <v>7</v>
      </c>
      <c r="G1" s="2" t="s">
        <v>5</v>
      </c>
      <c r="H1" s="2" t="s">
        <v>50</v>
      </c>
      <c r="I1" s="2" t="s">
        <v>174</v>
      </c>
      <c r="J1" s="2" t="s">
        <v>49</v>
      </c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>
      <c r="A3" s="1" t="s">
        <v>2</v>
      </c>
      <c r="B3" s="1" t="s">
        <v>21</v>
      </c>
      <c r="C3" s="4">
        <v>42</v>
      </c>
      <c r="D3" s="1" t="s">
        <v>4</v>
      </c>
      <c r="E3" s="1">
        <v>504</v>
      </c>
      <c r="F3" s="1"/>
      <c r="G3" s="4"/>
      <c r="H3" s="1"/>
      <c r="I3" s="1"/>
      <c r="J3" s="1"/>
    </row>
    <row r="4" spans="1:13">
      <c r="A4" s="1"/>
      <c r="B4" s="1" t="s">
        <v>295</v>
      </c>
      <c r="C4" s="4">
        <v>70</v>
      </c>
      <c r="D4" s="1" t="s">
        <v>4</v>
      </c>
      <c r="E4" s="1">
        <v>734</v>
      </c>
      <c r="F4" s="1"/>
      <c r="G4" s="4"/>
      <c r="H4" s="1"/>
      <c r="I4" s="1"/>
      <c r="J4" s="1"/>
    </row>
    <row r="5" spans="1:13">
      <c r="A5" s="1" t="s">
        <v>8</v>
      </c>
      <c r="B5" s="1" t="s">
        <v>21</v>
      </c>
      <c r="C5" s="4">
        <v>2</v>
      </c>
      <c r="D5" s="1" t="s">
        <v>9</v>
      </c>
      <c r="E5" s="1"/>
      <c r="F5" s="1"/>
      <c r="G5" s="4"/>
      <c r="H5" s="1"/>
      <c r="I5" s="1"/>
      <c r="J5" s="1"/>
      <c r="L5">
        <f>0.00015*13000/540*210*0.92</f>
        <v>0.69766666666666655</v>
      </c>
      <c r="M5">
        <f>L5*240</f>
        <v>167.43999999999997</v>
      </c>
    </row>
    <row r="6" spans="1:13">
      <c r="A6" s="1"/>
      <c r="B6" s="1"/>
      <c r="C6" s="4">
        <v>144</v>
      </c>
      <c r="D6" s="1" t="s">
        <v>10</v>
      </c>
      <c r="E6" s="1"/>
      <c r="F6" s="1"/>
      <c r="G6" s="4"/>
      <c r="H6" s="1"/>
      <c r="I6" s="1"/>
      <c r="J6" s="1"/>
      <c r="L6">
        <f>0.00015*6000*2/400*651*0.87*90</f>
        <v>229.37985</v>
      </c>
    </row>
    <row r="7" spans="1:13">
      <c r="A7" s="1"/>
      <c r="B7" s="1"/>
      <c r="C7" s="4">
        <v>288</v>
      </c>
      <c r="D7" s="1" t="s">
        <v>11</v>
      </c>
      <c r="E7" s="1">
        <v>388</v>
      </c>
      <c r="F7" s="1"/>
      <c r="G7" s="4"/>
      <c r="H7" s="1"/>
      <c r="I7" s="1"/>
      <c r="J7" s="1"/>
    </row>
    <row r="8" spans="1:13">
      <c r="A8" s="1" t="s">
        <v>12</v>
      </c>
      <c r="B8" s="1" t="s">
        <v>56</v>
      </c>
      <c r="C8" s="4">
        <v>2</v>
      </c>
      <c r="D8" s="1" t="s">
        <v>14</v>
      </c>
      <c r="E8" s="1"/>
      <c r="F8" s="1"/>
      <c r="G8" s="4"/>
      <c r="H8" s="1"/>
      <c r="I8" s="1"/>
      <c r="J8" s="1"/>
    </row>
    <row r="9" spans="1:13">
      <c r="A9" s="1"/>
      <c r="B9" s="1"/>
      <c r="C9" s="4" t="s">
        <v>15</v>
      </c>
      <c r="D9" s="1" t="s">
        <v>16</v>
      </c>
      <c r="E9" s="1">
        <v>396</v>
      </c>
      <c r="F9" s="1"/>
      <c r="G9" s="4"/>
      <c r="H9" s="1"/>
      <c r="I9" s="1"/>
      <c r="J9" s="1"/>
    </row>
    <row r="10" spans="1:13">
      <c r="A10" s="1"/>
      <c r="B10" s="1"/>
      <c r="C10" s="4">
        <v>1</v>
      </c>
      <c r="D10" s="1"/>
      <c r="E10" s="1"/>
      <c r="F10" s="1"/>
      <c r="G10" s="4"/>
      <c r="H10" s="1"/>
      <c r="I10" s="1"/>
      <c r="J10" s="1"/>
    </row>
    <row r="11" spans="1:13">
      <c r="A11" s="1"/>
      <c r="B11" s="1"/>
      <c r="C11" s="4" t="s">
        <v>234</v>
      </c>
      <c r="D11" s="1" t="s">
        <v>16</v>
      </c>
      <c r="E11" s="1">
        <v>237</v>
      </c>
      <c r="F11" s="1"/>
      <c r="G11" s="4"/>
      <c r="H11" s="1"/>
      <c r="I11" s="1"/>
      <c r="J11" s="1"/>
    </row>
    <row r="12" spans="1:13">
      <c r="A12" s="1"/>
      <c r="B12" s="1"/>
      <c r="C12" s="4"/>
      <c r="D12" s="1"/>
      <c r="E12" s="1"/>
      <c r="F12" s="1"/>
      <c r="G12" s="4"/>
      <c r="H12" s="1"/>
      <c r="I12" s="1"/>
      <c r="J12" s="1"/>
    </row>
    <row r="13" spans="1:13">
      <c r="A13" s="1" t="s">
        <v>17</v>
      </c>
      <c r="B13" s="1" t="s">
        <v>22</v>
      </c>
      <c r="C13" s="4">
        <v>18</v>
      </c>
      <c r="D13" s="1" t="s">
        <v>18</v>
      </c>
      <c r="E13" s="1">
        <v>647</v>
      </c>
      <c r="F13" s="1"/>
      <c r="G13" s="4"/>
      <c r="H13" s="1"/>
      <c r="I13" s="1"/>
      <c r="J13" s="1"/>
    </row>
    <row r="14" spans="1:13">
      <c r="A14" s="1"/>
      <c r="B14" s="115" t="s">
        <v>243</v>
      </c>
      <c r="C14" s="116">
        <v>20</v>
      </c>
      <c r="D14" s="116" t="s">
        <v>18</v>
      </c>
      <c r="E14" s="115">
        <v>925</v>
      </c>
      <c r="F14" s="1"/>
      <c r="G14" s="4"/>
      <c r="H14" s="1"/>
      <c r="I14" s="1"/>
      <c r="J14" s="1"/>
    </row>
    <row r="15" spans="1:13">
      <c r="A15" s="1" t="s">
        <v>19</v>
      </c>
      <c r="B15" s="1" t="s">
        <v>23</v>
      </c>
      <c r="C15" s="4">
        <v>48</v>
      </c>
      <c r="D15" s="1" t="s">
        <v>18</v>
      </c>
      <c r="E15" s="1">
        <v>610</v>
      </c>
      <c r="F15" s="1"/>
      <c r="G15" s="4"/>
      <c r="H15" s="1"/>
      <c r="I15" s="1"/>
      <c r="J15" s="1"/>
    </row>
    <row r="16" spans="1:13">
      <c r="A16" s="1"/>
      <c r="B16" s="115" t="s">
        <v>23</v>
      </c>
      <c r="C16" s="116">
        <v>32</v>
      </c>
      <c r="D16" s="115" t="s">
        <v>18</v>
      </c>
      <c r="E16" s="115">
        <v>406</v>
      </c>
      <c r="F16" s="1"/>
      <c r="G16" s="4"/>
      <c r="H16" s="1"/>
      <c r="I16" s="1"/>
      <c r="J16" s="1"/>
    </row>
    <row r="17" spans="1:13">
      <c r="A17" s="5" t="s">
        <v>24</v>
      </c>
      <c r="B17" s="1"/>
      <c r="C17" s="1"/>
      <c r="D17" s="1"/>
      <c r="E17" s="4"/>
      <c r="F17" s="1"/>
      <c r="G17" s="4"/>
      <c r="H17" s="1"/>
      <c r="I17" s="1"/>
      <c r="J17" s="1"/>
    </row>
    <row r="18" spans="1:13">
      <c r="A18" s="6" t="s">
        <v>25</v>
      </c>
      <c r="B18" s="1"/>
      <c r="C18" s="4">
        <v>2</v>
      </c>
      <c r="D18" s="7" t="s">
        <v>9</v>
      </c>
      <c r="E18" s="4"/>
      <c r="F18" s="1"/>
      <c r="G18" s="4"/>
      <c r="H18" s="1"/>
      <c r="I18" s="1"/>
      <c r="J18" s="1"/>
    </row>
    <row r="19" spans="1:13">
      <c r="A19" s="6" t="s">
        <v>26</v>
      </c>
      <c r="B19" s="1"/>
      <c r="C19" s="4">
        <v>2</v>
      </c>
      <c r="D19" s="7" t="s">
        <v>9</v>
      </c>
      <c r="E19" s="4"/>
      <c r="F19" s="1"/>
      <c r="G19" s="4"/>
      <c r="H19" s="1"/>
      <c r="I19" s="1"/>
      <c r="J19" s="1"/>
    </row>
    <row r="20" spans="1:13">
      <c r="A20" s="6" t="s">
        <v>27</v>
      </c>
      <c r="B20" s="1"/>
      <c r="C20" s="4">
        <v>1</v>
      </c>
      <c r="D20" s="7" t="s">
        <v>9</v>
      </c>
      <c r="E20" s="4"/>
      <c r="F20" s="1"/>
      <c r="G20" s="4"/>
      <c r="H20" s="1"/>
      <c r="I20" s="1"/>
      <c r="J20" s="1"/>
    </row>
    <row r="21" spans="1:13">
      <c r="A21" s="6" t="s">
        <v>28</v>
      </c>
      <c r="B21" s="1"/>
      <c r="C21" s="4">
        <v>2</v>
      </c>
      <c r="D21" s="7" t="s">
        <v>9</v>
      </c>
      <c r="E21" s="4"/>
      <c r="F21" s="1"/>
      <c r="G21" s="4"/>
      <c r="H21" s="1"/>
      <c r="I21" s="1"/>
      <c r="J21" s="1"/>
    </row>
    <row r="22" spans="1:13">
      <c r="A22" s="1"/>
      <c r="B22" s="1"/>
      <c r="C22" s="4"/>
      <c r="D22" s="1"/>
      <c r="E22" s="4"/>
      <c r="F22" s="1"/>
      <c r="G22" s="4"/>
      <c r="H22" s="4"/>
      <c r="I22" s="4"/>
      <c r="J22" s="4"/>
      <c r="K22" s="3"/>
    </row>
    <row r="23" spans="1:13">
      <c r="A23" s="8" t="s">
        <v>29</v>
      </c>
      <c r="B23" s="1"/>
      <c r="C23" s="4"/>
      <c r="D23" s="1"/>
      <c r="E23" s="4"/>
      <c r="F23" s="1"/>
      <c r="G23" s="4"/>
      <c r="H23" s="4"/>
      <c r="I23" s="4"/>
      <c r="J23" s="4"/>
      <c r="K23" s="3"/>
    </row>
    <row r="24" spans="1:13">
      <c r="A24" s="6" t="s">
        <v>30</v>
      </c>
      <c r="B24" s="7" t="s">
        <v>31</v>
      </c>
      <c r="C24" s="4">
        <v>2</v>
      </c>
      <c r="D24" s="7" t="s">
        <v>9</v>
      </c>
      <c r="E24" s="4">
        <f>10</f>
        <v>10</v>
      </c>
      <c r="F24" s="1"/>
      <c r="G24" s="4"/>
      <c r="H24" s="4"/>
      <c r="I24" s="4"/>
      <c r="J24" s="4"/>
      <c r="K24" s="3"/>
    </row>
    <row r="25" spans="1:13">
      <c r="A25" s="80" t="s">
        <v>247</v>
      </c>
      <c r="B25" s="7" t="s">
        <v>33</v>
      </c>
      <c r="C25" s="4">
        <v>3</v>
      </c>
      <c r="D25" s="7" t="s">
        <v>9</v>
      </c>
      <c r="E25" s="4">
        <f>15</f>
        <v>15</v>
      </c>
      <c r="F25" s="1"/>
      <c r="G25" s="4"/>
      <c r="H25" s="4"/>
      <c r="I25" s="4"/>
      <c r="J25" s="4"/>
      <c r="K25" s="117" t="s">
        <v>239</v>
      </c>
      <c r="L25" s="118">
        <v>2</v>
      </c>
      <c r="M25">
        <f>215*0.8</f>
        <v>172</v>
      </c>
    </row>
    <row r="26" spans="1:13">
      <c r="A26" s="6" t="s">
        <v>32</v>
      </c>
      <c r="B26" s="7" t="s">
        <v>33</v>
      </c>
      <c r="C26" s="4">
        <v>2</v>
      </c>
      <c r="D26" s="7" t="s">
        <v>9</v>
      </c>
      <c r="E26" s="4">
        <f>30</f>
        <v>30</v>
      </c>
      <c r="F26" s="1"/>
      <c r="G26" s="4"/>
      <c r="H26" s="4"/>
      <c r="I26" s="4"/>
      <c r="J26" s="4"/>
      <c r="K26" s="117" t="s">
        <v>240</v>
      </c>
      <c r="L26" s="118">
        <v>3</v>
      </c>
      <c r="M26">
        <f>M25*1.25</f>
        <v>215</v>
      </c>
    </row>
    <row r="27" spans="1:13">
      <c r="A27" s="6" t="s">
        <v>34</v>
      </c>
      <c r="B27" s="7" t="s">
        <v>33</v>
      </c>
      <c r="C27" s="4">
        <v>2</v>
      </c>
      <c r="D27" s="7" t="s">
        <v>9</v>
      </c>
      <c r="E27" s="4">
        <f>40</f>
        <v>40</v>
      </c>
      <c r="F27" s="1"/>
      <c r="G27" s="4"/>
      <c r="H27" s="4"/>
      <c r="I27" s="4"/>
      <c r="J27" s="4"/>
      <c r="K27" s="117" t="s">
        <v>241</v>
      </c>
      <c r="L27" s="118">
        <v>1</v>
      </c>
    </row>
    <row r="28" spans="1:13">
      <c r="A28" s="6" t="s">
        <v>36</v>
      </c>
      <c r="B28" s="7" t="s">
        <v>33</v>
      </c>
      <c r="C28" s="4">
        <v>1</v>
      </c>
      <c r="D28" s="7" t="s">
        <v>9</v>
      </c>
      <c r="E28" s="4">
        <f>30</f>
        <v>30</v>
      </c>
      <c r="F28" s="1"/>
      <c r="G28" s="4"/>
      <c r="H28" s="4"/>
      <c r="I28" s="4"/>
      <c r="J28" s="4"/>
      <c r="K28" s="3"/>
    </row>
    <row r="29" spans="1:13">
      <c r="A29" s="6" t="s">
        <v>35</v>
      </c>
      <c r="B29" s="7" t="s">
        <v>33</v>
      </c>
      <c r="C29" s="4">
        <v>1</v>
      </c>
      <c r="D29" s="7" t="s">
        <v>9</v>
      </c>
      <c r="E29" s="4">
        <f>48</f>
        <v>48</v>
      </c>
      <c r="F29" s="1"/>
      <c r="G29" s="4"/>
      <c r="H29" s="4"/>
      <c r="I29" s="4"/>
      <c r="J29" s="4"/>
      <c r="K29" s="3"/>
    </row>
    <row r="30" spans="1:13">
      <c r="A30" s="6" t="s">
        <v>248</v>
      </c>
      <c r="B30" s="7" t="s">
        <v>33</v>
      </c>
      <c r="C30" s="4">
        <v>1</v>
      </c>
      <c r="D30" s="7" t="s">
        <v>9</v>
      </c>
      <c r="E30" s="4">
        <f>42</f>
        <v>42</v>
      </c>
      <c r="F30" s="1"/>
      <c r="G30" s="4"/>
      <c r="H30" s="4"/>
      <c r="I30" s="4"/>
      <c r="J30" s="4"/>
      <c r="K30" s="3"/>
    </row>
    <row r="31" spans="1:13">
      <c r="A31" s="6" t="s">
        <v>37</v>
      </c>
      <c r="B31" s="7" t="s">
        <v>38</v>
      </c>
      <c r="C31" s="4">
        <v>1</v>
      </c>
      <c r="D31" s="7" t="s">
        <v>13</v>
      </c>
      <c r="E31" s="4"/>
      <c r="F31" s="1"/>
      <c r="G31" s="4"/>
      <c r="H31" s="4"/>
      <c r="I31" s="4"/>
      <c r="J31" s="4"/>
      <c r="K31" s="3"/>
    </row>
    <row r="32" spans="1:13">
      <c r="A32" s="1"/>
      <c r="B32" s="1"/>
      <c r="C32" s="4">
        <v>36</v>
      </c>
      <c r="D32" s="7" t="s">
        <v>18</v>
      </c>
      <c r="E32" s="4"/>
      <c r="F32" s="1"/>
      <c r="G32" s="4"/>
      <c r="H32" s="4"/>
      <c r="I32" s="4"/>
      <c r="J32" s="4"/>
      <c r="K32" s="3"/>
    </row>
    <row r="33" spans="1:11">
      <c r="A33" s="6" t="s">
        <v>39</v>
      </c>
      <c r="B33" s="7" t="s">
        <v>40</v>
      </c>
      <c r="C33" s="4">
        <v>1</v>
      </c>
      <c r="D33" s="7" t="s">
        <v>13</v>
      </c>
      <c r="E33" s="4"/>
      <c r="F33" s="1"/>
      <c r="G33" s="4"/>
      <c r="H33" s="4"/>
      <c r="I33" s="4"/>
      <c r="J33" s="4"/>
      <c r="K33" s="3"/>
    </row>
    <row r="34" spans="1:11">
      <c r="A34" s="1"/>
      <c r="B34" s="1"/>
      <c r="C34" s="4"/>
      <c r="D34" s="1"/>
      <c r="E34" s="4"/>
      <c r="F34" s="1"/>
      <c r="G34" s="4"/>
      <c r="H34" s="4"/>
      <c r="I34" s="4"/>
      <c r="J34" s="4"/>
      <c r="K34" s="3"/>
    </row>
    <row r="35" spans="1:11">
      <c r="A35" s="7" t="s">
        <v>42</v>
      </c>
      <c r="B35" s="7" t="s">
        <v>41</v>
      </c>
      <c r="C35" s="4">
        <v>1</v>
      </c>
      <c r="D35" s="7" t="s">
        <v>13</v>
      </c>
      <c r="E35" s="4"/>
      <c r="F35" s="1"/>
      <c r="G35" s="1"/>
      <c r="H35" s="4"/>
      <c r="I35" s="4"/>
      <c r="J35" s="4"/>
      <c r="K35" s="3"/>
    </row>
    <row r="36" spans="1:11">
      <c r="A36" s="7"/>
      <c r="B36" s="7"/>
      <c r="C36" s="4">
        <v>16</v>
      </c>
      <c r="D36" s="7" t="s">
        <v>18</v>
      </c>
      <c r="E36" s="4">
        <v>300</v>
      </c>
      <c r="F36" s="1" t="s">
        <v>44</v>
      </c>
      <c r="G36" s="1"/>
      <c r="H36" s="4"/>
      <c r="I36" s="4"/>
      <c r="J36" s="4"/>
      <c r="K36" s="3"/>
    </row>
    <row r="37" spans="1:11">
      <c r="A37" s="7" t="s">
        <v>43</v>
      </c>
      <c r="B37" s="7" t="s">
        <v>41</v>
      </c>
      <c r="C37" s="4">
        <v>1</v>
      </c>
      <c r="D37" s="7" t="s">
        <v>13</v>
      </c>
      <c r="E37" s="4"/>
      <c r="F37" s="1"/>
      <c r="G37" s="1"/>
      <c r="H37" s="4"/>
      <c r="I37" s="4"/>
      <c r="J37" s="4"/>
      <c r="K37" s="3"/>
    </row>
    <row r="38" spans="1:11">
      <c r="A38" s="7"/>
      <c r="B38" s="7" t="s">
        <v>41</v>
      </c>
      <c r="C38" s="4">
        <v>16</v>
      </c>
      <c r="D38" s="7" t="s">
        <v>18</v>
      </c>
      <c r="E38" s="4">
        <v>300</v>
      </c>
      <c r="F38" s="1" t="s">
        <v>44</v>
      </c>
      <c r="G38" s="1"/>
      <c r="H38" s="4"/>
      <c r="I38" s="4"/>
      <c r="J38" s="4"/>
      <c r="K38" s="3"/>
    </row>
    <row r="39" spans="1:11">
      <c r="A39" s="1"/>
      <c r="B39" s="1"/>
      <c r="C39" s="1"/>
      <c r="D39" s="1"/>
      <c r="E39" s="4"/>
      <c r="F39" s="1"/>
      <c r="G39" s="1"/>
      <c r="H39" s="4"/>
      <c r="I39" s="4"/>
      <c r="J39" s="4"/>
      <c r="K39" s="3"/>
    </row>
    <row r="40" spans="1:11">
      <c r="A40" s="1" t="s">
        <v>45</v>
      </c>
      <c r="B40" s="1" t="s">
        <v>46</v>
      </c>
      <c r="C40" s="4">
        <v>44</v>
      </c>
      <c r="D40" s="1" t="s">
        <v>47</v>
      </c>
      <c r="E40" s="4">
        <v>3208</v>
      </c>
      <c r="F40" s="1" t="s">
        <v>51</v>
      </c>
      <c r="G40" s="1"/>
      <c r="H40" s="4">
        <v>17</v>
      </c>
      <c r="I40" s="4" t="s">
        <v>48</v>
      </c>
      <c r="J40" s="4">
        <v>120</v>
      </c>
      <c r="K40" s="3"/>
    </row>
    <row r="41" spans="1:11">
      <c r="A41" s="1"/>
      <c r="B41" s="1" t="s">
        <v>242</v>
      </c>
      <c r="C41" s="4">
        <v>25</v>
      </c>
      <c r="D41" s="1" t="s">
        <v>47</v>
      </c>
      <c r="E41" s="4">
        <v>2245</v>
      </c>
      <c r="F41" s="1" t="s">
        <v>51</v>
      </c>
      <c r="G41" s="1"/>
      <c r="H41" s="4"/>
      <c r="I41" s="4"/>
      <c r="J41" s="4"/>
      <c r="K41" s="3"/>
    </row>
    <row r="42" spans="1:11">
      <c r="A42" s="1"/>
      <c r="B42" s="1"/>
      <c r="C42" s="4"/>
      <c r="D42" s="1"/>
      <c r="E42" s="4"/>
      <c r="F42" s="1"/>
      <c r="G42" s="1"/>
      <c r="H42" s="4"/>
      <c r="I42" s="4"/>
      <c r="J42" s="4"/>
      <c r="K42" s="3"/>
    </row>
    <row r="43" spans="1:11">
      <c r="A43" s="1"/>
      <c r="B43" s="1"/>
      <c r="C43" s="4"/>
      <c r="D43" s="1"/>
      <c r="E43" s="4"/>
      <c r="F43" s="1"/>
      <c r="G43" s="1"/>
      <c r="H43" s="4"/>
      <c r="I43" s="4"/>
      <c r="J43" s="4"/>
      <c r="K43" s="3"/>
    </row>
    <row r="44" spans="1:11">
      <c r="A44" s="1" t="s">
        <v>245</v>
      </c>
      <c r="B44" s="1" t="s">
        <v>46</v>
      </c>
      <c r="C44" s="4">
        <v>30</v>
      </c>
      <c r="D44" s="1" t="s">
        <v>47</v>
      </c>
      <c r="E44" s="4">
        <v>12024</v>
      </c>
      <c r="F44" s="1" t="s">
        <v>54</v>
      </c>
      <c r="G44" s="1"/>
      <c r="H44" s="4">
        <f>800/500*60+23</f>
        <v>119</v>
      </c>
      <c r="I44" s="4" t="s">
        <v>52</v>
      </c>
      <c r="J44" s="79">
        <f>E44/24</f>
        <v>501</v>
      </c>
      <c r="K44" s="3"/>
    </row>
    <row r="45" spans="1:11">
      <c r="A45" s="1" t="s">
        <v>246</v>
      </c>
      <c r="B45" s="1" t="s">
        <v>242</v>
      </c>
      <c r="C45" s="4">
        <v>10</v>
      </c>
      <c r="D45" s="1" t="s">
        <v>47</v>
      </c>
      <c r="E45" s="4">
        <v>13763</v>
      </c>
      <c r="F45" s="1" t="s">
        <v>54</v>
      </c>
      <c r="G45" s="1"/>
      <c r="H45" s="4">
        <f>180/500*60+23</f>
        <v>44.599999999999994</v>
      </c>
      <c r="I45" s="4" t="s">
        <v>53</v>
      </c>
      <c r="J45" s="4">
        <v>574</v>
      </c>
      <c r="K45" s="3"/>
    </row>
    <row r="46" spans="1:11">
      <c r="A46" s="1"/>
      <c r="B46" s="1"/>
      <c r="C46" s="1"/>
      <c r="D46" s="1"/>
      <c r="E46" s="4">
        <v>15868</v>
      </c>
      <c r="F46" s="1" t="s">
        <v>54</v>
      </c>
      <c r="G46" s="1"/>
      <c r="H46" s="4">
        <f>135/500*60+23</f>
        <v>39.200000000000003</v>
      </c>
      <c r="I46" s="4" t="s">
        <v>55</v>
      </c>
      <c r="J46" s="4">
        <v>661</v>
      </c>
      <c r="K46" s="3"/>
    </row>
    <row r="47" spans="1:11">
      <c r="A47" s="1"/>
      <c r="B47" s="1"/>
      <c r="C47" s="4"/>
      <c r="D47" s="1"/>
      <c r="E47" s="4"/>
      <c r="F47" s="1"/>
      <c r="G47" s="1"/>
      <c r="H47" s="4"/>
      <c r="I47" s="4"/>
      <c r="J47" s="4"/>
      <c r="K47" s="3"/>
    </row>
    <row r="48" spans="1:11">
      <c r="A48" s="1" t="s">
        <v>327</v>
      </c>
      <c r="B48" s="1" t="s">
        <v>243</v>
      </c>
      <c r="C48" s="4">
        <v>10</v>
      </c>
      <c r="D48" s="1" t="s">
        <v>58</v>
      </c>
      <c r="E48" s="4"/>
      <c r="F48" s="1"/>
      <c r="G48" s="1"/>
      <c r="H48" s="4"/>
      <c r="I48" s="4"/>
      <c r="J48" s="4"/>
      <c r="K48" s="3"/>
    </row>
    <row r="49" spans="1:11">
      <c r="A49" s="1" t="s">
        <v>57</v>
      </c>
      <c r="B49" s="1" t="s">
        <v>243</v>
      </c>
      <c r="C49" s="4">
        <v>5</v>
      </c>
      <c r="D49" s="1" t="s">
        <v>58</v>
      </c>
      <c r="E49" s="4"/>
      <c r="F49" s="1"/>
      <c r="G49" s="1"/>
      <c r="H49" s="4"/>
      <c r="I49" s="4"/>
      <c r="J49" s="4"/>
      <c r="K49" s="3"/>
    </row>
    <row r="50" spans="1:11">
      <c r="A50" s="1" t="s">
        <v>59</v>
      </c>
      <c r="B50" s="1" t="s">
        <v>60</v>
      </c>
      <c r="C50" s="4">
        <v>4</v>
      </c>
      <c r="D50" s="1" t="s">
        <v>61</v>
      </c>
      <c r="E50" s="1"/>
      <c r="F50" s="1"/>
      <c r="G50" s="1"/>
      <c r="H50" s="4"/>
      <c r="I50" s="4"/>
      <c r="J50" s="4"/>
      <c r="K50" s="3"/>
    </row>
    <row r="51" spans="1:11">
      <c r="A51" s="1"/>
      <c r="B51" s="1"/>
      <c r="C51" s="1"/>
      <c r="D51" s="1"/>
      <c r="E51" s="1"/>
      <c r="F51" s="1"/>
      <c r="G51" s="1"/>
      <c r="H51" s="4"/>
      <c r="I51" s="4"/>
      <c r="J51" s="4"/>
      <c r="K51" s="3"/>
    </row>
    <row r="52" spans="1:11">
      <c r="H52" s="3"/>
      <c r="I52" s="3"/>
      <c r="J52" s="3"/>
      <c r="K52" s="3"/>
    </row>
    <row r="53" spans="1:11">
      <c r="H53" s="3"/>
      <c r="I53" s="3"/>
      <c r="J53" s="3"/>
      <c r="K53" s="3"/>
    </row>
    <row r="54" spans="1:11">
      <c r="H54" s="3"/>
      <c r="I54" s="3"/>
      <c r="J54" s="3"/>
      <c r="K54" s="3"/>
    </row>
  </sheetData>
  <autoFilter ref="A1:H38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59"/>
  <sheetViews>
    <sheetView workbookViewId="0">
      <selection activeCell="T4" sqref="T4"/>
    </sheetView>
  </sheetViews>
  <sheetFormatPr defaultColWidth="10.28515625" defaultRowHeight="15"/>
  <cols>
    <col min="1" max="1" width="5" style="9" customWidth="1"/>
    <col min="2" max="2" width="11.85546875" style="9" bestFit="1" customWidth="1"/>
    <col min="3" max="3" width="4" style="9" bestFit="1" customWidth="1"/>
    <col min="4" max="4" width="6.28515625" style="9" bestFit="1" customWidth="1"/>
    <col min="5" max="5" width="3.85546875" style="9" customWidth="1"/>
    <col min="6" max="6" width="5" style="9" bestFit="1" customWidth="1"/>
    <col min="7" max="7" width="18.28515625" style="9" bestFit="1" customWidth="1"/>
    <col min="8" max="8" width="10.5703125" style="9" customWidth="1"/>
    <col min="9" max="9" width="4.85546875" style="9" customWidth="1"/>
    <col min="10" max="10" width="8" style="9" customWidth="1"/>
    <col min="11" max="11" width="10.28515625" style="9"/>
    <col min="12" max="12" width="9.7109375" style="9" customWidth="1"/>
    <col min="13" max="13" width="8.7109375" style="9" customWidth="1"/>
    <col min="14" max="14" width="11.140625" style="9" customWidth="1"/>
    <col min="15" max="15" width="9" style="9" customWidth="1"/>
    <col min="16" max="16" width="10.28515625" style="9"/>
    <col min="17" max="17" width="11.5703125" style="9" bestFit="1" customWidth="1"/>
    <col min="18" max="18" width="10.140625" style="9" customWidth="1"/>
    <col min="19" max="19" width="7.28515625" style="9" customWidth="1"/>
    <col min="20" max="16384" width="10.28515625" style="9"/>
  </cols>
  <sheetData>
    <row r="1" spans="1:22" ht="55.5" customHeight="1">
      <c r="A1" s="10" t="s">
        <v>62</v>
      </c>
      <c r="B1" s="11" t="s">
        <v>63</v>
      </c>
      <c r="C1" s="12" t="s">
        <v>64</v>
      </c>
      <c r="D1" s="12" t="s">
        <v>65</v>
      </c>
      <c r="E1" s="12" t="s">
        <v>66</v>
      </c>
      <c r="F1" s="13" t="s">
        <v>67</v>
      </c>
      <c r="G1" s="12" t="s">
        <v>68</v>
      </c>
      <c r="H1" s="11" t="s">
        <v>69</v>
      </c>
      <c r="I1" s="12" t="s">
        <v>70</v>
      </c>
      <c r="J1" s="11" t="s">
        <v>71</v>
      </c>
      <c r="K1" s="23" t="s">
        <v>141</v>
      </c>
      <c r="L1" s="23" t="s">
        <v>142</v>
      </c>
      <c r="M1" s="23" t="s">
        <v>175</v>
      </c>
      <c r="N1" s="14" t="s">
        <v>143</v>
      </c>
      <c r="O1" s="14" t="s">
        <v>208</v>
      </c>
      <c r="P1" s="14" t="s">
        <v>144</v>
      </c>
      <c r="Q1" s="14" t="s">
        <v>209</v>
      </c>
      <c r="R1" s="14" t="s">
        <v>145</v>
      </c>
      <c r="S1" s="14" t="s">
        <v>176</v>
      </c>
      <c r="T1" s="14" t="s">
        <v>147</v>
      </c>
      <c r="U1" s="14" t="s">
        <v>196</v>
      </c>
      <c r="V1" s="14" t="s">
        <v>197</v>
      </c>
    </row>
    <row r="2" spans="1:22" hidden="1">
      <c r="A2" s="15">
        <v>1</v>
      </c>
      <c r="B2" s="16" t="s">
        <v>87</v>
      </c>
      <c r="C2" s="15">
        <v>60</v>
      </c>
      <c r="D2" s="15">
        <v>50</v>
      </c>
      <c r="E2" s="15">
        <v>2</v>
      </c>
      <c r="F2" s="17">
        <v>2201</v>
      </c>
      <c r="G2" s="19" t="s">
        <v>325</v>
      </c>
      <c r="H2" s="17">
        <v>10000</v>
      </c>
      <c r="I2" s="18" t="s">
        <v>74</v>
      </c>
      <c r="J2" s="16" t="s">
        <v>89</v>
      </c>
      <c r="K2" s="16">
        <v>500</v>
      </c>
      <c r="L2" s="34">
        <f>H2*1.005/K2+3</f>
        <v>23.099999999999998</v>
      </c>
      <c r="M2" s="21">
        <v>1</v>
      </c>
      <c r="N2" s="73">
        <f>60/L2*M2</f>
        <v>2.5974025974025978</v>
      </c>
      <c r="O2" s="74">
        <f>N2*22.5</f>
        <v>58.441558441558449</v>
      </c>
      <c r="P2" s="65">
        <v>0.8</v>
      </c>
      <c r="Q2" s="33">
        <f t="shared" ref="Q2:Q33" si="0">O2*P2</f>
        <v>46.753246753246763</v>
      </c>
      <c r="R2" s="33">
        <f>L2/P2</f>
        <v>28.874999999999996</v>
      </c>
      <c r="S2" s="20">
        <v>5</v>
      </c>
      <c r="T2" s="33">
        <f>Q2*S2</f>
        <v>233.76623376623382</v>
      </c>
    </row>
    <row r="3" spans="1:22" ht="18" hidden="1" customHeight="1">
      <c r="A3" s="15">
        <v>2</v>
      </c>
      <c r="B3" s="16" t="s">
        <v>91</v>
      </c>
      <c r="C3" s="15">
        <v>60</v>
      </c>
      <c r="D3" s="15">
        <v>50</v>
      </c>
      <c r="E3" s="15">
        <v>2</v>
      </c>
      <c r="F3" s="17">
        <v>2202</v>
      </c>
      <c r="G3" s="16" t="s">
        <v>88</v>
      </c>
      <c r="H3" s="17">
        <v>2000</v>
      </c>
      <c r="I3" s="18" t="s">
        <v>74</v>
      </c>
      <c r="J3" s="16" t="s">
        <v>77</v>
      </c>
      <c r="K3" s="16">
        <v>700</v>
      </c>
      <c r="L3" s="34">
        <f>H3*1.005/K3+0.5</f>
        <v>3.371428571428571</v>
      </c>
      <c r="M3" s="21">
        <v>1</v>
      </c>
      <c r="N3" s="73">
        <f>60/L3*M3</f>
        <v>17.796610169491526</v>
      </c>
      <c r="O3" s="74">
        <f>N3*22.5</f>
        <v>400.42372881355931</v>
      </c>
      <c r="P3" s="25">
        <v>0.85</v>
      </c>
      <c r="Q3" s="33">
        <f t="shared" si="0"/>
        <v>340.36016949152543</v>
      </c>
      <c r="R3" s="33">
        <f>L3/P3</f>
        <v>3.9663865546218484</v>
      </c>
      <c r="S3" s="20">
        <v>4</v>
      </c>
      <c r="T3" s="33">
        <f>Q3*S3</f>
        <v>1361.4406779661017</v>
      </c>
    </row>
    <row r="4" spans="1:22" ht="18" customHeight="1">
      <c r="A4" s="15">
        <v>3</v>
      </c>
      <c r="B4" s="16" t="s">
        <v>87</v>
      </c>
      <c r="C4" s="15">
        <v>60</v>
      </c>
      <c r="D4" s="15">
        <v>50</v>
      </c>
      <c r="E4" s="15">
        <v>2</v>
      </c>
      <c r="F4" s="17">
        <v>2203</v>
      </c>
      <c r="G4" s="19" t="s">
        <v>172</v>
      </c>
      <c r="H4" s="17">
        <v>17900</v>
      </c>
      <c r="I4" s="32" t="s">
        <v>85</v>
      </c>
      <c r="J4" s="16" t="s">
        <v>90</v>
      </c>
      <c r="K4" s="19">
        <v>500</v>
      </c>
      <c r="L4" s="34">
        <f>H4*1.005/K4+3</f>
        <v>38.978999999999992</v>
      </c>
      <c r="M4" s="21">
        <v>1</v>
      </c>
      <c r="N4" s="73">
        <f>60/L4*M4</f>
        <v>1.5392903871315327</v>
      </c>
      <c r="O4" s="74">
        <f>N4*21</f>
        <v>32.325098129762189</v>
      </c>
      <c r="P4" s="25">
        <v>0.85</v>
      </c>
      <c r="Q4" s="33">
        <f t="shared" si="0"/>
        <v>27.476333410297858</v>
      </c>
      <c r="R4" s="33">
        <f>L4/P4</f>
        <v>45.857647058823524</v>
      </c>
      <c r="S4" s="20">
        <v>10</v>
      </c>
      <c r="T4" s="33">
        <f>Q4*S4</f>
        <v>274.7633341029786</v>
      </c>
    </row>
    <row r="5" spans="1:22" ht="29.25" customHeight="1">
      <c r="A5" s="15">
        <v>4</v>
      </c>
      <c r="B5" s="19">
        <v>1881</v>
      </c>
      <c r="C5" s="19"/>
      <c r="D5" s="78">
        <v>34.833333333333336</v>
      </c>
      <c r="E5" s="19"/>
      <c r="F5" s="19">
        <v>2204</v>
      </c>
      <c r="G5" s="19" t="s">
        <v>212</v>
      </c>
      <c r="H5" s="19">
        <v>24400</v>
      </c>
      <c r="I5" s="19" t="s">
        <v>85</v>
      </c>
      <c r="J5" s="19" t="s">
        <v>211</v>
      </c>
      <c r="K5" s="19">
        <v>500</v>
      </c>
      <c r="L5" s="34">
        <f>H5*1.005/K5+3</f>
        <v>52.04399999999999</v>
      </c>
      <c r="M5" s="19">
        <v>1</v>
      </c>
      <c r="N5" s="73">
        <f>60/L5*M5</f>
        <v>1.1528706479133044</v>
      </c>
      <c r="O5" s="71">
        <f>N5*21</f>
        <v>24.210283606179392</v>
      </c>
      <c r="P5" s="25">
        <v>0.85</v>
      </c>
      <c r="Q5" s="33">
        <f t="shared" si="0"/>
        <v>20.578741065252483</v>
      </c>
      <c r="R5" s="33">
        <f>L5/P5</f>
        <v>61.228235294117638</v>
      </c>
      <c r="S5" s="20">
        <v>10</v>
      </c>
      <c r="T5" s="33">
        <f>Q5*S5</f>
        <v>205.78741065252484</v>
      </c>
    </row>
    <row r="6" spans="1:22" ht="23.25" customHeight="1">
      <c r="A6" s="15">
        <v>5</v>
      </c>
      <c r="B6" s="19">
        <v>1887</v>
      </c>
      <c r="C6" s="19"/>
      <c r="D6" s="78">
        <v>48.766666666666666</v>
      </c>
      <c r="E6" s="19"/>
      <c r="F6" s="19">
        <v>2205</v>
      </c>
      <c r="G6" s="19" t="s">
        <v>213</v>
      </c>
      <c r="H6" s="19">
        <v>17430</v>
      </c>
      <c r="I6" s="19" t="s">
        <v>85</v>
      </c>
      <c r="J6" s="19" t="s">
        <v>211</v>
      </c>
      <c r="K6" s="19">
        <v>500</v>
      </c>
      <c r="L6" s="34">
        <f>H6*1.005/K6+3</f>
        <v>38.034299999999995</v>
      </c>
      <c r="M6" s="19">
        <v>1</v>
      </c>
      <c r="N6" s="73">
        <f>60/L6*M6</f>
        <v>1.5775234459422156</v>
      </c>
      <c r="O6" s="71">
        <f>N6*21</f>
        <v>33.127992364786529</v>
      </c>
      <c r="P6" s="65">
        <v>0.85</v>
      </c>
      <c r="Q6" s="33">
        <f t="shared" si="0"/>
        <v>28.158793510068548</v>
      </c>
      <c r="R6" s="33">
        <f>L6/P6</f>
        <v>44.746235294117639</v>
      </c>
      <c r="S6" s="20">
        <v>10</v>
      </c>
      <c r="T6" s="33">
        <f>Q6*S6</f>
        <v>281.58793510068551</v>
      </c>
    </row>
    <row r="7" spans="1:22" ht="27.75" hidden="1" customHeight="1">
      <c r="A7" s="15">
        <v>6</v>
      </c>
      <c r="B7" s="19">
        <v>2209</v>
      </c>
      <c r="C7" s="19"/>
      <c r="D7" s="78">
        <v>48.766666666666666</v>
      </c>
      <c r="E7" s="19"/>
      <c r="F7" s="19">
        <v>2206</v>
      </c>
      <c r="G7" s="19" t="s">
        <v>324</v>
      </c>
      <c r="H7" s="19">
        <v>10800</v>
      </c>
      <c r="I7" s="19" t="s">
        <v>85</v>
      </c>
      <c r="J7" s="19" t="s">
        <v>210</v>
      </c>
      <c r="K7" s="16">
        <v>500</v>
      </c>
      <c r="L7" s="19">
        <v>24.707999999999995</v>
      </c>
      <c r="M7" s="19">
        <v>1</v>
      </c>
      <c r="N7" s="71">
        <v>4.8567265662943182</v>
      </c>
      <c r="O7" s="71">
        <f>N7*21</f>
        <v>101.99125789218068</v>
      </c>
      <c r="P7" s="25">
        <v>0.85</v>
      </c>
      <c r="Q7" s="33">
        <f t="shared" si="0"/>
        <v>86.692569208353575</v>
      </c>
      <c r="R7" s="19">
        <v>32.943999999999996</v>
      </c>
      <c r="S7" s="20">
        <v>5</v>
      </c>
      <c r="T7" s="33">
        <v>291.40359397765911</v>
      </c>
    </row>
    <row r="8" spans="1:22" ht="25.5" hidden="1" customHeight="1">
      <c r="A8" s="15">
        <v>7</v>
      </c>
      <c r="B8" s="16" t="s">
        <v>111</v>
      </c>
      <c r="C8" s="15">
        <v>120</v>
      </c>
      <c r="D8" s="15">
        <v>27</v>
      </c>
      <c r="E8" s="15">
        <v>2</v>
      </c>
      <c r="F8" s="15">
        <v>2207</v>
      </c>
      <c r="G8" s="19" t="s">
        <v>112</v>
      </c>
      <c r="H8" s="17">
        <v>5000</v>
      </c>
      <c r="I8" s="20" t="s">
        <v>85</v>
      </c>
      <c r="J8" s="16" t="s">
        <v>80</v>
      </c>
      <c r="K8" s="16">
        <v>700</v>
      </c>
      <c r="L8" s="34">
        <f>H8*1.005/K8+0.5</f>
        <v>7.678571428571427</v>
      </c>
      <c r="M8" s="21">
        <v>1</v>
      </c>
      <c r="N8" s="73">
        <f t="shared" ref="N8:N48" si="1">60/L8*M8</f>
        <v>7.8139534883720945</v>
      </c>
      <c r="O8" s="74">
        <f>N8*22.5</f>
        <v>175.81395348837214</v>
      </c>
      <c r="P8" s="67">
        <v>0.85</v>
      </c>
      <c r="Q8" s="33">
        <f t="shared" si="0"/>
        <v>149.44186046511632</v>
      </c>
      <c r="R8" s="33">
        <f t="shared" ref="R8:R48" si="2">L8/P8</f>
        <v>9.0336134453781494</v>
      </c>
      <c r="S8" s="20">
        <v>4</v>
      </c>
      <c r="T8" s="33">
        <f t="shared" ref="T8:T45" si="3">Q8*S8</f>
        <v>597.76744186046528</v>
      </c>
    </row>
    <row r="9" spans="1:22" ht="22.5" hidden="1" customHeight="1">
      <c r="A9" s="15">
        <v>8</v>
      </c>
      <c r="B9" s="16" t="s">
        <v>102</v>
      </c>
      <c r="C9" s="15">
        <v>80</v>
      </c>
      <c r="D9" s="15">
        <v>30</v>
      </c>
      <c r="E9" s="15">
        <v>2</v>
      </c>
      <c r="F9" s="15">
        <v>2208</v>
      </c>
      <c r="G9" s="19" t="s">
        <v>103</v>
      </c>
      <c r="H9" s="17">
        <v>5000</v>
      </c>
      <c r="I9" s="20" t="s">
        <v>85</v>
      </c>
      <c r="J9" s="16" t="s">
        <v>83</v>
      </c>
      <c r="K9" s="16">
        <v>700</v>
      </c>
      <c r="L9" s="34">
        <f>H9*1.005/K9+0.5</f>
        <v>7.678571428571427</v>
      </c>
      <c r="M9" s="21">
        <v>1</v>
      </c>
      <c r="N9" s="73">
        <f t="shared" si="1"/>
        <v>7.8139534883720945</v>
      </c>
      <c r="O9" s="74">
        <f>N9*22.5</f>
        <v>175.81395348837214</v>
      </c>
      <c r="P9" s="25">
        <v>0.85</v>
      </c>
      <c r="Q9" s="33">
        <f t="shared" si="0"/>
        <v>149.44186046511632</v>
      </c>
      <c r="R9" s="33">
        <f t="shared" si="2"/>
        <v>9.0336134453781494</v>
      </c>
      <c r="S9" s="20">
        <v>6</v>
      </c>
      <c r="T9" s="33">
        <f t="shared" si="3"/>
        <v>896.65116279069798</v>
      </c>
    </row>
    <row r="10" spans="1:22" ht="18" hidden="1" customHeight="1">
      <c r="A10" s="15">
        <v>9</v>
      </c>
      <c r="B10" s="16" t="s">
        <v>102</v>
      </c>
      <c r="C10" s="16">
        <v>30</v>
      </c>
      <c r="D10" s="16">
        <v>80</v>
      </c>
      <c r="E10" s="16">
        <v>2</v>
      </c>
      <c r="F10" s="16">
        <v>2209</v>
      </c>
      <c r="G10" s="16" t="s">
        <v>326</v>
      </c>
      <c r="H10" s="16">
        <v>15000</v>
      </c>
      <c r="I10" s="16" t="s">
        <v>85</v>
      </c>
      <c r="J10" s="16" t="s">
        <v>210</v>
      </c>
      <c r="K10" s="16">
        <v>500</v>
      </c>
      <c r="L10" s="34">
        <f>H10*1.005/K10+3</f>
        <v>33.149999999999991</v>
      </c>
      <c r="M10" s="34">
        <v>2</v>
      </c>
      <c r="N10" s="34">
        <f t="shared" si="1"/>
        <v>3.6199095022624443</v>
      </c>
      <c r="O10" s="34">
        <f>N10*21</f>
        <v>76.018099547511326</v>
      </c>
      <c r="P10" s="25">
        <v>0.85</v>
      </c>
      <c r="Q10" s="69">
        <f t="shared" si="0"/>
        <v>64.615384615384627</v>
      </c>
      <c r="R10" s="69">
        <f t="shared" si="2"/>
        <v>38.999999999999993</v>
      </c>
      <c r="S10" s="70">
        <v>5</v>
      </c>
      <c r="T10" s="69">
        <f t="shared" si="3"/>
        <v>323.07692307692315</v>
      </c>
    </row>
    <row r="11" spans="1:22" ht="18" customHeight="1">
      <c r="A11" s="15">
        <v>10</v>
      </c>
      <c r="B11" s="16" t="s">
        <v>102</v>
      </c>
      <c r="C11" s="16">
        <v>80</v>
      </c>
      <c r="D11" s="16">
        <v>35</v>
      </c>
      <c r="E11" s="16">
        <v>2</v>
      </c>
      <c r="F11" s="16">
        <v>2210</v>
      </c>
      <c r="G11" s="16" t="s">
        <v>103</v>
      </c>
      <c r="H11" s="16">
        <v>15000</v>
      </c>
      <c r="I11" s="16" t="s">
        <v>85</v>
      </c>
      <c r="J11" s="16" t="s">
        <v>211</v>
      </c>
      <c r="K11" s="19">
        <v>500</v>
      </c>
      <c r="L11" s="34">
        <f>H11*1.005/K11+3</f>
        <v>33.149999999999991</v>
      </c>
      <c r="M11" s="34">
        <v>1</v>
      </c>
      <c r="N11" s="34">
        <f t="shared" si="1"/>
        <v>1.8099547511312222</v>
      </c>
      <c r="O11" s="34">
        <f>N11*21</f>
        <v>38.009049773755663</v>
      </c>
      <c r="P11" s="25">
        <v>0.85</v>
      </c>
      <c r="Q11" s="69">
        <f t="shared" si="0"/>
        <v>32.307692307692314</v>
      </c>
      <c r="R11" s="69">
        <f t="shared" si="2"/>
        <v>38.999999999999993</v>
      </c>
      <c r="S11" s="20">
        <v>10</v>
      </c>
      <c r="T11" s="69">
        <f t="shared" si="3"/>
        <v>323.07692307692315</v>
      </c>
    </row>
    <row r="12" spans="1:22" ht="27" customHeight="1">
      <c r="A12" s="15">
        <v>11</v>
      </c>
      <c r="B12" s="19" t="s">
        <v>237</v>
      </c>
      <c r="C12" s="16">
        <v>60</v>
      </c>
      <c r="D12" s="16">
        <v>50</v>
      </c>
      <c r="E12" s="16">
        <v>2</v>
      </c>
      <c r="F12" s="16">
        <v>2211</v>
      </c>
      <c r="G12" s="19" t="s">
        <v>236</v>
      </c>
      <c r="H12" s="16">
        <v>45490</v>
      </c>
      <c r="I12" s="16"/>
      <c r="J12" s="16" t="s">
        <v>211</v>
      </c>
      <c r="K12" s="19">
        <v>500</v>
      </c>
      <c r="L12" s="34">
        <f>H12*1.005/K12+3</f>
        <v>94.434899999999999</v>
      </c>
      <c r="M12" s="34">
        <v>1</v>
      </c>
      <c r="N12" s="34">
        <f t="shared" si="1"/>
        <v>0.63535832621202548</v>
      </c>
      <c r="O12" s="34">
        <f>N12*21</f>
        <v>13.342524850452534</v>
      </c>
      <c r="P12" s="25">
        <v>0.85</v>
      </c>
      <c r="Q12" s="69">
        <f t="shared" si="0"/>
        <v>11.341146122884654</v>
      </c>
      <c r="R12" s="69">
        <f t="shared" si="2"/>
        <v>111.09988235294118</v>
      </c>
      <c r="S12" s="20">
        <v>10</v>
      </c>
      <c r="T12" s="69">
        <f t="shared" si="3"/>
        <v>113.41146122884653</v>
      </c>
    </row>
    <row r="13" spans="1:22" ht="18" customHeight="1">
      <c r="A13" s="15">
        <v>12</v>
      </c>
      <c r="B13" s="16" t="s">
        <v>96</v>
      </c>
      <c r="C13" s="15">
        <v>40</v>
      </c>
      <c r="D13" s="15">
        <v>70</v>
      </c>
      <c r="E13" s="15">
        <v>3</v>
      </c>
      <c r="F13" s="17">
        <v>2301</v>
      </c>
      <c r="G13" s="16" t="s">
        <v>88</v>
      </c>
      <c r="H13" s="17">
        <v>12000</v>
      </c>
      <c r="I13" s="18" t="s">
        <v>74</v>
      </c>
      <c r="J13" s="16" t="s">
        <v>90</v>
      </c>
      <c r="K13" s="19">
        <v>500</v>
      </c>
      <c r="L13" s="34">
        <f>H13*1.005/K13+3</f>
        <v>27.119999999999997</v>
      </c>
      <c r="M13" s="21">
        <v>1</v>
      </c>
      <c r="N13" s="73">
        <f t="shared" si="1"/>
        <v>2.2123893805309738</v>
      </c>
      <c r="O13" s="74">
        <f>N13*21</f>
        <v>46.460176991150448</v>
      </c>
      <c r="P13" s="25">
        <v>0.8</v>
      </c>
      <c r="Q13" s="33">
        <f t="shared" si="0"/>
        <v>37.168141592920357</v>
      </c>
      <c r="R13" s="33">
        <f t="shared" si="2"/>
        <v>33.899999999999991</v>
      </c>
      <c r="S13" s="20">
        <v>10</v>
      </c>
      <c r="T13" s="33">
        <f t="shared" si="3"/>
        <v>371.68141592920358</v>
      </c>
    </row>
    <row r="14" spans="1:22" ht="18" hidden="1" customHeight="1">
      <c r="A14" s="15">
        <v>13</v>
      </c>
      <c r="B14" s="16" t="s">
        <v>95</v>
      </c>
      <c r="C14" s="15">
        <v>40</v>
      </c>
      <c r="D14" s="15">
        <v>70</v>
      </c>
      <c r="E14" s="15">
        <v>3</v>
      </c>
      <c r="F14" s="17">
        <v>2302</v>
      </c>
      <c r="G14" s="19" t="s">
        <v>325</v>
      </c>
      <c r="H14" s="17">
        <v>7000</v>
      </c>
      <c r="I14" s="18" t="s">
        <v>74</v>
      </c>
      <c r="J14" s="16" t="s">
        <v>89</v>
      </c>
      <c r="K14" s="16">
        <v>500</v>
      </c>
      <c r="L14" s="34">
        <f>H14*1.005/K14+3</f>
        <v>17.07</v>
      </c>
      <c r="M14" s="21">
        <v>1</v>
      </c>
      <c r="N14" s="73">
        <f t="shared" si="1"/>
        <v>3.5149384885764499</v>
      </c>
      <c r="O14" s="74">
        <f>N14*22.5</f>
        <v>79.086115992970122</v>
      </c>
      <c r="P14" s="24">
        <v>0.75</v>
      </c>
      <c r="Q14" s="33">
        <f t="shared" si="0"/>
        <v>59.314586994727591</v>
      </c>
      <c r="R14" s="33">
        <f t="shared" si="2"/>
        <v>22.76</v>
      </c>
      <c r="S14" s="20">
        <v>5</v>
      </c>
      <c r="T14" s="33">
        <f t="shared" si="3"/>
        <v>296.57293497363798</v>
      </c>
    </row>
    <row r="15" spans="1:22" ht="18" hidden="1" customHeight="1">
      <c r="A15" s="15">
        <v>14</v>
      </c>
      <c r="B15" s="16" t="s">
        <v>94</v>
      </c>
      <c r="C15" s="15">
        <v>40</v>
      </c>
      <c r="D15" s="15">
        <v>70</v>
      </c>
      <c r="E15" s="15">
        <v>3</v>
      </c>
      <c r="F15" s="17">
        <v>2303</v>
      </c>
      <c r="G15" s="16" t="s">
        <v>88</v>
      </c>
      <c r="H15" s="17">
        <v>1500</v>
      </c>
      <c r="I15" s="18" t="s">
        <v>74</v>
      </c>
      <c r="J15" s="16" t="s">
        <v>77</v>
      </c>
      <c r="K15" s="16">
        <v>700</v>
      </c>
      <c r="L15" s="34">
        <f>H15*1.005/K15+0.5</f>
        <v>2.653571428571428</v>
      </c>
      <c r="M15" s="21">
        <v>1</v>
      </c>
      <c r="N15" s="73">
        <f t="shared" si="1"/>
        <v>22.611036339165551</v>
      </c>
      <c r="O15" s="74">
        <f>N15*22.5</f>
        <v>508.74831763122489</v>
      </c>
      <c r="P15" s="25">
        <v>0.85</v>
      </c>
      <c r="Q15" s="33">
        <f t="shared" si="0"/>
        <v>432.43606998654116</v>
      </c>
      <c r="R15" s="33">
        <f t="shared" si="2"/>
        <v>3.1218487394957979</v>
      </c>
      <c r="S15" s="20">
        <v>4</v>
      </c>
      <c r="T15" s="33">
        <f t="shared" si="3"/>
        <v>1729.7442799461646</v>
      </c>
    </row>
    <row r="16" spans="1:22" ht="18" hidden="1" customHeight="1">
      <c r="A16" s="15">
        <v>15</v>
      </c>
      <c r="B16" s="16" t="s">
        <v>92</v>
      </c>
      <c r="C16" s="15">
        <v>40</v>
      </c>
      <c r="D16" s="15">
        <v>70</v>
      </c>
      <c r="E16" s="15">
        <v>3</v>
      </c>
      <c r="F16" s="17">
        <v>2304</v>
      </c>
      <c r="G16" s="16" t="s">
        <v>88</v>
      </c>
      <c r="H16" s="17">
        <v>500</v>
      </c>
      <c r="I16" s="18" t="s">
        <v>74</v>
      </c>
      <c r="J16" s="19" t="s">
        <v>93</v>
      </c>
      <c r="K16" s="16">
        <v>180</v>
      </c>
      <c r="L16" s="34">
        <f>H16*1.005/K16+3</f>
        <v>5.7916666666666661</v>
      </c>
      <c r="M16" s="21">
        <v>3</v>
      </c>
      <c r="N16" s="73">
        <f t="shared" si="1"/>
        <v>31.079136690647488</v>
      </c>
      <c r="O16" s="74">
        <f>N16*20</f>
        <v>621.58273381294975</v>
      </c>
      <c r="P16" s="25">
        <v>0.65</v>
      </c>
      <c r="Q16" s="33">
        <f t="shared" si="0"/>
        <v>404.02877697841734</v>
      </c>
      <c r="R16" s="33">
        <f t="shared" si="2"/>
        <v>8.9102564102564088</v>
      </c>
      <c r="S16" s="20">
        <v>4</v>
      </c>
      <c r="T16" s="33">
        <f t="shared" si="3"/>
        <v>1616.1151079136694</v>
      </c>
    </row>
    <row r="17" spans="1:20" ht="18" customHeight="1">
      <c r="A17" s="15">
        <v>16</v>
      </c>
      <c r="B17" s="16" t="s">
        <v>96</v>
      </c>
      <c r="C17" s="15">
        <v>40</v>
      </c>
      <c r="D17" s="15">
        <v>70</v>
      </c>
      <c r="E17" s="15">
        <v>3</v>
      </c>
      <c r="F17" s="17">
        <v>2305</v>
      </c>
      <c r="G17" s="16" t="s">
        <v>88</v>
      </c>
      <c r="H17" s="17">
        <v>10000</v>
      </c>
      <c r="I17" s="18" t="s">
        <v>74</v>
      </c>
      <c r="J17" s="16" t="s">
        <v>90</v>
      </c>
      <c r="K17" s="19">
        <v>500</v>
      </c>
      <c r="L17" s="34">
        <f>H17*1.005/K17+3</f>
        <v>23.099999999999998</v>
      </c>
      <c r="M17" s="21">
        <v>1</v>
      </c>
      <c r="N17" s="73">
        <f t="shared" si="1"/>
        <v>2.5974025974025978</v>
      </c>
      <c r="O17" s="74">
        <f>N17*21</f>
        <v>54.545454545454554</v>
      </c>
      <c r="P17" s="25">
        <v>0.75</v>
      </c>
      <c r="Q17" s="33">
        <f t="shared" si="0"/>
        <v>40.909090909090914</v>
      </c>
      <c r="R17" s="33">
        <f t="shared" si="2"/>
        <v>30.799999999999997</v>
      </c>
      <c r="S17" s="20">
        <v>10</v>
      </c>
      <c r="T17" s="33">
        <f t="shared" si="3"/>
        <v>409.09090909090912</v>
      </c>
    </row>
    <row r="18" spans="1:20" ht="18" hidden="1" customHeight="1">
      <c r="A18" s="15">
        <v>17</v>
      </c>
      <c r="B18" s="16" t="s">
        <v>99</v>
      </c>
      <c r="C18" s="15">
        <v>30</v>
      </c>
      <c r="D18" s="15">
        <v>90</v>
      </c>
      <c r="E18" s="15">
        <v>3</v>
      </c>
      <c r="F18" s="17">
        <v>2306</v>
      </c>
      <c r="G18" s="16" t="s">
        <v>98</v>
      </c>
      <c r="H18" s="17">
        <v>1500</v>
      </c>
      <c r="I18" s="18" t="s">
        <v>85</v>
      </c>
      <c r="J18" s="16" t="s">
        <v>77</v>
      </c>
      <c r="K18" s="16">
        <v>700</v>
      </c>
      <c r="L18" s="34">
        <f>H18*1.005/K18+0.5</f>
        <v>2.653571428571428</v>
      </c>
      <c r="M18" s="21">
        <v>1</v>
      </c>
      <c r="N18" s="73">
        <f t="shared" si="1"/>
        <v>22.611036339165551</v>
      </c>
      <c r="O18" s="74">
        <f>N18*22.5</f>
        <v>508.74831763122489</v>
      </c>
      <c r="P18" s="25">
        <v>0.85</v>
      </c>
      <c r="Q18" s="33">
        <f t="shared" si="0"/>
        <v>432.43606998654116</v>
      </c>
      <c r="R18" s="33">
        <f t="shared" si="2"/>
        <v>3.1218487394957979</v>
      </c>
      <c r="S18" s="9">
        <v>4</v>
      </c>
      <c r="T18" s="33">
        <f t="shared" si="3"/>
        <v>1729.7442799461646</v>
      </c>
    </row>
    <row r="19" spans="1:20" ht="18" customHeight="1">
      <c r="A19" s="15">
        <v>18</v>
      </c>
      <c r="B19" s="16" t="s">
        <v>97</v>
      </c>
      <c r="C19" s="15">
        <v>40</v>
      </c>
      <c r="D19" s="15">
        <v>70</v>
      </c>
      <c r="E19" s="15">
        <v>3</v>
      </c>
      <c r="F19" s="17">
        <v>2307</v>
      </c>
      <c r="G19" s="16" t="s">
        <v>173</v>
      </c>
      <c r="H19" s="17">
        <v>11470</v>
      </c>
      <c r="I19" s="18" t="s">
        <v>85</v>
      </c>
      <c r="J19" s="16" t="s">
        <v>90</v>
      </c>
      <c r="K19" s="19">
        <v>500</v>
      </c>
      <c r="L19" s="34">
        <f t="shared" ref="L19:L35" si="4">H19*1.005/K19+3</f>
        <v>26.054699999999997</v>
      </c>
      <c r="M19" s="21">
        <v>1</v>
      </c>
      <c r="N19" s="73">
        <f t="shared" si="1"/>
        <v>2.3028474708977655</v>
      </c>
      <c r="O19" s="74">
        <f>N19*21</f>
        <v>48.359796888853076</v>
      </c>
      <c r="P19" s="25">
        <v>0.8</v>
      </c>
      <c r="Q19" s="33">
        <f t="shared" si="0"/>
        <v>38.687837511082463</v>
      </c>
      <c r="R19" s="33">
        <f t="shared" si="2"/>
        <v>32.568374999999996</v>
      </c>
      <c r="S19" s="20">
        <v>10</v>
      </c>
      <c r="T19" s="33">
        <f t="shared" si="3"/>
        <v>386.87837511082466</v>
      </c>
    </row>
    <row r="20" spans="1:20" ht="18" customHeight="1">
      <c r="A20" s="15">
        <v>19</v>
      </c>
      <c r="B20" s="16" t="s">
        <v>100</v>
      </c>
      <c r="C20" s="15">
        <v>20</v>
      </c>
      <c r="D20" s="15">
        <v>135</v>
      </c>
      <c r="E20" s="15">
        <v>3</v>
      </c>
      <c r="F20" s="17">
        <v>2310</v>
      </c>
      <c r="G20" s="16" t="s">
        <v>88</v>
      </c>
      <c r="H20" s="17">
        <v>5000</v>
      </c>
      <c r="I20" s="18" t="s">
        <v>74</v>
      </c>
      <c r="J20" s="16" t="s">
        <v>90</v>
      </c>
      <c r="K20" s="19">
        <v>500</v>
      </c>
      <c r="L20" s="34">
        <f t="shared" si="4"/>
        <v>13.049999999999999</v>
      </c>
      <c r="M20" s="21">
        <v>1</v>
      </c>
      <c r="N20" s="73">
        <f t="shared" si="1"/>
        <v>4.597701149425288</v>
      </c>
      <c r="O20" s="74">
        <f>N20*21</f>
        <v>96.551724137931046</v>
      </c>
      <c r="P20" s="25">
        <v>0.7</v>
      </c>
      <c r="Q20" s="33">
        <f t="shared" si="0"/>
        <v>67.58620689655173</v>
      </c>
      <c r="R20" s="33">
        <f t="shared" si="2"/>
        <v>18.642857142857142</v>
      </c>
      <c r="S20" s="20">
        <v>10</v>
      </c>
      <c r="T20" s="33">
        <f t="shared" si="3"/>
        <v>675.86206896551732</v>
      </c>
    </row>
    <row r="21" spans="1:20" ht="18" hidden="1" customHeight="1">
      <c r="A21" s="15">
        <v>20</v>
      </c>
      <c r="B21" s="16" t="s">
        <v>101</v>
      </c>
      <c r="C21" s="15">
        <v>20</v>
      </c>
      <c r="D21" s="15">
        <v>135</v>
      </c>
      <c r="E21" s="15">
        <v>3</v>
      </c>
      <c r="F21" s="17">
        <v>2311</v>
      </c>
      <c r="G21" s="16" t="s">
        <v>88</v>
      </c>
      <c r="H21" s="17">
        <v>1000</v>
      </c>
      <c r="I21" s="18" t="s">
        <v>74</v>
      </c>
      <c r="J21" s="16" t="s">
        <v>83</v>
      </c>
      <c r="K21" s="16">
        <v>700</v>
      </c>
      <c r="L21" s="34">
        <f t="shared" ref="L21:L34" si="5">H21*1.005/K21+0.5</f>
        <v>1.9357142857142855</v>
      </c>
      <c r="M21" s="21">
        <v>1</v>
      </c>
      <c r="N21" s="73">
        <f t="shared" si="1"/>
        <v>30.996309963099634</v>
      </c>
      <c r="O21" s="74">
        <f t="shared" ref="O21:O27" si="6">N21*22.5</f>
        <v>697.41697416974171</v>
      </c>
      <c r="P21" s="25">
        <v>0.85</v>
      </c>
      <c r="Q21" s="33">
        <f t="shared" si="0"/>
        <v>592.80442804428048</v>
      </c>
      <c r="R21" s="33">
        <f t="shared" si="2"/>
        <v>2.2773109243697478</v>
      </c>
      <c r="S21" s="20">
        <v>6</v>
      </c>
      <c r="T21" s="33">
        <f t="shared" si="3"/>
        <v>3556.8265682656829</v>
      </c>
    </row>
    <row r="22" spans="1:20" ht="18" hidden="1" customHeight="1">
      <c r="A22" s="15">
        <v>21</v>
      </c>
      <c r="B22" s="16">
        <v>1106</v>
      </c>
      <c r="C22" s="16"/>
      <c r="D22" s="16">
        <v>73.149999999999991</v>
      </c>
      <c r="E22" s="16"/>
      <c r="F22" s="16">
        <v>2313</v>
      </c>
      <c r="G22" s="16" t="s">
        <v>220</v>
      </c>
      <c r="H22" s="16">
        <v>3000</v>
      </c>
      <c r="I22" s="16" t="s">
        <v>85</v>
      </c>
      <c r="J22" s="16" t="s">
        <v>214</v>
      </c>
      <c r="K22" s="16">
        <v>700</v>
      </c>
      <c r="L22" s="34">
        <f t="shared" si="5"/>
        <v>4.8071428571428561</v>
      </c>
      <c r="M22" s="16">
        <v>1</v>
      </c>
      <c r="N22" s="72">
        <f t="shared" si="1"/>
        <v>12.481426448737002</v>
      </c>
      <c r="O22" s="74">
        <f t="shared" si="6"/>
        <v>280.83209509658252</v>
      </c>
      <c r="P22" s="25">
        <v>0.85</v>
      </c>
      <c r="Q22" s="33">
        <f t="shared" si="0"/>
        <v>238.70728083209514</v>
      </c>
      <c r="R22" s="33">
        <f t="shared" si="2"/>
        <v>5.6554621848739481</v>
      </c>
      <c r="S22" s="20">
        <v>6</v>
      </c>
      <c r="T22" s="33">
        <f t="shared" si="3"/>
        <v>1432.2436849925707</v>
      </c>
    </row>
    <row r="23" spans="1:20" ht="18" hidden="1" customHeight="1">
      <c r="A23" s="15">
        <v>22</v>
      </c>
      <c r="B23" s="16">
        <v>1107</v>
      </c>
      <c r="C23" s="16"/>
      <c r="D23" s="16">
        <v>155.078</v>
      </c>
      <c r="E23" s="16"/>
      <c r="F23" s="16">
        <v>2314</v>
      </c>
      <c r="G23" s="16" t="s">
        <v>221</v>
      </c>
      <c r="H23" s="16">
        <v>1500</v>
      </c>
      <c r="I23" s="16" t="s">
        <v>85</v>
      </c>
      <c r="J23" s="16" t="s">
        <v>214</v>
      </c>
      <c r="K23" s="16">
        <v>700</v>
      </c>
      <c r="L23" s="34">
        <f t="shared" si="5"/>
        <v>2.653571428571428</v>
      </c>
      <c r="M23" s="16">
        <v>1</v>
      </c>
      <c r="N23" s="72">
        <f t="shared" si="1"/>
        <v>22.611036339165551</v>
      </c>
      <c r="O23" s="74">
        <f t="shared" si="6"/>
        <v>508.74831763122489</v>
      </c>
      <c r="P23" s="25">
        <v>0.85</v>
      </c>
      <c r="Q23" s="33">
        <f t="shared" si="0"/>
        <v>432.43606998654116</v>
      </c>
      <c r="R23" s="33">
        <f t="shared" si="2"/>
        <v>3.1218487394957979</v>
      </c>
      <c r="S23" s="20">
        <v>6</v>
      </c>
      <c r="T23" s="33">
        <f t="shared" si="3"/>
        <v>2594.6164199192472</v>
      </c>
    </row>
    <row r="24" spans="1:20" ht="18" hidden="1" customHeight="1">
      <c r="A24" s="15">
        <v>23</v>
      </c>
      <c r="B24" s="16">
        <v>2853</v>
      </c>
      <c r="C24" s="16"/>
      <c r="D24" s="16">
        <v>73.149999999999991</v>
      </c>
      <c r="E24" s="16"/>
      <c r="F24" s="16">
        <v>2315</v>
      </c>
      <c r="G24" s="16" t="s">
        <v>222</v>
      </c>
      <c r="H24" s="16">
        <v>3000</v>
      </c>
      <c r="I24" s="16" t="s">
        <v>85</v>
      </c>
      <c r="J24" s="16" t="s">
        <v>214</v>
      </c>
      <c r="K24" s="16">
        <v>700</v>
      </c>
      <c r="L24" s="34">
        <f t="shared" si="5"/>
        <v>4.8071428571428561</v>
      </c>
      <c r="M24" s="16">
        <v>1</v>
      </c>
      <c r="N24" s="72">
        <f t="shared" si="1"/>
        <v>12.481426448737002</v>
      </c>
      <c r="O24" s="74">
        <f t="shared" si="6"/>
        <v>280.83209509658252</v>
      </c>
      <c r="P24" s="25">
        <v>0.85</v>
      </c>
      <c r="Q24" s="33">
        <f t="shared" si="0"/>
        <v>238.70728083209514</v>
      </c>
      <c r="R24" s="33">
        <f t="shared" si="2"/>
        <v>5.6554621848739481</v>
      </c>
      <c r="S24" s="20">
        <v>6</v>
      </c>
      <c r="T24" s="33">
        <f t="shared" si="3"/>
        <v>1432.2436849925707</v>
      </c>
    </row>
    <row r="25" spans="1:20" ht="18" hidden="1" customHeight="1">
      <c r="A25" s="15">
        <v>24</v>
      </c>
      <c r="B25" s="16">
        <v>2851</v>
      </c>
      <c r="C25" s="16"/>
      <c r="D25" s="16">
        <v>146.29999999999998</v>
      </c>
      <c r="E25" s="16"/>
      <c r="F25" s="16">
        <v>2316</v>
      </c>
      <c r="G25" s="16" t="s">
        <v>223</v>
      </c>
      <c r="H25" s="16">
        <v>1500</v>
      </c>
      <c r="I25" s="16" t="s">
        <v>85</v>
      </c>
      <c r="J25" s="16" t="s">
        <v>214</v>
      </c>
      <c r="K25" s="16">
        <v>700</v>
      </c>
      <c r="L25" s="34">
        <f t="shared" si="5"/>
        <v>2.653571428571428</v>
      </c>
      <c r="M25" s="16">
        <v>1</v>
      </c>
      <c r="N25" s="72">
        <f t="shared" si="1"/>
        <v>22.611036339165551</v>
      </c>
      <c r="O25" s="74">
        <f t="shared" si="6"/>
        <v>508.74831763122489</v>
      </c>
      <c r="P25" s="25">
        <v>0.85</v>
      </c>
      <c r="Q25" s="33">
        <f t="shared" si="0"/>
        <v>432.43606998654116</v>
      </c>
      <c r="R25" s="33">
        <f t="shared" si="2"/>
        <v>3.1218487394957979</v>
      </c>
      <c r="S25" s="20">
        <v>6</v>
      </c>
      <c r="T25" s="33">
        <f t="shared" si="3"/>
        <v>2594.6164199192472</v>
      </c>
    </row>
    <row r="26" spans="1:20" ht="18" hidden="1" customHeight="1">
      <c r="A26" s="15">
        <v>25</v>
      </c>
      <c r="B26" s="16">
        <v>1380</v>
      </c>
      <c r="C26" s="16"/>
      <c r="D26" s="16">
        <v>292.59999999999997</v>
      </c>
      <c r="E26" s="16"/>
      <c r="F26" s="16">
        <v>2317</v>
      </c>
      <c r="G26" s="16" t="s">
        <v>224</v>
      </c>
      <c r="H26" s="16">
        <v>1000</v>
      </c>
      <c r="I26" s="16" t="s">
        <v>85</v>
      </c>
      <c r="J26" s="16" t="s">
        <v>214</v>
      </c>
      <c r="K26" s="16">
        <v>600</v>
      </c>
      <c r="L26" s="34">
        <f t="shared" si="5"/>
        <v>2.1749999999999998</v>
      </c>
      <c r="M26" s="16">
        <v>1</v>
      </c>
      <c r="N26" s="72">
        <f t="shared" si="1"/>
        <v>27.586206896551726</v>
      </c>
      <c r="O26" s="74">
        <f t="shared" si="6"/>
        <v>620.68965517241384</v>
      </c>
      <c r="P26" s="67">
        <v>0.85</v>
      </c>
      <c r="Q26" s="33">
        <f t="shared" si="0"/>
        <v>527.58620689655174</v>
      </c>
      <c r="R26" s="33">
        <f t="shared" si="2"/>
        <v>2.5588235294117645</v>
      </c>
      <c r="S26" s="20">
        <v>6</v>
      </c>
      <c r="T26" s="33">
        <f t="shared" si="3"/>
        <v>3165.5172413793107</v>
      </c>
    </row>
    <row r="27" spans="1:20" ht="18" hidden="1" customHeight="1">
      <c r="A27" s="15">
        <v>26</v>
      </c>
      <c r="B27" s="16">
        <v>1377</v>
      </c>
      <c r="C27" s="16"/>
      <c r="D27" s="16">
        <v>174.16666666666666</v>
      </c>
      <c r="E27" s="16"/>
      <c r="F27" s="16">
        <v>2318</v>
      </c>
      <c r="G27" s="16" t="s">
        <v>225</v>
      </c>
      <c r="H27" s="16">
        <v>1500</v>
      </c>
      <c r="I27" s="16" t="s">
        <v>85</v>
      </c>
      <c r="J27" s="16" t="s">
        <v>214</v>
      </c>
      <c r="K27" s="16">
        <v>600</v>
      </c>
      <c r="L27" s="34">
        <f t="shared" si="5"/>
        <v>3.0124999999999997</v>
      </c>
      <c r="M27" s="16">
        <v>1</v>
      </c>
      <c r="N27" s="72">
        <f t="shared" si="1"/>
        <v>19.91701244813278</v>
      </c>
      <c r="O27" s="74">
        <f t="shared" si="6"/>
        <v>448.13278008298755</v>
      </c>
      <c r="P27" s="25">
        <v>0.85</v>
      </c>
      <c r="Q27" s="33">
        <f t="shared" si="0"/>
        <v>380.9128630705394</v>
      </c>
      <c r="R27" s="33">
        <f t="shared" si="2"/>
        <v>3.5441176470588234</v>
      </c>
      <c r="S27" s="20">
        <v>6</v>
      </c>
      <c r="T27" s="33">
        <f t="shared" si="3"/>
        <v>2285.4771784232362</v>
      </c>
    </row>
    <row r="28" spans="1:20" ht="18" hidden="1" customHeight="1">
      <c r="A28" s="15">
        <v>27</v>
      </c>
      <c r="B28" s="16">
        <v>2855</v>
      </c>
      <c r="C28" s="16"/>
      <c r="D28" s="16">
        <v>73.149999999999991</v>
      </c>
      <c r="E28" s="16"/>
      <c r="F28" s="16">
        <v>2319</v>
      </c>
      <c r="G28" s="16" t="s">
        <v>226</v>
      </c>
      <c r="H28" s="16">
        <v>6500</v>
      </c>
      <c r="I28" s="16" t="s">
        <v>85</v>
      </c>
      <c r="J28" s="16" t="s">
        <v>210</v>
      </c>
      <c r="K28" s="16">
        <v>500</v>
      </c>
      <c r="L28" s="16">
        <f t="shared" si="4"/>
        <v>16.064999999999998</v>
      </c>
      <c r="M28" s="16">
        <v>1</v>
      </c>
      <c r="N28" s="72">
        <f t="shared" si="1"/>
        <v>3.7348272642390294</v>
      </c>
      <c r="O28" s="72">
        <f>N28*21</f>
        <v>78.431372549019613</v>
      </c>
      <c r="P28" s="25">
        <v>0.75</v>
      </c>
      <c r="Q28" s="33">
        <f t="shared" si="0"/>
        <v>58.82352941176471</v>
      </c>
      <c r="R28" s="33">
        <f t="shared" si="2"/>
        <v>21.419999999999998</v>
      </c>
      <c r="S28" s="20">
        <v>5</v>
      </c>
      <c r="T28" s="33">
        <f t="shared" si="3"/>
        <v>294.11764705882354</v>
      </c>
    </row>
    <row r="29" spans="1:20" ht="18" hidden="1" customHeight="1">
      <c r="A29" s="15">
        <v>28</v>
      </c>
      <c r="B29" s="16" t="s">
        <v>215</v>
      </c>
      <c r="C29" s="16">
        <v>20</v>
      </c>
      <c r="D29" s="16">
        <v>135</v>
      </c>
      <c r="E29" s="16">
        <v>3</v>
      </c>
      <c r="F29" s="16">
        <v>2320</v>
      </c>
      <c r="G29" s="16" t="s">
        <v>223</v>
      </c>
      <c r="H29" s="16">
        <v>1000</v>
      </c>
      <c r="I29" s="16" t="s">
        <v>85</v>
      </c>
      <c r="J29" s="16" t="s">
        <v>214</v>
      </c>
      <c r="K29" s="16">
        <v>700</v>
      </c>
      <c r="L29" s="34">
        <f t="shared" si="5"/>
        <v>1.9357142857142855</v>
      </c>
      <c r="M29" s="16">
        <v>1</v>
      </c>
      <c r="N29" s="72">
        <f t="shared" si="1"/>
        <v>30.996309963099634</v>
      </c>
      <c r="O29" s="74">
        <f>N29*22.5</f>
        <v>697.41697416974171</v>
      </c>
      <c r="P29" s="67">
        <v>0.85</v>
      </c>
      <c r="Q29" s="33">
        <f t="shared" si="0"/>
        <v>592.80442804428048</v>
      </c>
      <c r="R29" s="33">
        <f t="shared" si="2"/>
        <v>2.2773109243697478</v>
      </c>
      <c r="S29" s="20">
        <v>6</v>
      </c>
      <c r="T29" s="33">
        <f t="shared" si="3"/>
        <v>3556.8265682656829</v>
      </c>
    </row>
    <row r="30" spans="1:20" ht="18" hidden="1" customHeight="1">
      <c r="A30" s="15">
        <v>29</v>
      </c>
      <c r="B30" s="16">
        <v>2852</v>
      </c>
      <c r="C30" s="16"/>
      <c r="D30" s="16">
        <v>87.083333333333329</v>
      </c>
      <c r="E30" s="16"/>
      <c r="F30" s="16">
        <v>2321</v>
      </c>
      <c r="G30" s="16" t="s">
        <v>227</v>
      </c>
      <c r="H30" s="16">
        <v>1500</v>
      </c>
      <c r="I30" s="16" t="s">
        <v>85</v>
      </c>
      <c r="J30" s="16" t="s">
        <v>214</v>
      </c>
      <c r="K30" s="16">
        <v>700</v>
      </c>
      <c r="L30" s="34">
        <f t="shared" si="5"/>
        <v>2.653571428571428</v>
      </c>
      <c r="M30" s="16">
        <v>1</v>
      </c>
      <c r="N30" s="72">
        <f t="shared" si="1"/>
        <v>22.611036339165551</v>
      </c>
      <c r="O30" s="74">
        <f>N30*22.5</f>
        <v>508.74831763122489</v>
      </c>
      <c r="P30" s="25">
        <v>0.85</v>
      </c>
      <c r="Q30" s="33">
        <f t="shared" si="0"/>
        <v>432.43606998654116</v>
      </c>
      <c r="R30" s="33">
        <f t="shared" si="2"/>
        <v>3.1218487394957979</v>
      </c>
      <c r="S30" s="20">
        <v>6</v>
      </c>
      <c r="T30" s="33">
        <f t="shared" si="3"/>
        <v>2594.6164199192472</v>
      </c>
    </row>
    <row r="31" spans="1:20" ht="18" hidden="1" customHeight="1">
      <c r="A31" s="15">
        <v>30</v>
      </c>
      <c r="B31" s="16">
        <v>2854</v>
      </c>
      <c r="C31" s="16"/>
      <c r="D31" s="16">
        <v>52.249999999999993</v>
      </c>
      <c r="E31" s="16"/>
      <c r="F31" s="16">
        <v>2322</v>
      </c>
      <c r="G31" s="16" t="s">
        <v>227</v>
      </c>
      <c r="H31" s="16">
        <v>3000</v>
      </c>
      <c r="I31" s="16" t="s">
        <v>85</v>
      </c>
      <c r="J31" s="16" t="s">
        <v>214</v>
      </c>
      <c r="K31" s="16">
        <v>700</v>
      </c>
      <c r="L31" s="34">
        <f t="shared" si="5"/>
        <v>4.8071428571428561</v>
      </c>
      <c r="M31" s="16">
        <v>1</v>
      </c>
      <c r="N31" s="72">
        <f t="shared" si="1"/>
        <v>12.481426448737002</v>
      </c>
      <c r="O31" s="74">
        <f>N31*22.5</f>
        <v>280.83209509658252</v>
      </c>
      <c r="P31" s="67">
        <v>0.85</v>
      </c>
      <c r="Q31" s="33">
        <f t="shared" si="0"/>
        <v>238.70728083209514</v>
      </c>
      <c r="R31" s="33">
        <f t="shared" si="2"/>
        <v>5.6554621848739481</v>
      </c>
      <c r="S31" s="20">
        <v>6</v>
      </c>
      <c r="T31" s="33">
        <f t="shared" si="3"/>
        <v>1432.2436849925707</v>
      </c>
    </row>
    <row r="32" spans="1:20" ht="18" hidden="1" customHeight="1">
      <c r="A32" s="15">
        <v>31</v>
      </c>
      <c r="B32" s="16" t="s">
        <v>216</v>
      </c>
      <c r="C32" s="16">
        <v>20</v>
      </c>
      <c r="D32" s="16">
        <v>135</v>
      </c>
      <c r="E32" s="16">
        <v>3</v>
      </c>
      <c r="F32" s="16">
        <v>2323</v>
      </c>
      <c r="G32" s="16" t="s">
        <v>227</v>
      </c>
      <c r="H32" s="16">
        <v>1500</v>
      </c>
      <c r="I32" s="16" t="s">
        <v>85</v>
      </c>
      <c r="J32" s="16" t="s">
        <v>214</v>
      </c>
      <c r="K32" s="16">
        <v>700</v>
      </c>
      <c r="L32" s="34">
        <f t="shared" si="5"/>
        <v>2.653571428571428</v>
      </c>
      <c r="M32" s="16">
        <v>1</v>
      </c>
      <c r="N32" s="72">
        <f t="shared" si="1"/>
        <v>22.611036339165551</v>
      </c>
      <c r="O32" s="75">
        <f>N32*21</f>
        <v>474.83176312247656</v>
      </c>
      <c r="P32" s="25">
        <v>0.85</v>
      </c>
      <c r="Q32" s="69">
        <f t="shared" si="0"/>
        <v>403.60699865410504</v>
      </c>
      <c r="R32" s="69">
        <f t="shared" si="2"/>
        <v>3.1218487394957979</v>
      </c>
      <c r="S32" s="20">
        <v>6</v>
      </c>
      <c r="T32" s="69">
        <f t="shared" si="3"/>
        <v>2421.64199192463</v>
      </c>
    </row>
    <row r="33" spans="1:20" ht="25.9" hidden="1" customHeight="1">
      <c r="A33" s="15">
        <v>32</v>
      </c>
      <c r="B33" s="16" t="s">
        <v>217</v>
      </c>
      <c r="C33" s="16">
        <v>40</v>
      </c>
      <c r="D33" s="16">
        <v>70</v>
      </c>
      <c r="E33" s="16">
        <v>3</v>
      </c>
      <c r="F33" s="16">
        <v>2324</v>
      </c>
      <c r="G33" s="16" t="s">
        <v>227</v>
      </c>
      <c r="H33" s="16">
        <v>3000</v>
      </c>
      <c r="I33" s="16" t="s">
        <v>85</v>
      </c>
      <c r="J33" s="16" t="s">
        <v>214</v>
      </c>
      <c r="K33" s="16">
        <v>700</v>
      </c>
      <c r="L33" s="34">
        <f t="shared" si="5"/>
        <v>4.8071428571428561</v>
      </c>
      <c r="M33" s="16">
        <v>1</v>
      </c>
      <c r="N33" s="72">
        <f t="shared" si="1"/>
        <v>12.481426448737002</v>
      </c>
      <c r="O33" s="75">
        <f>N33*21</f>
        <v>262.10995542347706</v>
      </c>
      <c r="P33" s="66">
        <v>0.85</v>
      </c>
      <c r="Q33" s="69">
        <f t="shared" si="0"/>
        <v>222.7934621099555</v>
      </c>
      <c r="R33" s="69">
        <f t="shared" si="2"/>
        <v>5.6554621848739481</v>
      </c>
      <c r="S33" s="20">
        <v>6</v>
      </c>
      <c r="T33" s="69">
        <f t="shared" si="3"/>
        <v>1336.760772659733</v>
      </c>
    </row>
    <row r="34" spans="1:20" ht="28.9" hidden="1" customHeight="1">
      <c r="A34" s="15">
        <v>33</v>
      </c>
      <c r="B34" s="16" t="s">
        <v>218</v>
      </c>
      <c r="C34" s="16">
        <v>8</v>
      </c>
      <c r="D34" s="16">
        <v>350</v>
      </c>
      <c r="E34" s="16">
        <v>3</v>
      </c>
      <c r="F34" s="16">
        <v>2325</v>
      </c>
      <c r="G34" s="16" t="s">
        <v>98</v>
      </c>
      <c r="H34" s="16">
        <v>500</v>
      </c>
      <c r="I34" s="16" t="s">
        <v>85</v>
      </c>
      <c r="J34" s="16" t="s">
        <v>214</v>
      </c>
      <c r="K34" s="16">
        <v>500</v>
      </c>
      <c r="L34" s="34">
        <f t="shared" si="5"/>
        <v>1.5049999999999999</v>
      </c>
      <c r="M34" s="16">
        <v>1</v>
      </c>
      <c r="N34" s="72">
        <f t="shared" si="1"/>
        <v>39.867109634551497</v>
      </c>
      <c r="O34" s="75">
        <f>N34*21</f>
        <v>837.20930232558146</v>
      </c>
      <c r="P34" s="25">
        <v>0.85</v>
      </c>
      <c r="Q34" s="69">
        <f t="shared" ref="Q34:Q59" si="7">O34*P34</f>
        <v>711.62790697674427</v>
      </c>
      <c r="R34" s="69">
        <f t="shared" si="2"/>
        <v>1.7705882352941176</v>
      </c>
      <c r="S34" s="20">
        <v>6</v>
      </c>
      <c r="T34" s="69">
        <f t="shared" si="3"/>
        <v>4269.7674418604656</v>
      </c>
    </row>
    <row r="35" spans="1:20" ht="37.9" hidden="1" customHeight="1">
      <c r="A35" s="15">
        <v>34</v>
      </c>
      <c r="B35" s="16" t="s">
        <v>217</v>
      </c>
      <c r="C35" s="16">
        <v>40</v>
      </c>
      <c r="D35" s="16">
        <v>70</v>
      </c>
      <c r="E35" s="16">
        <v>3</v>
      </c>
      <c r="F35" s="16">
        <v>2326</v>
      </c>
      <c r="G35" s="16" t="s">
        <v>98</v>
      </c>
      <c r="H35" s="16">
        <v>1500</v>
      </c>
      <c r="I35" s="16" t="s">
        <v>85</v>
      </c>
      <c r="J35" s="16" t="s">
        <v>80</v>
      </c>
      <c r="K35" s="16">
        <v>700</v>
      </c>
      <c r="L35" s="34">
        <f t="shared" si="4"/>
        <v>5.1535714285714285</v>
      </c>
      <c r="M35" s="16">
        <v>1</v>
      </c>
      <c r="N35" s="72">
        <f t="shared" si="1"/>
        <v>11.642411642411643</v>
      </c>
      <c r="O35" s="75">
        <f>N35*21</f>
        <v>244.49064449064451</v>
      </c>
      <c r="P35" s="25">
        <v>0.85</v>
      </c>
      <c r="Q35" s="69">
        <f t="shared" si="7"/>
        <v>207.81704781704784</v>
      </c>
      <c r="R35" s="69">
        <f t="shared" si="2"/>
        <v>6.0630252100840334</v>
      </c>
      <c r="S35" s="70">
        <v>4</v>
      </c>
      <c r="T35" s="69">
        <f t="shared" si="3"/>
        <v>831.26819126819134</v>
      </c>
    </row>
    <row r="36" spans="1:20" ht="25.9" hidden="1" customHeight="1">
      <c r="A36" s="15">
        <v>35</v>
      </c>
      <c r="B36" s="16" t="s">
        <v>79</v>
      </c>
      <c r="C36" s="15">
        <v>60</v>
      </c>
      <c r="D36" s="15">
        <v>45</v>
      </c>
      <c r="E36" s="15">
        <v>2</v>
      </c>
      <c r="F36" s="17">
        <v>3201</v>
      </c>
      <c r="G36" s="16" t="s">
        <v>73</v>
      </c>
      <c r="H36" s="17">
        <v>1000</v>
      </c>
      <c r="I36" s="18" t="s">
        <v>74</v>
      </c>
      <c r="J36" s="19" t="s">
        <v>80</v>
      </c>
      <c r="K36" s="16">
        <v>700</v>
      </c>
      <c r="L36" s="34">
        <f>H36*1.005/K36+0.5</f>
        <v>1.9357142857142855</v>
      </c>
      <c r="M36" s="21">
        <v>1</v>
      </c>
      <c r="N36" s="73">
        <f t="shared" si="1"/>
        <v>30.996309963099634</v>
      </c>
      <c r="O36" s="74">
        <f>N36*22.5</f>
        <v>697.41697416974171</v>
      </c>
      <c r="P36" s="25">
        <v>0.85</v>
      </c>
      <c r="Q36" s="33">
        <f t="shared" si="7"/>
        <v>592.80442804428048</v>
      </c>
      <c r="R36" s="33">
        <f t="shared" si="2"/>
        <v>2.2773109243697478</v>
      </c>
      <c r="S36" s="20">
        <v>4</v>
      </c>
      <c r="T36" s="33">
        <f t="shared" si="3"/>
        <v>2371.2177121771219</v>
      </c>
    </row>
    <row r="37" spans="1:20" ht="22.5" hidden="1">
      <c r="A37" s="15">
        <v>36</v>
      </c>
      <c r="B37" s="16" t="s">
        <v>81</v>
      </c>
      <c r="C37" s="15">
        <v>60</v>
      </c>
      <c r="D37" s="15">
        <v>45</v>
      </c>
      <c r="E37" s="15">
        <v>2</v>
      </c>
      <c r="F37" s="17">
        <v>3202</v>
      </c>
      <c r="G37" s="16" t="s">
        <v>73</v>
      </c>
      <c r="H37" s="17">
        <v>2000</v>
      </c>
      <c r="I37" s="18" t="s">
        <v>74</v>
      </c>
      <c r="J37" s="16" t="s">
        <v>77</v>
      </c>
      <c r="K37" s="16">
        <v>700</v>
      </c>
      <c r="L37" s="34">
        <f>H37*1.005/K37+0.5</f>
        <v>3.371428571428571</v>
      </c>
      <c r="M37" s="21">
        <v>1</v>
      </c>
      <c r="N37" s="73">
        <f t="shared" si="1"/>
        <v>17.796610169491526</v>
      </c>
      <c r="O37" s="74">
        <f>N37*22.5</f>
        <v>400.42372881355931</v>
      </c>
      <c r="P37" s="25">
        <v>0.85</v>
      </c>
      <c r="Q37" s="33">
        <f t="shared" si="7"/>
        <v>340.36016949152543</v>
      </c>
      <c r="R37" s="33">
        <f t="shared" si="2"/>
        <v>3.9663865546218484</v>
      </c>
      <c r="S37" s="20">
        <v>4</v>
      </c>
      <c r="T37" s="33">
        <f t="shared" si="3"/>
        <v>1361.4406779661017</v>
      </c>
    </row>
    <row r="38" spans="1:20" hidden="1">
      <c r="A38" s="15">
        <v>37</v>
      </c>
      <c r="B38" s="16" t="s">
        <v>232</v>
      </c>
      <c r="C38" s="16">
        <v>60</v>
      </c>
      <c r="D38" s="16">
        <v>50</v>
      </c>
      <c r="E38" s="16">
        <v>3</v>
      </c>
      <c r="F38" s="16">
        <v>3203</v>
      </c>
      <c r="G38" s="16" t="s">
        <v>228</v>
      </c>
      <c r="H38" s="16">
        <v>500</v>
      </c>
      <c r="I38" s="16" t="s">
        <v>85</v>
      </c>
      <c r="J38" s="16" t="s">
        <v>75</v>
      </c>
      <c r="K38" s="16">
        <v>180</v>
      </c>
      <c r="L38" s="34">
        <f>H38*1.005/K38+3</f>
        <v>5.7916666666666661</v>
      </c>
      <c r="M38" s="16">
        <v>3</v>
      </c>
      <c r="N38" s="73">
        <f t="shared" si="1"/>
        <v>31.079136690647488</v>
      </c>
      <c r="O38" s="72">
        <f>N38*20</f>
        <v>621.58273381294975</v>
      </c>
      <c r="P38" s="68">
        <v>0.65</v>
      </c>
      <c r="Q38" s="69">
        <f t="shared" si="7"/>
        <v>404.02877697841734</v>
      </c>
      <c r="R38" s="69">
        <f t="shared" si="2"/>
        <v>8.9102564102564088</v>
      </c>
      <c r="S38" s="70">
        <v>4</v>
      </c>
      <c r="T38" s="69">
        <f t="shared" si="3"/>
        <v>1616.1151079136694</v>
      </c>
    </row>
    <row r="39" spans="1:20" hidden="1">
      <c r="A39" s="15">
        <v>38</v>
      </c>
      <c r="B39" s="16" t="s">
        <v>72</v>
      </c>
      <c r="C39" s="15">
        <v>40</v>
      </c>
      <c r="D39" s="15">
        <v>70</v>
      </c>
      <c r="E39" s="15">
        <v>3</v>
      </c>
      <c r="F39" s="17">
        <v>3301</v>
      </c>
      <c r="G39" s="16" t="s">
        <v>73</v>
      </c>
      <c r="H39" s="17">
        <v>500</v>
      </c>
      <c r="I39" s="18" t="s">
        <v>74</v>
      </c>
      <c r="J39" s="16" t="s">
        <v>75</v>
      </c>
      <c r="K39" s="16">
        <v>180</v>
      </c>
      <c r="L39" s="34">
        <f>H39*1.005/K39+3</f>
        <v>5.7916666666666661</v>
      </c>
      <c r="M39" s="21">
        <v>3</v>
      </c>
      <c r="N39" s="73">
        <f t="shared" si="1"/>
        <v>31.079136690647488</v>
      </c>
      <c r="O39" s="74">
        <f>N39*20</f>
        <v>621.58273381294975</v>
      </c>
      <c r="P39" s="25">
        <v>0.65</v>
      </c>
      <c r="Q39" s="33">
        <f t="shared" si="7"/>
        <v>404.02877697841734</v>
      </c>
      <c r="R39" s="33">
        <f t="shared" si="2"/>
        <v>8.9102564102564088</v>
      </c>
      <c r="S39" s="20">
        <v>4</v>
      </c>
      <c r="T39" s="33">
        <f t="shared" si="3"/>
        <v>1616.1151079136694</v>
      </c>
    </row>
    <row r="40" spans="1:20" hidden="1">
      <c r="A40" s="15">
        <v>39</v>
      </c>
      <c r="B40" s="16" t="s">
        <v>76</v>
      </c>
      <c r="C40" s="15">
        <v>40</v>
      </c>
      <c r="D40" s="15">
        <v>70</v>
      </c>
      <c r="E40" s="15">
        <v>3</v>
      </c>
      <c r="F40" s="17">
        <v>3302</v>
      </c>
      <c r="G40" s="16" t="s">
        <v>73</v>
      </c>
      <c r="H40" s="17">
        <v>1500</v>
      </c>
      <c r="I40" s="18" t="s">
        <v>74</v>
      </c>
      <c r="J40" s="16" t="s">
        <v>77</v>
      </c>
      <c r="K40" s="16">
        <v>700</v>
      </c>
      <c r="L40" s="34">
        <f>H40*1.005/K40+0.5</f>
        <v>2.653571428571428</v>
      </c>
      <c r="M40" s="21">
        <v>1</v>
      </c>
      <c r="N40" s="73">
        <f t="shared" si="1"/>
        <v>22.611036339165551</v>
      </c>
      <c r="O40" s="74">
        <f>N40*22.5</f>
        <v>508.74831763122489</v>
      </c>
      <c r="P40" s="25">
        <v>0.85</v>
      </c>
      <c r="Q40" s="33">
        <f t="shared" si="7"/>
        <v>432.43606998654116</v>
      </c>
      <c r="R40" s="33">
        <f t="shared" si="2"/>
        <v>3.1218487394957979</v>
      </c>
      <c r="S40" s="20">
        <v>4</v>
      </c>
      <c r="T40" s="33">
        <f t="shared" si="3"/>
        <v>1729.7442799461646</v>
      </c>
    </row>
    <row r="41" spans="1:20" hidden="1">
      <c r="A41" s="15">
        <v>40</v>
      </c>
      <c r="B41" s="16" t="s">
        <v>78</v>
      </c>
      <c r="C41" s="15">
        <v>40</v>
      </c>
      <c r="D41" s="15">
        <v>70</v>
      </c>
      <c r="E41" s="15">
        <v>3</v>
      </c>
      <c r="F41" s="17">
        <v>3303</v>
      </c>
      <c r="G41" s="16" t="s">
        <v>73</v>
      </c>
      <c r="H41" s="17">
        <v>1000</v>
      </c>
      <c r="I41" s="18" t="s">
        <v>74</v>
      </c>
      <c r="J41" s="16" t="s">
        <v>77</v>
      </c>
      <c r="K41" s="16">
        <v>700</v>
      </c>
      <c r="L41" s="34">
        <f>H41*1.005/K41+0.5</f>
        <v>1.9357142857142855</v>
      </c>
      <c r="M41" s="21">
        <v>1</v>
      </c>
      <c r="N41" s="73">
        <f t="shared" si="1"/>
        <v>30.996309963099634</v>
      </c>
      <c r="O41" s="74">
        <f>N41*22.5</f>
        <v>697.41697416974171</v>
      </c>
      <c r="P41" s="25">
        <v>0.85</v>
      </c>
      <c r="Q41" s="33">
        <f t="shared" si="7"/>
        <v>592.80442804428048</v>
      </c>
      <c r="R41" s="33">
        <f t="shared" si="2"/>
        <v>2.2773109243697478</v>
      </c>
      <c r="S41" s="20">
        <v>4</v>
      </c>
      <c r="T41" s="33">
        <f t="shared" si="3"/>
        <v>2371.2177121771219</v>
      </c>
    </row>
    <row r="42" spans="1:20" hidden="1">
      <c r="A42" s="15">
        <v>41</v>
      </c>
      <c r="B42" s="16" t="s">
        <v>219</v>
      </c>
      <c r="C42" s="16">
        <v>20</v>
      </c>
      <c r="D42" s="16">
        <v>135</v>
      </c>
      <c r="E42" s="16">
        <v>3</v>
      </c>
      <c r="F42" s="16">
        <v>3304</v>
      </c>
      <c r="G42" s="16" t="s">
        <v>228</v>
      </c>
      <c r="H42" s="16">
        <v>500</v>
      </c>
      <c r="I42" s="16" t="s">
        <v>85</v>
      </c>
      <c r="J42" s="16" t="s">
        <v>80</v>
      </c>
      <c r="K42" s="16">
        <v>700</v>
      </c>
      <c r="L42" s="34">
        <f>H42*1.005/K42+3</f>
        <v>3.7178571428571425</v>
      </c>
      <c r="M42" s="16">
        <v>1</v>
      </c>
      <c r="N42" s="16">
        <f t="shared" si="1"/>
        <v>16.138328530259368</v>
      </c>
      <c r="O42" s="72">
        <f>N42*21</f>
        <v>338.90489913544673</v>
      </c>
      <c r="P42" s="68">
        <v>0.8</v>
      </c>
      <c r="Q42" s="69">
        <f t="shared" si="7"/>
        <v>271.12391930835742</v>
      </c>
      <c r="R42" s="69">
        <f t="shared" si="2"/>
        <v>4.6473214285714279</v>
      </c>
      <c r="S42" s="70">
        <v>4</v>
      </c>
      <c r="T42" s="69">
        <f t="shared" si="3"/>
        <v>1084.4956772334297</v>
      </c>
    </row>
    <row r="43" spans="1:20" hidden="1">
      <c r="A43" s="15">
        <v>42</v>
      </c>
      <c r="B43" s="16" t="s">
        <v>82</v>
      </c>
      <c r="C43" s="15">
        <v>20</v>
      </c>
      <c r="D43" s="15">
        <v>135</v>
      </c>
      <c r="E43" s="15">
        <v>3</v>
      </c>
      <c r="F43" s="17">
        <v>3310</v>
      </c>
      <c r="G43" s="16" t="s">
        <v>73</v>
      </c>
      <c r="H43" s="17">
        <v>1000</v>
      </c>
      <c r="I43" s="18" t="s">
        <v>74</v>
      </c>
      <c r="J43" s="16" t="s">
        <v>83</v>
      </c>
      <c r="K43" s="16">
        <v>700</v>
      </c>
      <c r="L43" s="34">
        <f t="shared" ref="L43:L44" si="8">H43*1.005/K43+0.5</f>
        <v>1.9357142857142855</v>
      </c>
      <c r="M43" s="21">
        <v>1</v>
      </c>
      <c r="N43" s="73">
        <f t="shared" si="1"/>
        <v>30.996309963099634</v>
      </c>
      <c r="O43" s="74">
        <f t="shared" ref="O43:O58" si="9">N43*22.5</f>
        <v>697.41697416974171</v>
      </c>
      <c r="P43" s="25">
        <v>0.85</v>
      </c>
      <c r="Q43" s="33">
        <f t="shared" si="7"/>
        <v>592.80442804428048</v>
      </c>
      <c r="R43" s="33">
        <f t="shared" si="2"/>
        <v>2.2773109243697478</v>
      </c>
      <c r="S43" s="20">
        <v>6</v>
      </c>
      <c r="T43" s="33">
        <f t="shared" si="3"/>
        <v>3556.8265682656829</v>
      </c>
    </row>
    <row r="44" spans="1:20" hidden="1">
      <c r="A44" s="15">
        <v>43</v>
      </c>
      <c r="B44" s="16" t="s">
        <v>86</v>
      </c>
      <c r="C44" s="15">
        <v>10</v>
      </c>
      <c r="D44" s="15">
        <v>270</v>
      </c>
      <c r="E44" s="15">
        <v>3</v>
      </c>
      <c r="F44" s="17">
        <v>3311</v>
      </c>
      <c r="G44" s="16" t="s">
        <v>73</v>
      </c>
      <c r="H44" s="17">
        <v>500</v>
      </c>
      <c r="I44" s="18" t="s">
        <v>74</v>
      </c>
      <c r="J44" s="16" t="s">
        <v>83</v>
      </c>
      <c r="K44" s="16">
        <v>600</v>
      </c>
      <c r="L44" s="34">
        <f t="shared" si="8"/>
        <v>1.3374999999999999</v>
      </c>
      <c r="M44" s="21">
        <v>1</v>
      </c>
      <c r="N44" s="73">
        <f t="shared" si="1"/>
        <v>44.859813084112155</v>
      </c>
      <c r="O44" s="74">
        <f t="shared" si="9"/>
        <v>1009.3457943925234</v>
      </c>
      <c r="P44" s="25">
        <v>0.85</v>
      </c>
      <c r="Q44" s="33">
        <f t="shared" si="7"/>
        <v>857.9439252336449</v>
      </c>
      <c r="R44" s="33">
        <f t="shared" si="2"/>
        <v>1.5735294117647058</v>
      </c>
      <c r="S44" s="20">
        <v>6</v>
      </c>
      <c r="T44" s="33">
        <f t="shared" si="3"/>
        <v>5147.663551401869</v>
      </c>
    </row>
    <row r="45" spans="1:20" hidden="1">
      <c r="A45" s="15">
        <v>44</v>
      </c>
      <c r="B45" s="16" t="s">
        <v>84</v>
      </c>
      <c r="C45" s="15">
        <v>30</v>
      </c>
      <c r="D45" s="15">
        <v>90</v>
      </c>
      <c r="E45" s="15">
        <v>4</v>
      </c>
      <c r="F45" s="17">
        <v>3401</v>
      </c>
      <c r="G45" s="16" t="s">
        <v>73</v>
      </c>
      <c r="H45" s="17">
        <v>1000</v>
      </c>
      <c r="I45" s="18" t="s">
        <v>85</v>
      </c>
      <c r="J45" s="19" t="s">
        <v>80</v>
      </c>
      <c r="K45" s="16">
        <v>700</v>
      </c>
      <c r="L45" s="34">
        <f t="shared" ref="L43:L51" si="10">H45*1.005/K45+0.5</f>
        <v>1.9357142857142855</v>
      </c>
      <c r="M45" s="21">
        <v>1</v>
      </c>
      <c r="N45" s="73">
        <f t="shared" si="1"/>
        <v>30.996309963099634</v>
      </c>
      <c r="O45" s="74">
        <f t="shared" si="9"/>
        <v>697.41697416974171</v>
      </c>
      <c r="P45" s="25">
        <v>0.85</v>
      </c>
      <c r="Q45" s="33">
        <f t="shared" si="7"/>
        <v>592.80442804428048</v>
      </c>
      <c r="R45" s="33">
        <f t="shared" si="2"/>
        <v>2.2773109243697478</v>
      </c>
      <c r="S45" s="20">
        <v>4</v>
      </c>
      <c r="T45" s="33">
        <f t="shared" si="3"/>
        <v>2371.2177121771219</v>
      </c>
    </row>
    <row r="46" spans="1:20" hidden="1">
      <c r="A46" s="15">
        <v>45</v>
      </c>
      <c r="B46" s="16" t="s">
        <v>84</v>
      </c>
      <c r="C46" s="15">
        <v>30</v>
      </c>
      <c r="D46" s="15">
        <v>90</v>
      </c>
      <c r="E46" s="15">
        <v>4</v>
      </c>
      <c r="F46" s="17">
        <v>3402</v>
      </c>
      <c r="G46" s="16" t="s">
        <v>73</v>
      </c>
      <c r="H46" s="17">
        <v>2000</v>
      </c>
      <c r="I46" s="18" t="s">
        <v>85</v>
      </c>
      <c r="J46" s="16" t="s">
        <v>83</v>
      </c>
      <c r="K46" s="16">
        <v>700</v>
      </c>
      <c r="L46" s="34">
        <f t="shared" si="10"/>
        <v>3.371428571428571</v>
      </c>
      <c r="M46" s="21">
        <v>1</v>
      </c>
      <c r="N46" s="73">
        <f t="shared" si="1"/>
        <v>17.796610169491526</v>
      </c>
      <c r="O46" s="74">
        <f t="shared" si="9"/>
        <v>400.42372881355931</v>
      </c>
      <c r="P46" s="25">
        <v>0.85</v>
      </c>
      <c r="Q46" s="33">
        <f t="shared" si="7"/>
        <v>340.36016949152543</v>
      </c>
      <c r="R46" s="33">
        <f t="shared" si="2"/>
        <v>3.9663865546218484</v>
      </c>
      <c r="S46" s="20">
        <v>6</v>
      </c>
      <c r="T46" s="33"/>
    </row>
    <row r="47" spans="1:20" hidden="1">
      <c r="A47" s="15">
        <v>46</v>
      </c>
      <c r="B47" s="16" t="s">
        <v>109</v>
      </c>
      <c r="C47" s="15">
        <v>40</v>
      </c>
      <c r="D47" s="15">
        <v>70</v>
      </c>
      <c r="E47" s="15">
        <v>3</v>
      </c>
      <c r="F47" s="17">
        <v>5301</v>
      </c>
      <c r="G47" s="16" t="s">
        <v>110</v>
      </c>
      <c r="H47" s="17">
        <v>1500</v>
      </c>
      <c r="I47" s="18" t="s">
        <v>74</v>
      </c>
      <c r="J47" s="16" t="s">
        <v>77</v>
      </c>
      <c r="K47" s="16">
        <v>700</v>
      </c>
      <c r="L47" s="34">
        <f t="shared" si="10"/>
        <v>2.653571428571428</v>
      </c>
      <c r="M47" s="21">
        <v>1</v>
      </c>
      <c r="N47" s="73">
        <f t="shared" si="1"/>
        <v>22.611036339165551</v>
      </c>
      <c r="O47" s="74">
        <f t="shared" si="9"/>
        <v>508.74831763122489</v>
      </c>
      <c r="P47" s="25">
        <v>0.85</v>
      </c>
      <c r="Q47" s="33">
        <f t="shared" si="7"/>
        <v>432.43606998654116</v>
      </c>
      <c r="R47" s="33">
        <f t="shared" si="2"/>
        <v>3.1218487394957979</v>
      </c>
      <c r="S47" s="20">
        <v>4</v>
      </c>
      <c r="T47" s="33">
        <f t="shared" ref="T47:T59" si="11">Q47*S47</f>
        <v>1729.7442799461646</v>
      </c>
    </row>
    <row r="48" spans="1:20" hidden="1">
      <c r="A48" s="15">
        <v>47</v>
      </c>
      <c r="B48" s="16" t="s">
        <v>109</v>
      </c>
      <c r="C48" s="15">
        <v>20</v>
      </c>
      <c r="D48" s="15">
        <v>135</v>
      </c>
      <c r="E48" s="15">
        <v>3</v>
      </c>
      <c r="F48" s="17">
        <v>5302</v>
      </c>
      <c r="G48" s="16" t="s">
        <v>110</v>
      </c>
      <c r="H48" s="17">
        <v>1000</v>
      </c>
      <c r="I48" s="18" t="s">
        <v>74</v>
      </c>
      <c r="J48" s="16" t="s">
        <v>83</v>
      </c>
      <c r="K48" s="16">
        <v>700</v>
      </c>
      <c r="L48" s="34">
        <f t="shared" si="10"/>
        <v>1.9357142857142855</v>
      </c>
      <c r="M48" s="21">
        <v>1</v>
      </c>
      <c r="N48" s="73">
        <f t="shared" si="1"/>
        <v>30.996309963099634</v>
      </c>
      <c r="O48" s="74">
        <f t="shared" si="9"/>
        <v>697.41697416974171</v>
      </c>
      <c r="P48" s="25">
        <v>0.85</v>
      </c>
      <c r="Q48" s="33">
        <f t="shared" si="7"/>
        <v>592.80442804428048</v>
      </c>
      <c r="R48" s="33">
        <f t="shared" si="2"/>
        <v>2.2773109243697478</v>
      </c>
      <c r="S48" s="20">
        <v>6</v>
      </c>
      <c r="T48" s="33">
        <f t="shared" si="11"/>
        <v>3556.8265682656829</v>
      </c>
    </row>
    <row r="49" spans="1:20" hidden="1">
      <c r="A49" s="15">
        <v>48</v>
      </c>
      <c r="B49" s="16">
        <v>1280</v>
      </c>
      <c r="C49" s="16"/>
      <c r="D49" s="16">
        <v>155.078</v>
      </c>
      <c r="E49" s="16"/>
      <c r="F49" s="16">
        <v>5304</v>
      </c>
      <c r="G49" s="16" t="s">
        <v>229</v>
      </c>
      <c r="H49" s="16">
        <v>1500</v>
      </c>
      <c r="I49" s="16" t="s">
        <v>85</v>
      </c>
      <c r="J49" s="16" t="s">
        <v>214</v>
      </c>
      <c r="K49" s="16">
        <v>700</v>
      </c>
      <c r="L49" s="34">
        <f t="shared" si="10"/>
        <v>2.653571428571428</v>
      </c>
      <c r="M49" s="16">
        <v>1</v>
      </c>
      <c r="N49" s="72">
        <v>19.950124688279303</v>
      </c>
      <c r="O49" s="74">
        <f t="shared" si="9"/>
        <v>448.87780548628433</v>
      </c>
      <c r="P49" s="25">
        <v>0.85</v>
      </c>
      <c r="Q49" s="33">
        <f t="shared" si="7"/>
        <v>381.54613466334166</v>
      </c>
      <c r="R49" s="33">
        <v>10.025</v>
      </c>
      <c r="S49" s="20">
        <v>6</v>
      </c>
      <c r="T49" s="33">
        <f t="shared" si="11"/>
        <v>2289.2768079800499</v>
      </c>
    </row>
    <row r="50" spans="1:20" hidden="1">
      <c r="A50" s="15">
        <v>49</v>
      </c>
      <c r="B50" s="16" t="s">
        <v>230</v>
      </c>
      <c r="C50" s="16"/>
      <c r="D50" s="16">
        <v>146.29999999999998</v>
      </c>
      <c r="E50" s="16"/>
      <c r="F50" s="16">
        <v>5306</v>
      </c>
      <c r="G50" s="16" t="s">
        <v>231</v>
      </c>
      <c r="H50" s="16">
        <v>1500</v>
      </c>
      <c r="I50" s="16" t="s">
        <v>85</v>
      </c>
      <c r="J50" s="16" t="s">
        <v>214</v>
      </c>
      <c r="K50" s="16">
        <v>700</v>
      </c>
      <c r="L50" s="34">
        <f t="shared" si="10"/>
        <v>2.653571428571428</v>
      </c>
      <c r="M50" s="16">
        <v>1</v>
      </c>
      <c r="N50" s="72">
        <v>19.950124688279303</v>
      </c>
      <c r="O50" s="74">
        <f t="shared" si="9"/>
        <v>448.87780548628433</v>
      </c>
      <c r="P50" s="25">
        <v>0.85</v>
      </c>
      <c r="Q50" s="33">
        <f t="shared" si="7"/>
        <v>381.54613466334166</v>
      </c>
      <c r="R50" s="33">
        <v>10.025</v>
      </c>
      <c r="S50" s="20">
        <v>6</v>
      </c>
      <c r="T50" s="33">
        <f t="shared" si="11"/>
        <v>2289.2768079800499</v>
      </c>
    </row>
    <row r="51" spans="1:20" ht="22.5" hidden="1">
      <c r="A51" s="15">
        <v>50</v>
      </c>
      <c r="B51" s="19" t="s">
        <v>235</v>
      </c>
      <c r="C51" s="15">
        <v>40</v>
      </c>
      <c r="D51" s="15">
        <v>70</v>
      </c>
      <c r="E51" s="15">
        <v>3</v>
      </c>
      <c r="F51" s="17">
        <v>5307</v>
      </c>
      <c r="G51" s="16" t="s">
        <v>110</v>
      </c>
      <c r="H51" s="16">
        <v>3000</v>
      </c>
      <c r="I51" s="18" t="s">
        <v>74</v>
      </c>
      <c r="J51" s="16" t="s">
        <v>214</v>
      </c>
      <c r="K51" s="16">
        <v>700</v>
      </c>
      <c r="L51" s="34">
        <f t="shared" si="10"/>
        <v>4.8071428571428561</v>
      </c>
      <c r="M51" s="21">
        <v>1</v>
      </c>
      <c r="N51" s="73">
        <f t="shared" ref="N51:N59" si="12">60/L51*M51</f>
        <v>12.481426448737002</v>
      </c>
      <c r="O51" s="74">
        <f t="shared" si="9"/>
        <v>280.83209509658252</v>
      </c>
      <c r="P51" s="67">
        <v>0.85</v>
      </c>
      <c r="Q51" s="33">
        <f t="shared" si="7"/>
        <v>238.70728083209514</v>
      </c>
      <c r="R51" s="33">
        <f t="shared" ref="R51:R59" si="13">L51/P51</f>
        <v>5.6554621848739481</v>
      </c>
      <c r="S51" s="20">
        <v>6</v>
      </c>
      <c r="T51" s="33">
        <f t="shared" si="11"/>
        <v>1432.2436849925707</v>
      </c>
    </row>
    <row r="52" spans="1:20" hidden="1">
      <c r="A52" s="15">
        <v>51</v>
      </c>
      <c r="B52" s="16" t="s">
        <v>104</v>
      </c>
      <c r="C52" s="15">
        <v>40</v>
      </c>
      <c r="D52" s="15">
        <v>70</v>
      </c>
      <c r="E52" s="15">
        <v>3</v>
      </c>
      <c r="F52" s="17">
        <v>6301</v>
      </c>
      <c r="G52" s="16" t="s">
        <v>105</v>
      </c>
      <c r="H52" s="17">
        <v>1500</v>
      </c>
      <c r="I52" s="18" t="s">
        <v>74</v>
      </c>
      <c r="J52" s="16" t="s">
        <v>77</v>
      </c>
      <c r="K52" s="16">
        <v>700</v>
      </c>
      <c r="L52" s="34">
        <f t="shared" ref="L51:L56" si="14">H52*1.005/K52+0.5</f>
        <v>2.653571428571428</v>
      </c>
      <c r="M52" s="21">
        <v>1</v>
      </c>
      <c r="N52" s="73">
        <f t="shared" si="12"/>
        <v>22.611036339165551</v>
      </c>
      <c r="O52" s="74">
        <f t="shared" si="9"/>
        <v>508.74831763122489</v>
      </c>
      <c r="P52" s="25">
        <v>0.85</v>
      </c>
      <c r="Q52" s="33">
        <f t="shared" si="7"/>
        <v>432.43606998654116</v>
      </c>
      <c r="R52" s="33">
        <f t="shared" si="13"/>
        <v>3.1218487394957979</v>
      </c>
      <c r="S52" s="20">
        <v>4</v>
      </c>
      <c r="T52" s="33">
        <f t="shared" si="11"/>
        <v>1729.7442799461646</v>
      </c>
    </row>
    <row r="53" spans="1:20" hidden="1">
      <c r="A53" s="15">
        <v>52</v>
      </c>
      <c r="B53" s="16" t="s">
        <v>104</v>
      </c>
      <c r="C53" s="15">
        <v>20</v>
      </c>
      <c r="D53" s="15">
        <v>135</v>
      </c>
      <c r="E53" s="15">
        <v>3</v>
      </c>
      <c r="F53" s="17">
        <v>6302</v>
      </c>
      <c r="G53" s="16" t="s">
        <v>105</v>
      </c>
      <c r="H53" s="17">
        <v>1000</v>
      </c>
      <c r="I53" s="18" t="s">
        <v>74</v>
      </c>
      <c r="J53" s="16" t="s">
        <v>83</v>
      </c>
      <c r="K53" s="16">
        <v>700</v>
      </c>
      <c r="L53" s="34">
        <f t="shared" si="14"/>
        <v>1.9357142857142855</v>
      </c>
      <c r="M53" s="21">
        <v>1</v>
      </c>
      <c r="N53" s="73">
        <f t="shared" si="12"/>
        <v>30.996309963099634</v>
      </c>
      <c r="O53" s="74">
        <f t="shared" si="9"/>
        <v>697.41697416974171</v>
      </c>
      <c r="P53" s="25">
        <v>0.85</v>
      </c>
      <c r="Q53" s="33">
        <f t="shared" si="7"/>
        <v>592.80442804428048</v>
      </c>
      <c r="R53" s="33">
        <f t="shared" si="13"/>
        <v>2.2773109243697478</v>
      </c>
      <c r="S53" s="20">
        <v>6</v>
      </c>
      <c r="T53" s="33">
        <f t="shared" si="11"/>
        <v>3556.8265682656829</v>
      </c>
    </row>
    <row r="54" spans="1:20" hidden="1">
      <c r="A54" s="15">
        <v>53</v>
      </c>
      <c r="B54" s="16" t="s">
        <v>104</v>
      </c>
      <c r="C54" s="15">
        <v>10</v>
      </c>
      <c r="D54" s="15">
        <v>270</v>
      </c>
      <c r="E54" s="15">
        <v>3</v>
      </c>
      <c r="F54" s="17">
        <v>6303</v>
      </c>
      <c r="G54" s="16" t="s">
        <v>105</v>
      </c>
      <c r="H54" s="17">
        <v>500</v>
      </c>
      <c r="I54" s="18" t="s">
        <v>74</v>
      </c>
      <c r="J54" s="16" t="s">
        <v>83</v>
      </c>
      <c r="K54" s="16">
        <v>600</v>
      </c>
      <c r="L54" s="34">
        <f t="shared" si="14"/>
        <v>1.3374999999999999</v>
      </c>
      <c r="M54" s="21">
        <v>1</v>
      </c>
      <c r="N54" s="73">
        <f t="shared" si="12"/>
        <v>44.859813084112155</v>
      </c>
      <c r="O54" s="74">
        <f t="shared" si="9"/>
        <v>1009.3457943925234</v>
      </c>
      <c r="P54" s="25">
        <v>0.85</v>
      </c>
      <c r="Q54" s="33">
        <f t="shared" si="7"/>
        <v>857.9439252336449</v>
      </c>
      <c r="R54" s="33">
        <f t="shared" si="13"/>
        <v>1.5735294117647058</v>
      </c>
      <c r="S54" s="20">
        <v>6</v>
      </c>
      <c r="T54" s="33">
        <f t="shared" si="11"/>
        <v>5147.663551401869</v>
      </c>
    </row>
    <row r="55" spans="1:20" hidden="1">
      <c r="A55" s="15">
        <v>54</v>
      </c>
      <c r="B55" s="16" t="s">
        <v>106</v>
      </c>
      <c r="C55" s="15">
        <v>40</v>
      </c>
      <c r="D55" s="15">
        <v>70</v>
      </c>
      <c r="E55" s="15">
        <v>3</v>
      </c>
      <c r="F55" s="17">
        <v>6304</v>
      </c>
      <c r="G55" s="16" t="s">
        <v>107</v>
      </c>
      <c r="H55" s="17">
        <v>1500</v>
      </c>
      <c r="I55" s="18" t="s">
        <v>74</v>
      </c>
      <c r="J55" s="16" t="s">
        <v>77</v>
      </c>
      <c r="K55" s="16">
        <v>700</v>
      </c>
      <c r="L55" s="34">
        <f t="shared" si="14"/>
        <v>2.653571428571428</v>
      </c>
      <c r="M55" s="21">
        <v>1</v>
      </c>
      <c r="N55" s="73">
        <f t="shared" si="12"/>
        <v>22.611036339165551</v>
      </c>
      <c r="O55" s="74">
        <f t="shared" si="9"/>
        <v>508.74831763122489</v>
      </c>
      <c r="P55" s="25">
        <v>0.85</v>
      </c>
      <c r="Q55" s="33">
        <f t="shared" si="7"/>
        <v>432.43606998654116</v>
      </c>
      <c r="R55" s="33">
        <f t="shared" si="13"/>
        <v>3.1218487394957979</v>
      </c>
      <c r="S55" s="20">
        <v>4</v>
      </c>
      <c r="T55" s="33">
        <f t="shared" si="11"/>
        <v>1729.7442799461646</v>
      </c>
    </row>
    <row r="56" spans="1:20" hidden="1">
      <c r="A56" s="15">
        <v>55</v>
      </c>
      <c r="B56" s="16" t="s">
        <v>108</v>
      </c>
      <c r="C56" s="15">
        <v>20</v>
      </c>
      <c r="D56" s="15">
        <v>135</v>
      </c>
      <c r="E56" s="15">
        <v>3</v>
      </c>
      <c r="F56" s="17">
        <v>6305</v>
      </c>
      <c r="G56" s="16" t="s">
        <v>107</v>
      </c>
      <c r="H56" s="17">
        <v>1000</v>
      </c>
      <c r="I56" s="18" t="s">
        <v>74</v>
      </c>
      <c r="J56" s="16" t="s">
        <v>83</v>
      </c>
      <c r="K56" s="16">
        <v>700</v>
      </c>
      <c r="L56" s="34">
        <f t="shared" si="14"/>
        <v>1.9357142857142855</v>
      </c>
      <c r="M56" s="21">
        <v>1</v>
      </c>
      <c r="N56" s="73">
        <f t="shared" si="12"/>
        <v>30.996309963099634</v>
      </c>
      <c r="O56" s="74">
        <f t="shared" si="9"/>
        <v>697.41697416974171</v>
      </c>
      <c r="P56" s="25">
        <v>0.85</v>
      </c>
      <c r="Q56" s="33">
        <f t="shared" si="7"/>
        <v>592.80442804428048</v>
      </c>
      <c r="R56" s="33">
        <f t="shared" si="13"/>
        <v>2.2773109243697478</v>
      </c>
      <c r="S56" s="20">
        <v>6</v>
      </c>
      <c r="T56" s="33">
        <f t="shared" si="11"/>
        <v>3556.8265682656829</v>
      </c>
    </row>
    <row r="57" spans="1:20" ht="22.5" hidden="1">
      <c r="A57" s="15">
        <v>56</v>
      </c>
      <c r="B57" s="16" t="s">
        <v>139</v>
      </c>
      <c r="C57" s="16">
        <v>80</v>
      </c>
      <c r="D57" s="16">
        <v>35</v>
      </c>
      <c r="E57" s="16">
        <v>1</v>
      </c>
      <c r="F57" s="16">
        <v>7101</v>
      </c>
      <c r="G57" s="19" t="s">
        <v>140</v>
      </c>
      <c r="H57" s="17">
        <v>10000</v>
      </c>
      <c r="I57" s="20" t="s">
        <v>85</v>
      </c>
      <c r="J57" s="16" t="s">
        <v>89</v>
      </c>
      <c r="K57" s="16">
        <v>500</v>
      </c>
      <c r="L57" s="34">
        <f>H57*1.005/K57+3</f>
        <v>23.099999999999998</v>
      </c>
      <c r="M57" s="21">
        <v>1</v>
      </c>
      <c r="N57" s="73">
        <f t="shared" si="12"/>
        <v>2.5974025974025978</v>
      </c>
      <c r="O57" s="74">
        <f t="shared" si="9"/>
        <v>58.441558441558449</v>
      </c>
      <c r="P57" s="25">
        <v>0.85</v>
      </c>
      <c r="Q57" s="33">
        <f t="shared" si="7"/>
        <v>49.675324675324681</v>
      </c>
      <c r="R57" s="33">
        <f t="shared" si="13"/>
        <v>27.176470588235293</v>
      </c>
      <c r="S57" s="20">
        <v>5</v>
      </c>
      <c r="T57" s="33">
        <f t="shared" si="11"/>
        <v>248.3766233766234</v>
      </c>
    </row>
    <row r="58" spans="1:20" ht="22.5" hidden="1">
      <c r="A58" s="15">
        <v>57</v>
      </c>
      <c r="B58" s="16" t="s">
        <v>139</v>
      </c>
      <c r="C58" s="16">
        <v>160</v>
      </c>
      <c r="D58" s="16">
        <v>18</v>
      </c>
      <c r="E58" s="16">
        <v>1</v>
      </c>
      <c r="F58" s="16">
        <v>7105</v>
      </c>
      <c r="G58" s="19" t="s">
        <v>137</v>
      </c>
      <c r="H58" s="17">
        <v>10000</v>
      </c>
      <c r="I58" s="20" t="s">
        <v>85</v>
      </c>
      <c r="J58" s="16" t="s">
        <v>83</v>
      </c>
      <c r="K58" s="16">
        <v>600</v>
      </c>
      <c r="L58" s="34">
        <f t="shared" ref="L58" si="15">H58*1.005/K58+0.5</f>
        <v>17.249999999999996</v>
      </c>
      <c r="M58" s="21">
        <v>1</v>
      </c>
      <c r="N58" s="73">
        <f t="shared" si="12"/>
        <v>3.4782608695652182</v>
      </c>
      <c r="O58" s="74">
        <f t="shared" si="9"/>
        <v>78.260869565217405</v>
      </c>
      <c r="P58" s="25">
        <v>0.85</v>
      </c>
      <c r="Q58" s="33">
        <f t="shared" si="7"/>
        <v>66.521739130434796</v>
      </c>
      <c r="R58" s="33">
        <f t="shared" si="13"/>
        <v>20.294117647058819</v>
      </c>
      <c r="S58" s="20">
        <v>6</v>
      </c>
      <c r="T58" s="33">
        <f t="shared" si="11"/>
        <v>399.13043478260875</v>
      </c>
    </row>
    <row r="59" spans="1:20" ht="22.5">
      <c r="A59" s="15">
        <v>58</v>
      </c>
      <c r="B59" s="16" t="s">
        <v>134</v>
      </c>
      <c r="C59" s="16">
        <v>80</v>
      </c>
      <c r="D59" s="35">
        <v>35</v>
      </c>
      <c r="E59" s="16">
        <v>1</v>
      </c>
      <c r="F59" s="16">
        <v>7104</v>
      </c>
      <c r="G59" s="19" t="s">
        <v>148</v>
      </c>
      <c r="H59" s="17">
        <v>24100</v>
      </c>
      <c r="I59" s="20" t="s">
        <v>85</v>
      </c>
      <c r="J59" s="16" t="s">
        <v>90</v>
      </c>
      <c r="K59" s="19">
        <v>500</v>
      </c>
      <c r="L59" s="34">
        <f>H59*1.005/K59+3</f>
        <v>51.440999999999995</v>
      </c>
      <c r="M59" s="21">
        <v>1</v>
      </c>
      <c r="N59" s="73">
        <f t="shared" si="12"/>
        <v>1.1663847903423341</v>
      </c>
      <c r="O59" s="74">
        <f>N59*21</f>
        <v>24.494080597189015</v>
      </c>
      <c r="P59" s="25">
        <v>0.9</v>
      </c>
      <c r="Q59" s="33">
        <f t="shared" si="7"/>
        <v>22.044672537470113</v>
      </c>
      <c r="R59" s="33">
        <f t="shared" si="13"/>
        <v>57.156666666666659</v>
      </c>
      <c r="S59" s="20">
        <v>10</v>
      </c>
      <c r="T59" s="33">
        <f t="shared" si="11"/>
        <v>220.44672537470115</v>
      </c>
    </row>
  </sheetData>
  <autoFilter ref="A1:T59">
    <filterColumn colId="9">
      <filters>
        <filter val="6 in KS  BF"/>
      </filters>
    </filterColumn>
  </autoFilter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>
      <selection activeCell="T2" sqref="T2"/>
    </sheetView>
  </sheetViews>
  <sheetFormatPr defaultColWidth="10.28515625" defaultRowHeight="15"/>
  <cols>
    <col min="1" max="1" width="4.42578125" style="124" customWidth="1"/>
    <col min="2" max="2" width="13.85546875" style="136" bestFit="1" customWidth="1"/>
    <col min="3" max="3" width="5.140625" style="136" bestFit="1" customWidth="1"/>
    <col min="4" max="4" width="8.42578125" style="136" bestFit="1" customWidth="1"/>
    <col min="5" max="5" width="5.140625" style="136" bestFit="1" customWidth="1"/>
    <col min="6" max="6" width="6.5703125" style="136" bestFit="1" customWidth="1"/>
    <col min="7" max="7" width="14.7109375" style="136" customWidth="1"/>
    <col min="8" max="8" width="9.7109375" style="136" customWidth="1"/>
    <col min="9" max="9" width="5.140625" style="136" customWidth="1"/>
    <col min="10" max="10" width="12.5703125" style="136" bestFit="1" customWidth="1"/>
    <col min="11" max="11" width="9.140625" style="136" customWidth="1"/>
    <col min="12" max="12" width="8.5703125" style="136" customWidth="1"/>
    <col min="13" max="13" width="7.7109375" style="136" bestFit="1" customWidth="1"/>
    <col min="14" max="14" width="14.85546875" style="136" bestFit="1" customWidth="1"/>
    <col min="15" max="15" width="10" style="136" customWidth="1"/>
    <col min="16" max="20" width="10.28515625" style="124"/>
    <col min="21" max="21" width="13.85546875" style="124" customWidth="1"/>
    <col min="22" max="22" width="13.28515625" style="124" customWidth="1"/>
    <col min="23" max="16384" width="10.28515625" style="124"/>
  </cols>
  <sheetData>
    <row r="1" spans="1:22" ht="38.85" customHeight="1">
      <c r="A1" s="119" t="s">
        <v>238</v>
      </c>
      <c r="B1" s="120" t="s">
        <v>63</v>
      </c>
      <c r="C1" s="120" t="s">
        <v>64</v>
      </c>
      <c r="D1" s="120" t="s">
        <v>65</v>
      </c>
      <c r="E1" s="120" t="s">
        <v>66</v>
      </c>
      <c r="F1" s="121" t="s">
        <v>67</v>
      </c>
      <c r="G1" s="120" t="s">
        <v>68</v>
      </c>
      <c r="H1" s="120" t="s">
        <v>69</v>
      </c>
      <c r="I1" s="120" t="s">
        <v>70</v>
      </c>
      <c r="J1" s="120" t="s">
        <v>71</v>
      </c>
      <c r="K1" s="122" t="s">
        <v>141</v>
      </c>
      <c r="L1" s="122" t="s">
        <v>142</v>
      </c>
      <c r="M1" s="122" t="s">
        <v>175</v>
      </c>
      <c r="N1" s="123" t="s">
        <v>143</v>
      </c>
      <c r="O1" s="123" t="s">
        <v>208</v>
      </c>
      <c r="P1" s="123" t="s">
        <v>144</v>
      </c>
      <c r="Q1" s="123" t="s">
        <v>209</v>
      </c>
      <c r="R1" s="123" t="s">
        <v>145</v>
      </c>
      <c r="S1" s="123" t="s">
        <v>176</v>
      </c>
      <c r="T1" s="123" t="s">
        <v>147</v>
      </c>
      <c r="U1" s="123" t="s">
        <v>196</v>
      </c>
      <c r="V1" s="123" t="s">
        <v>197</v>
      </c>
    </row>
    <row r="2" spans="1:22" ht="15" customHeight="1">
      <c r="A2" s="125">
        <v>1</v>
      </c>
      <c r="B2" s="126" t="s">
        <v>113</v>
      </c>
      <c r="C2" s="127">
        <v>60</v>
      </c>
      <c r="D2" s="127">
        <v>20</v>
      </c>
      <c r="E2" s="127">
        <v>2</v>
      </c>
      <c r="F2" s="127">
        <v>1201</v>
      </c>
      <c r="G2" s="126" t="s">
        <v>114</v>
      </c>
      <c r="H2" s="127">
        <v>10000</v>
      </c>
      <c r="I2" s="128" t="s">
        <v>74</v>
      </c>
      <c r="J2" s="126" t="s">
        <v>115</v>
      </c>
      <c r="K2" s="129">
        <v>600</v>
      </c>
      <c r="L2" s="128">
        <f t="shared" ref="L2:L25" si="0">H2*1.005/K2+3</f>
        <v>19.749999999999996</v>
      </c>
      <c r="M2" s="128">
        <v>2</v>
      </c>
      <c r="N2" s="130">
        <f t="shared" ref="N2:N25" si="1">60/L2*M2</f>
        <v>6.0759493670886089</v>
      </c>
      <c r="O2" s="131">
        <f>N2*22.5</f>
        <v>136.70886075949369</v>
      </c>
      <c r="P2" s="132">
        <v>0.8</v>
      </c>
      <c r="Q2" s="133">
        <f t="shared" ref="Q2:Q25" si="2">O2*P2</f>
        <v>109.36708860759495</v>
      </c>
      <c r="R2" s="134">
        <f t="shared" ref="R2:R25" si="3">L2/P2</f>
        <v>24.687499999999993</v>
      </c>
      <c r="S2" s="133">
        <v>44</v>
      </c>
      <c r="T2" s="133">
        <f t="shared" ref="T2:T25" si="4">Q2*S2</f>
        <v>4812.1518987341778</v>
      </c>
      <c r="V2" s="124">
        <f>U2/T2</f>
        <v>0</v>
      </c>
    </row>
    <row r="3" spans="1:22" ht="15" customHeight="1">
      <c r="A3" s="125">
        <v>2</v>
      </c>
      <c r="B3" s="126" t="s">
        <v>116</v>
      </c>
      <c r="C3" s="127">
        <v>60</v>
      </c>
      <c r="D3" s="127">
        <v>20</v>
      </c>
      <c r="E3" s="127">
        <v>2</v>
      </c>
      <c r="F3" s="127">
        <v>1202</v>
      </c>
      <c r="G3" s="129" t="s">
        <v>146</v>
      </c>
      <c r="H3" s="127">
        <v>9177</v>
      </c>
      <c r="I3" s="128" t="s">
        <v>74</v>
      </c>
      <c r="J3" s="126" t="s">
        <v>115</v>
      </c>
      <c r="K3" s="129">
        <v>600</v>
      </c>
      <c r="L3" s="128">
        <f t="shared" si="0"/>
        <v>18.371474999999997</v>
      </c>
      <c r="M3" s="128">
        <v>2</v>
      </c>
      <c r="N3" s="130">
        <f t="shared" si="1"/>
        <v>6.531865296607922</v>
      </c>
      <c r="O3" s="131">
        <f t="shared" ref="O3:O25" si="5">N3*22.5</f>
        <v>146.96696917367825</v>
      </c>
      <c r="P3" s="132">
        <v>0.8</v>
      </c>
      <c r="Q3" s="133">
        <f t="shared" si="2"/>
        <v>117.5735753389426</v>
      </c>
      <c r="R3" s="134">
        <f t="shared" si="3"/>
        <v>22.964343749999994</v>
      </c>
      <c r="S3" s="133">
        <v>44</v>
      </c>
      <c r="T3" s="133">
        <f t="shared" si="4"/>
        <v>5173.2373149134746</v>
      </c>
      <c r="V3" s="124">
        <f t="shared" ref="V3:V25" si="6">U3/T3</f>
        <v>0</v>
      </c>
    </row>
    <row r="4" spans="1:22" ht="15" customHeight="1">
      <c r="A4" s="125">
        <v>3</v>
      </c>
      <c r="B4" s="126" t="s">
        <v>124</v>
      </c>
      <c r="C4" s="127">
        <v>50</v>
      </c>
      <c r="D4" s="127">
        <v>60</v>
      </c>
      <c r="E4" s="127">
        <v>2</v>
      </c>
      <c r="F4" s="127">
        <v>1203</v>
      </c>
      <c r="G4" s="126" t="s">
        <v>122</v>
      </c>
      <c r="H4" s="127">
        <v>2000</v>
      </c>
      <c r="I4" s="128" t="s">
        <v>74</v>
      </c>
      <c r="J4" s="126" t="s">
        <v>115</v>
      </c>
      <c r="K4" s="126">
        <v>500</v>
      </c>
      <c r="L4" s="128">
        <f t="shared" si="0"/>
        <v>7.02</v>
      </c>
      <c r="M4" s="128">
        <v>2</v>
      </c>
      <c r="N4" s="130">
        <f t="shared" si="1"/>
        <v>17.094017094017094</v>
      </c>
      <c r="O4" s="131">
        <f t="shared" si="5"/>
        <v>384.61538461538458</v>
      </c>
      <c r="P4" s="132">
        <v>0.65</v>
      </c>
      <c r="Q4" s="133">
        <f t="shared" si="2"/>
        <v>250</v>
      </c>
      <c r="R4" s="134">
        <f t="shared" si="3"/>
        <v>10.799999999999999</v>
      </c>
      <c r="S4" s="133">
        <v>44</v>
      </c>
      <c r="T4" s="133">
        <f t="shared" si="4"/>
        <v>11000</v>
      </c>
      <c r="V4" s="124">
        <f t="shared" si="6"/>
        <v>0</v>
      </c>
    </row>
    <row r="5" spans="1:22" ht="15" customHeight="1">
      <c r="A5" s="125">
        <v>4</v>
      </c>
      <c r="B5" s="129" t="s">
        <v>117</v>
      </c>
      <c r="C5" s="129">
        <v>60</v>
      </c>
      <c r="D5" s="129">
        <v>20</v>
      </c>
      <c r="E5" s="129">
        <v>2</v>
      </c>
      <c r="F5" s="129">
        <v>1208</v>
      </c>
      <c r="G5" s="129" t="s">
        <v>118</v>
      </c>
      <c r="H5" s="129">
        <v>5000</v>
      </c>
      <c r="I5" s="129" t="s">
        <v>85</v>
      </c>
      <c r="J5" s="129" t="s">
        <v>115</v>
      </c>
      <c r="K5" s="129">
        <v>600</v>
      </c>
      <c r="L5" s="128">
        <f t="shared" si="0"/>
        <v>11.374999999999998</v>
      </c>
      <c r="M5" s="128">
        <v>2</v>
      </c>
      <c r="N5" s="130">
        <f t="shared" si="1"/>
        <v>10.549450549450551</v>
      </c>
      <c r="O5" s="131">
        <f t="shared" si="5"/>
        <v>237.3626373626374</v>
      </c>
      <c r="P5" s="132">
        <v>0.75</v>
      </c>
      <c r="Q5" s="133">
        <f t="shared" si="2"/>
        <v>178.02197802197804</v>
      </c>
      <c r="R5" s="134">
        <f t="shared" si="3"/>
        <v>15.166666666666664</v>
      </c>
      <c r="S5" s="133">
        <v>44</v>
      </c>
      <c r="T5" s="133">
        <f t="shared" si="4"/>
        <v>7832.9670329670334</v>
      </c>
      <c r="V5" s="124">
        <f t="shared" si="6"/>
        <v>0</v>
      </c>
    </row>
    <row r="6" spans="1:22" ht="15" customHeight="1">
      <c r="A6" s="125">
        <v>5</v>
      </c>
      <c r="B6" s="129" t="s">
        <v>296</v>
      </c>
      <c r="C6" s="127">
        <v>60</v>
      </c>
      <c r="D6" s="127">
        <v>20</v>
      </c>
      <c r="E6" s="127">
        <v>2</v>
      </c>
      <c r="F6" s="127">
        <v>1210</v>
      </c>
      <c r="G6" s="126" t="s">
        <v>114</v>
      </c>
      <c r="H6" s="127">
        <v>10000</v>
      </c>
      <c r="I6" s="128" t="s">
        <v>74</v>
      </c>
      <c r="J6" s="126" t="s">
        <v>115</v>
      </c>
      <c r="K6" s="129">
        <v>600</v>
      </c>
      <c r="L6" s="128">
        <f t="shared" si="0"/>
        <v>19.749999999999996</v>
      </c>
      <c r="M6" s="128">
        <v>2</v>
      </c>
      <c r="N6" s="130">
        <f t="shared" si="1"/>
        <v>6.0759493670886089</v>
      </c>
      <c r="O6" s="131">
        <f t="shared" si="5"/>
        <v>136.70886075949369</v>
      </c>
      <c r="P6" s="132">
        <v>0.8</v>
      </c>
      <c r="Q6" s="133">
        <f t="shared" si="2"/>
        <v>109.36708860759495</v>
      </c>
      <c r="R6" s="134">
        <f t="shared" si="3"/>
        <v>24.687499999999993</v>
      </c>
      <c r="S6" s="133">
        <v>44</v>
      </c>
      <c r="T6" s="133">
        <f t="shared" si="4"/>
        <v>4812.1518987341778</v>
      </c>
    </row>
    <row r="7" spans="1:22" ht="15" customHeight="1">
      <c r="A7" s="125">
        <v>6</v>
      </c>
      <c r="B7" s="129" t="s">
        <v>297</v>
      </c>
      <c r="C7" s="127">
        <v>60</v>
      </c>
      <c r="D7" s="127">
        <v>20</v>
      </c>
      <c r="E7" s="127">
        <v>2</v>
      </c>
      <c r="F7" s="127">
        <v>1211</v>
      </c>
      <c r="G7" s="126" t="s">
        <v>114</v>
      </c>
      <c r="H7" s="127">
        <v>10000</v>
      </c>
      <c r="I7" s="128" t="s">
        <v>74</v>
      </c>
      <c r="J7" s="126" t="s">
        <v>115</v>
      </c>
      <c r="K7" s="129">
        <v>600</v>
      </c>
      <c r="L7" s="128">
        <f t="shared" si="0"/>
        <v>19.749999999999996</v>
      </c>
      <c r="M7" s="128">
        <v>2</v>
      </c>
      <c r="N7" s="130">
        <f t="shared" si="1"/>
        <v>6.0759493670886089</v>
      </c>
      <c r="O7" s="131">
        <f t="shared" si="5"/>
        <v>136.70886075949369</v>
      </c>
      <c r="P7" s="132">
        <v>0.8</v>
      </c>
      <c r="Q7" s="133">
        <f t="shared" si="2"/>
        <v>109.36708860759495</v>
      </c>
      <c r="R7" s="134">
        <f t="shared" si="3"/>
        <v>24.687499999999993</v>
      </c>
      <c r="S7" s="133">
        <v>44</v>
      </c>
      <c r="T7" s="133">
        <f t="shared" si="4"/>
        <v>4812.1518987341778</v>
      </c>
    </row>
    <row r="8" spans="1:22" ht="15" customHeight="1">
      <c r="A8" s="125">
        <v>7</v>
      </c>
      <c r="B8" s="126" t="s">
        <v>123</v>
      </c>
      <c r="C8" s="127">
        <v>30</v>
      </c>
      <c r="D8" s="127">
        <v>90</v>
      </c>
      <c r="E8" s="127">
        <v>3</v>
      </c>
      <c r="F8" s="127">
        <v>1301</v>
      </c>
      <c r="G8" s="126" t="s">
        <v>122</v>
      </c>
      <c r="H8" s="127">
        <v>1500</v>
      </c>
      <c r="I8" s="128" t="s">
        <v>74</v>
      </c>
      <c r="J8" s="126" t="s">
        <v>115</v>
      </c>
      <c r="K8" s="126">
        <v>500</v>
      </c>
      <c r="L8" s="128">
        <f t="shared" si="0"/>
        <v>6.0149999999999997</v>
      </c>
      <c r="M8" s="128">
        <v>2</v>
      </c>
      <c r="N8" s="130">
        <f t="shared" si="1"/>
        <v>19.950124688279303</v>
      </c>
      <c r="O8" s="131">
        <f t="shared" si="5"/>
        <v>448.87780548628433</v>
      </c>
      <c r="P8" s="132">
        <v>0.6</v>
      </c>
      <c r="Q8" s="133">
        <f t="shared" si="2"/>
        <v>269.32668329177056</v>
      </c>
      <c r="R8" s="134">
        <f t="shared" si="3"/>
        <v>10.025</v>
      </c>
      <c r="S8" s="133">
        <v>44</v>
      </c>
      <c r="T8" s="133">
        <f t="shared" si="4"/>
        <v>11850.374064837904</v>
      </c>
      <c r="V8" s="124">
        <f t="shared" si="6"/>
        <v>0</v>
      </c>
    </row>
    <row r="9" spans="1:22" ht="15" customHeight="1">
      <c r="A9" s="125">
        <v>8</v>
      </c>
      <c r="B9" s="126" t="s">
        <v>125</v>
      </c>
      <c r="C9" s="127">
        <v>100</v>
      </c>
      <c r="D9" s="127">
        <v>30</v>
      </c>
      <c r="E9" s="127">
        <v>3</v>
      </c>
      <c r="F9" s="127">
        <v>1303</v>
      </c>
      <c r="G9" s="126" t="s">
        <v>122</v>
      </c>
      <c r="H9" s="127">
        <v>5000</v>
      </c>
      <c r="I9" s="128" t="s">
        <v>85</v>
      </c>
      <c r="J9" s="126" t="s">
        <v>115</v>
      </c>
      <c r="K9" s="126">
        <v>600</v>
      </c>
      <c r="L9" s="128">
        <f t="shared" si="0"/>
        <v>11.374999999999998</v>
      </c>
      <c r="M9" s="128">
        <v>2</v>
      </c>
      <c r="N9" s="130">
        <f t="shared" si="1"/>
        <v>10.549450549450551</v>
      </c>
      <c r="O9" s="131">
        <f t="shared" si="5"/>
        <v>237.3626373626374</v>
      </c>
      <c r="P9" s="132">
        <v>0.75</v>
      </c>
      <c r="Q9" s="133">
        <f t="shared" si="2"/>
        <v>178.02197802197804</v>
      </c>
      <c r="R9" s="134">
        <f t="shared" si="3"/>
        <v>15.166666666666664</v>
      </c>
      <c r="S9" s="133">
        <v>44</v>
      </c>
      <c r="T9" s="133">
        <f t="shared" si="4"/>
        <v>7832.9670329670334</v>
      </c>
      <c r="V9" s="124">
        <f t="shared" si="6"/>
        <v>0</v>
      </c>
    </row>
    <row r="10" spans="1:22" ht="15" customHeight="1">
      <c r="A10" s="125">
        <v>9</v>
      </c>
      <c r="B10" s="126" t="s">
        <v>121</v>
      </c>
      <c r="C10" s="129">
        <v>20</v>
      </c>
      <c r="D10" s="129">
        <v>125</v>
      </c>
      <c r="E10" s="129">
        <v>4</v>
      </c>
      <c r="F10" s="129">
        <v>1401</v>
      </c>
      <c r="G10" s="129" t="s">
        <v>122</v>
      </c>
      <c r="H10" s="129">
        <v>1500</v>
      </c>
      <c r="I10" s="129" t="s">
        <v>74</v>
      </c>
      <c r="J10" s="129" t="s">
        <v>115</v>
      </c>
      <c r="K10" s="129">
        <v>500</v>
      </c>
      <c r="L10" s="128">
        <f t="shared" si="0"/>
        <v>6.0149999999999997</v>
      </c>
      <c r="M10" s="128">
        <v>2</v>
      </c>
      <c r="N10" s="130">
        <f t="shared" si="1"/>
        <v>19.950124688279303</v>
      </c>
      <c r="O10" s="131">
        <f t="shared" si="5"/>
        <v>448.87780548628433</v>
      </c>
      <c r="P10" s="132">
        <v>0.6</v>
      </c>
      <c r="Q10" s="133">
        <f t="shared" si="2"/>
        <v>269.32668329177056</v>
      </c>
      <c r="R10" s="134">
        <f t="shared" si="3"/>
        <v>10.025</v>
      </c>
      <c r="S10" s="133">
        <v>44</v>
      </c>
      <c r="T10" s="133">
        <f t="shared" si="4"/>
        <v>11850.374064837904</v>
      </c>
      <c r="V10" s="124">
        <f t="shared" si="6"/>
        <v>0</v>
      </c>
    </row>
    <row r="11" spans="1:22">
      <c r="A11" s="125">
        <v>10</v>
      </c>
      <c r="B11" s="126" t="s">
        <v>131</v>
      </c>
      <c r="C11" s="127">
        <v>120</v>
      </c>
      <c r="D11" s="127">
        <v>24</v>
      </c>
      <c r="E11" s="127">
        <v>2</v>
      </c>
      <c r="F11" s="127">
        <v>4201</v>
      </c>
      <c r="G11" s="126" t="s">
        <v>132</v>
      </c>
      <c r="H11" s="127">
        <v>5000</v>
      </c>
      <c r="I11" s="128" t="s">
        <v>74</v>
      </c>
      <c r="J11" s="126" t="s">
        <v>115</v>
      </c>
      <c r="K11" s="126">
        <v>600</v>
      </c>
      <c r="L11" s="128">
        <f t="shared" si="0"/>
        <v>11.374999999999998</v>
      </c>
      <c r="M11" s="128">
        <v>2</v>
      </c>
      <c r="N11" s="130">
        <f t="shared" si="1"/>
        <v>10.549450549450551</v>
      </c>
      <c r="O11" s="131">
        <f t="shared" si="5"/>
        <v>237.3626373626374</v>
      </c>
      <c r="P11" s="132">
        <v>0.75</v>
      </c>
      <c r="Q11" s="133">
        <f t="shared" si="2"/>
        <v>178.02197802197804</v>
      </c>
      <c r="R11" s="134">
        <f t="shared" si="3"/>
        <v>15.166666666666664</v>
      </c>
      <c r="S11" s="133">
        <v>44</v>
      </c>
      <c r="T11" s="133">
        <f t="shared" si="4"/>
        <v>7832.9670329670334</v>
      </c>
      <c r="V11" s="124">
        <f t="shared" si="6"/>
        <v>0</v>
      </c>
    </row>
    <row r="12" spans="1:22">
      <c r="A12" s="125">
        <v>11</v>
      </c>
      <c r="B12" s="126" t="s">
        <v>131</v>
      </c>
      <c r="C12" s="127">
        <v>100</v>
      </c>
      <c r="D12" s="127">
        <v>30</v>
      </c>
      <c r="E12" s="127">
        <v>2</v>
      </c>
      <c r="F12" s="127">
        <v>4202</v>
      </c>
      <c r="G12" s="126" t="s">
        <v>132</v>
      </c>
      <c r="H12" s="127">
        <v>5000</v>
      </c>
      <c r="I12" s="128" t="s">
        <v>74</v>
      </c>
      <c r="J12" s="126" t="s">
        <v>115</v>
      </c>
      <c r="K12" s="126">
        <v>600</v>
      </c>
      <c r="L12" s="128">
        <f t="shared" si="0"/>
        <v>11.374999999999998</v>
      </c>
      <c r="M12" s="128">
        <v>2</v>
      </c>
      <c r="N12" s="130">
        <f t="shared" si="1"/>
        <v>10.549450549450551</v>
      </c>
      <c r="O12" s="131">
        <f t="shared" si="5"/>
        <v>237.3626373626374</v>
      </c>
      <c r="P12" s="132">
        <v>0.75</v>
      </c>
      <c r="Q12" s="133">
        <f t="shared" si="2"/>
        <v>178.02197802197804</v>
      </c>
      <c r="R12" s="134">
        <f t="shared" si="3"/>
        <v>15.166666666666664</v>
      </c>
      <c r="S12" s="133">
        <v>44</v>
      </c>
      <c r="T12" s="133">
        <f t="shared" si="4"/>
        <v>7832.9670329670334</v>
      </c>
      <c r="V12" s="124">
        <f t="shared" si="6"/>
        <v>0</v>
      </c>
    </row>
    <row r="13" spans="1:22" ht="16.149999999999999" customHeight="1">
      <c r="A13" s="125">
        <v>12</v>
      </c>
      <c r="B13" s="126" t="s">
        <v>131</v>
      </c>
      <c r="C13" s="127">
        <v>75</v>
      </c>
      <c r="D13" s="127">
        <v>40</v>
      </c>
      <c r="E13" s="127">
        <v>2</v>
      </c>
      <c r="F13" s="127">
        <v>4203</v>
      </c>
      <c r="G13" s="126" t="s">
        <v>132</v>
      </c>
      <c r="H13" s="127">
        <v>2000</v>
      </c>
      <c r="I13" s="128" t="s">
        <v>74</v>
      </c>
      <c r="J13" s="126" t="s">
        <v>115</v>
      </c>
      <c r="K13" s="126">
        <v>600</v>
      </c>
      <c r="L13" s="128">
        <f t="shared" si="0"/>
        <v>6.35</v>
      </c>
      <c r="M13" s="128">
        <v>2</v>
      </c>
      <c r="N13" s="130">
        <f t="shared" si="1"/>
        <v>18.897637795275593</v>
      </c>
      <c r="O13" s="131">
        <f t="shared" si="5"/>
        <v>425.19685039370086</v>
      </c>
      <c r="P13" s="132">
        <v>0.65</v>
      </c>
      <c r="Q13" s="133">
        <f t="shared" si="2"/>
        <v>276.37795275590554</v>
      </c>
      <c r="R13" s="134">
        <f t="shared" si="3"/>
        <v>9.7692307692307683</v>
      </c>
      <c r="S13" s="133">
        <v>44</v>
      </c>
      <c r="T13" s="133">
        <f t="shared" si="4"/>
        <v>12160.629921259844</v>
      </c>
      <c r="V13" s="124">
        <f t="shared" si="6"/>
        <v>0</v>
      </c>
    </row>
    <row r="14" spans="1:22" ht="16.149999999999999" customHeight="1">
      <c r="A14" s="125">
        <v>13</v>
      </c>
      <c r="B14" s="126" t="s">
        <v>131</v>
      </c>
      <c r="C14" s="127">
        <v>50</v>
      </c>
      <c r="D14" s="127">
        <v>60</v>
      </c>
      <c r="E14" s="127">
        <v>2</v>
      </c>
      <c r="F14" s="127">
        <v>4204</v>
      </c>
      <c r="G14" s="126" t="s">
        <v>132</v>
      </c>
      <c r="H14" s="127">
        <v>2000</v>
      </c>
      <c r="I14" s="128" t="s">
        <v>74</v>
      </c>
      <c r="J14" s="126" t="s">
        <v>115</v>
      </c>
      <c r="K14" s="126">
        <v>600</v>
      </c>
      <c r="L14" s="128">
        <f t="shared" si="0"/>
        <v>6.35</v>
      </c>
      <c r="M14" s="128">
        <v>2</v>
      </c>
      <c r="N14" s="130">
        <f t="shared" si="1"/>
        <v>18.897637795275593</v>
      </c>
      <c r="O14" s="131">
        <f t="shared" si="5"/>
        <v>425.19685039370086</v>
      </c>
      <c r="P14" s="132">
        <v>0.65</v>
      </c>
      <c r="Q14" s="133">
        <f t="shared" si="2"/>
        <v>276.37795275590554</v>
      </c>
      <c r="R14" s="134">
        <f t="shared" si="3"/>
        <v>9.7692307692307683</v>
      </c>
      <c r="S14" s="133">
        <v>44</v>
      </c>
      <c r="T14" s="133">
        <f t="shared" si="4"/>
        <v>12160.629921259844</v>
      </c>
      <c r="V14" s="124">
        <f t="shared" si="6"/>
        <v>0</v>
      </c>
    </row>
    <row r="15" spans="1:22" ht="16.149999999999999" customHeight="1">
      <c r="A15" s="125">
        <v>14</v>
      </c>
      <c r="B15" s="126" t="s">
        <v>131</v>
      </c>
      <c r="C15" s="127">
        <v>40</v>
      </c>
      <c r="D15" s="127">
        <v>80</v>
      </c>
      <c r="E15" s="127">
        <v>2</v>
      </c>
      <c r="F15" s="127">
        <v>4206</v>
      </c>
      <c r="G15" s="126" t="s">
        <v>132</v>
      </c>
      <c r="H15" s="127">
        <v>3000</v>
      </c>
      <c r="I15" s="128" t="s">
        <v>74</v>
      </c>
      <c r="J15" s="126" t="s">
        <v>115</v>
      </c>
      <c r="K15" s="126">
        <v>600</v>
      </c>
      <c r="L15" s="128">
        <f t="shared" si="0"/>
        <v>8.0249999999999986</v>
      </c>
      <c r="M15" s="128">
        <v>2</v>
      </c>
      <c r="N15" s="130">
        <f t="shared" si="1"/>
        <v>14.953271028037387</v>
      </c>
      <c r="O15" s="131">
        <f t="shared" si="5"/>
        <v>336.44859813084122</v>
      </c>
      <c r="P15" s="132">
        <v>0.7</v>
      </c>
      <c r="Q15" s="133">
        <f t="shared" si="2"/>
        <v>235.51401869158883</v>
      </c>
      <c r="R15" s="134">
        <f t="shared" si="3"/>
        <v>11.464285714285714</v>
      </c>
      <c r="S15" s="133">
        <v>44</v>
      </c>
      <c r="T15" s="133">
        <f t="shared" si="4"/>
        <v>10362.616822429909</v>
      </c>
      <c r="V15" s="124">
        <f t="shared" si="6"/>
        <v>0</v>
      </c>
    </row>
    <row r="16" spans="1:22" ht="16.149999999999999" customHeight="1">
      <c r="A16" s="125">
        <v>15</v>
      </c>
      <c r="B16" s="126" t="s">
        <v>131</v>
      </c>
      <c r="C16" s="127">
        <v>25</v>
      </c>
      <c r="D16" s="127">
        <v>105</v>
      </c>
      <c r="E16" s="127">
        <v>2</v>
      </c>
      <c r="F16" s="127">
        <v>4207</v>
      </c>
      <c r="G16" s="126" t="s">
        <v>132</v>
      </c>
      <c r="H16" s="127">
        <v>1000</v>
      </c>
      <c r="I16" s="128" t="s">
        <v>74</v>
      </c>
      <c r="J16" s="126" t="s">
        <v>115</v>
      </c>
      <c r="K16" s="126">
        <v>500</v>
      </c>
      <c r="L16" s="128">
        <f t="shared" si="0"/>
        <v>5.01</v>
      </c>
      <c r="M16" s="128">
        <v>2</v>
      </c>
      <c r="N16" s="130">
        <f t="shared" si="1"/>
        <v>23.952095808383234</v>
      </c>
      <c r="O16" s="131">
        <f t="shared" si="5"/>
        <v>538.92215568862275</v>
      </c>
      <c r="P16" s="132">
        <v>0.55000000000000004</v>
      </c>
      <c r="Q16" s="133">
        <f t="shared" si="2"/>
        <v>296.40718562874252</v>
      </c>
      <c r="R16" s="134">
        <f t="shared" si="3"/>
        <v>9.1090909090909076</v>
      </c>
      <c r="S16" s="133">
        <v>44</v>
      </c>
      <c r="T16" s="133">
        <f t="shared" si="4"/>
        <v>13041.916167664671</v>
      </c>
      <c r="V16" s="124">
        <f t="shared" si="6"/>
        <v>0</v>
      </c>
    </row>
    <row r="17" spans="1:22" ht="16.149999999999999" customHeight="1">
      <c r="A17" s="125">
        <v>16</v>
      </c>
      <c r="B17" s="126" t="s">
        <v>131</v>
      </c>
      <c r="C17" s="127">
        <v>75</v>
      </c>
      <c r="D17" s="127">
        <v>40</v>
      </c>
      <c r="E17" s="127">
        <v>2</v>
      </c>
      <c r="F17" s="127">
        <v>4208</v>
      </c>
      <c r="G17" s="129" t="s">
        <v>149</v>
      </c>
      <c r="H17" s="127">
        <v>5000</v>
      </c>
      <c r="I17" s="128" t="s">
        <v>74</v>
      </c>
      <c r="J17" s="126" t="s">
        <v>115</v>
      </c>
      <c r="K17" s="126">
        <v>500</v>
      </c>
      <c r="L17" s="128">
        <f t="shared" si="0"/>
        <v>13.049999999999999</v>
      </c>
      <c r="M17" s="128">
        <v>2</v>
      </c>
      <c r="N17" s="130">
        <f t="shared" si="1"/>
        <v>9.1954022988505759</v>
      </c>
      <c r="O17" s="131">
        <f t="shared" si="5"/>
        <v>206.89655172413796</v>
      </c>
      <c r="P17" s="132">
        <v>0.75</v>
      </c>
      <c r="Q17" s="133">
        <f t="shared" si="2"/>
        <v>155.17241379310349</v>
      </c>
      <c r="R17" s="134">
        <f t="shared" si="3"/>
        <v>17.399999999999999</v>
      </c>
      <c r="S17" s="133">
        <v>44</v>
      </c>
      <c r="T17" s="133">
        <f t="shared" si="4"/>
        <v>6827.5862068965534</v>
      </c>
      <c r="V17" s="124">
        <f t="shared" si="6"/>
        <v>0</v>
      </c>
    </row>
    <row r="18" spans="1:22" ht="16.149999999999999" customHeight="1">
      <c r="A18" s="125">
        <v>17</v>
      </c>
      <c r="B18" s="126" t="s">
        <v>131</v>
      </c>
      <c r="C18" s="127">
        <v>120</v>
      </c>
      <c r="D18" s="127">
        <v>24</v>
      </c>
      <c r="E18" s="127">
        <v>2</v>
      </c>
      <c r="F18" s="127">
        <v>4209</v>
      </c>
      <c r="G18" s="129" t="s">
        <v>133</v>
      </c>
      <c r="H18" s="127">
        <v>5000</v>
      </c>
      <c r="I18" s="128" t="s">
        <v>74</v>
      </c>
      <c r="J18" s="126" t="s">
        <v>115</v>
      </c>
      <c r="K18" s="126">
        <v>600</v>
      </c>
      <c r="L18" s="128">
        <f t="shared" si="0"/>
        <v>11.374999999999998</v>
      </c>
      <c r="M18" s="128">
        <v>2</v>
      </c>
      <c r="N18" s="130">
        <f t="shared" si="1"/>
        <v>10.549450549450551</v>
      </c>
      <c r="O18" s="131">
        <f t="shared" si="5"/>
        <v>237.3626373626374</v>
      </c>
      <c r="P18" s="132">
        <v>0.75</v>
      </c>
      <c r="Q18" s="133">
        <f t="shared" si="2"/>
        <v>178.02197802197804</v>
      </c>
      <c r="R18" s="134">
        <f t="shared" si="3"/>
        <v>15.166666666666664</v>
      </c>
      <c r="S18" s="133">
        <v>44</v>
      </c>
      <c r="T18" s="133">
        <f t="shared" si="4"/>
        <v>7832.9670329670334</v>
      </c>
      <c r="V18" s="124">
        <f t="shared" si="6"/>
        <v>0</v>
      </c>
    </row>
    <row r="19" spans="1:22" ht="16.149999999999999" customHeight="1">
      <c r="A19" s="125">
        <v>18</v>
      </c>
      <c r="B19" s="126" t="s">
        <v>131</v>
      </c>
      <c r="C19" s="127">
        <v>100</v>
      </c>
      <c r="D19" s="127">
        <v>30</v>
      </c>
      <c r="E19" s="127">
        <v>2</v>
      </c>
      <c r="F19" s="127">
        <v>4210</v>
      </c>
      <c r="G19" s="129" t="s">
        <v>133</v>
      </c>
      <c r="H19" s="127">
        <v>5000</v>
      </c>
      <c r="I19" s="128" t="s">
        <v>74</v>
      </c>
      <c r="J19" s="126" t="s">
        <v>115</v>
      </c>
      <c r="K19" s="126">
        <v>600</v>
      </c>
      <c r="L19" s="128">
        <f t="shared" si="0"/>
        <v>11.374999999999998</v>
      </c>
      <c r="M19" s="128">
        <v>2</v>
      </c>
      <c r="N19" s="130">
        <f t="shared" si="1"/>
        <v>10.549450549450551</v>
      </c>
      <c r="O19" s="131">
        <f t="shared" si="5"/>
        <v>237.3626373626374</v>
      </c>
      <c r="P19" s="132">
        <v>0.75</v>
      </c>
      <c r="Q19" s="133">
        <f t="shared" si="2"/>
        <v>178.02197802197804</v>
      </c>
      <c r="R19" s="134">
        <f t="shared" si="3"/>
        <v>15.166666666666664</v>
      </c>
      <c r="S19" s="133">
        <v>44</v>
      </c>
      <c r="T19" s="133">
        <f t="shared" si="4"/>
        <v>7832.9670329670334</v>
      </c>
      <c r="V19" s="124">
        <f t="shared" si="6"/>
        <v>0</v>
      </c>
    </row>
    <row r="20" spans="1:22" ht="16.149999999999999" customHeight="1">
      <c r="A20" s="125">
        <v>19</v>
      </c>
      <c r="B20" s="126" t="s">
        <v>131</v>
      </c>
      <c r="C20" s="127">
        <v>75</v>
      </c>
      <c r="D20" s="127">
        <v>40</v>
      </c>
      <c r="E20" s="127">
        <v>2</v>
      </c>
      <c r="F20" s="127">
        <v>4211</v>
      </c>
      <c r="G20" s="129" t="s">
        <v>133</v>
      </c>
      <c r="H20" s="127">
        <v>2000</v>
      </c>
      <c r="I20" s="128" t="s">
        <v>74</v>
      </c>
      <c r="J20" s="126" t="s">
        <v>115</v>
      </c>
      <c r="K20" s="126">
        <v>600</v>
      </c>
      <c r="L20" s="128">
        <f t="shared" si="0"/>
        <v>6.35</v>
      </c>
      <c r="M20" s="128">
        <v>2</v>
      </c>
      <c r="N20" s="130">
        <f t="shared" si="1"/>
        <v>18.897637795275593</v>
      </c>
      <c r="O20" s="131">
        <f t="shared" si="5"/>
        <v>425.19685039370086</v>
      </c>
      <c r="P20" s="132">
        <v>0.75</v>
      </c>
      <c r="Q20" s="133">
        <f t="shared" si="2"/>
        <v>318.89763779527561</v>
      </c>
      <c r="R20" s="134">
        <f t="shared" si="3"/>
        <v>8.4666666666666668</v>
      </c>
      <c r="S20" s="133">
        <v>44</v>
      </c>
      <c r="T20" s="133">
        <f t="shared" si="4"/>
        <v>14031.496062992126</v>
      </c>
      <c r="V20" s="124">
        <f t="shared" si="6"/>
        <v>0</v>
      </c>
    </row>
    <row r="21" spans="1:22" ht="18" customHeight="1">
      <c r="A21" s="125">
        <v>20</v>
      </c>
      <c r="B21" s="126" t="s">
        <v>131</v>
      </c>
      <c r="C21" s="127">
        <v>30</v>
      </c>
      <c r="D21" s="127">
        <v>90</v>
      </c>
      <c r="E21" s="127">
        <v>3</v>
      </c>
      <c r="F21" s="127">
        <v>4305</v>
      </c>
      <c r="G21" s="126" t="s">
        <v>132</v>
      </c>
      <c r="H21" s="127">
        <v>1500</v>
      </c>
      <c r="I21" s="128" t="s">
        <v>74</v>
      </c>
      <c r="J21" s="126" t="s">
        <v>115</v>
      </c>
      <c r="K21" s="126">
        <v>500</v>
      </c>
      <c r="L21" s="128">
        <f t="shared" si="0"/>
        <v>6.0149999999999997</v>
      </c>
      <c r="M21" s="128">
        <v>2</v>
      </c>
      <c r="N21" s="130">
        <f t="shared" si="1"/>
        <v>19.950124688279303</v>
      </c>
      <c r="O21" s="131">
        <f t="shared" si="5"/>
        <v>448.87780548628433</v>
      </c>
      <c r="P21" s="132">
        <v>0.6</v>
      </c>
      <c r="Q21" s="133">
        <f t="shared" si="2"/>
        <v>269.32668329177056</v>
      </c>
      <c r="R21" s="134">
        <f t="shared" si="3"/>
        <v>10.025</v>
      </c>
      <c r="S21" s="133">
        <v>44</v>
      </c>
      <c r="T21" s="133">
        <f t="shared" si="4"/>
        <v>11850.374064837904</v>
      </c>
      <c r="V21" s="124">
        <f t="shared" si="6"/>
        <v>0</v>
      </c>
    </row>
    <row r="22" spans="1:22" ht="27.75" customHeight="1">
      <c r="A22" s="125">
        <v>21</v>
      </c>
      <c r="B22" s="126" t="s">
        <v>136</v>
      </c>
      <c r="C22" s="126">
        <v>160</v>
      </c>
      <c r="D22" s="126">
        <v>17</v>
      </c>
      <c r="E22" s="126">
        <v>1</v>
      </c>
      <c r="F22" s="126">
        <v>7102</v>
      </c>
      <c r="G22" s="129" t="s">
        <v>137</v>
      </c>
      <c r="H22" s="127">
        <v>5000</v>
      </c>
      <c r="I22" s="127" t="s">
        <v>85</v>
      </c>
      <c r="J22" s="126" t="s">
        <v>115</v>
      </c>
      <c r="K22" s="126">
        <v>600</v>
      </c>
      <c r="L22" s="128">
        <f t="shared" si="0"/>
        <v>11.374999999999998</v>
      </c>
      <c r="M22" s="128">
        <v>2</v>
      </c>
      <c r="N22" s="130">
        <f t="shared" si="1"/>
        <v>10.549450549450551</v>
      </c>
      <c r="O22" s="131">
        <f t="shared" si="5"/>
        <v>237.3626373626374</v>
      </c>
      <c r="P22" s="132">
        <v>0.75</v>
      </c>
      <c r="Q22" s="133">
        <f t="shared" si="2"/>
        <v>178.02197802197804</v>
      </c>
      <c r="R22" s="134">
        <f t="shared" si="3"/>
        <v>15.166666666666664</v>
      </c>
      <c r="S22" s="133">
        <v>44</v>
      </c>
      <c r="T22" s="133">
        <f t="shared" si="4"/>
        <v>7832.9670329670334</v>
      </c>
      <c r="V22" s="124">
        <f t="shared" si="6"/>
        <v>0</v>
      </c>
    </row>
    <row r="23" spans="1:22" ht="35.25" customHeight="1">
      <c r="A23" s="125">
        <v>22</v>
      </c>
      <c r="B23" s="126" t="s">
        <v>138</v>
      </c>
      <c r="C23" s="126">
        <v>80</v>
      </c>
      <c r="D23" s="126">
        <v>35</v>
      </c>
      <c r="E23" s="126">
        <v>1</v>
      </c>
      <c r="F23" s="126">
        <v>7103</v>
      </c>
      <c r="G23" s="129" t="s">
        <v>135</v>
      </c>
      <c r="H23" s="127">
        <v>5000</v>
      </c>
      <c r="I23" s="127" t="s">
        <v>85</v>
      </c>
      <c r="J23" s="126" t="s">
        <v>115</v>
      </c>
      <c r="K23" s="126">
        <v>600</v>
      </c>
      <c r="L23" s="128">
        <f t="shared" si="0"/>
        <v>11.374999999999998</v>
      </c>
      <c r="M23" s="128">
        <v>2</v>
      </c>
      <c r="N23" s="130">
        <f t="shared" si="1"/>
        <v>10.549450549450551</v>
      </c>
      <c r="O23" s="131">
        <f t="shared" si="5"/>
        <v>237.3626373626374</v>
      </c>
      <c r="P23" s="132">
        <v>0.75</v>
      </c>
      <c r="Q23" s="133">
        <f t="shared" si="2"/>
        <v>178.02197802197804</v>
      </c>
      <c r="R23" s="134">
        <f t="shared" si="3"/>
        <v>15.166666666666664</v>
      </c>
      <c r="S23" s="133">
        <v>44</v>
      </c>
      <c r="T23" s="133">
        <f t="shared" si="4"/>
        <v>7832.9670329670334</v>
      </c>
      <c r="V23" s="124">
        <f t="shared" si="6"/>
        <v>0</v>
      </c>
    </row>
    <row r="24" spans="1:22" ht="27.6" customHeight="1">
      <c r="A24" s="125">
        <v>23</v>
      </c>
      <c r="B24" s="126" t="s">
        <v>128</v>
      </c>
      <c r="C24" s="127">
        <v>150</v>
      </c>
      <c r="D24" s="127">
        <v>18</v>
      </c>
      <c r="E24" s="127">
        <v>2</v>
      </c>
      <c r="F24" s="127">
        <v>7201</v>
      </c>
      <c r="G24" s="135" t="s">
        <v>129</v>
      </c>
      <c r="H24" s="127">
        <v>10000</v>
      </c>
      <c r="I24" s="127" t="s">
        <v>85</v>
      </c>
      <c r="J24" s="126" t="s">
        <v>115</v>
      </c>
      <c r="K24" s="126">
        <v>600</v>
      </c>
      <c r="L24" s="128">
        <f t="shared" si="0"/>
        <v>19.749999999999996</v>
      </c>
      <c r="M24" s="128">
        <v>2</v>
      </c>
      <c r="N24" s="130">
        <f t="shared" si="1"/>
        <v>6.0759493670886089</v>
      </c>
      <c r="O24" s="131">
        <f t="shared" si="5"/>
        <v>136.70886075949369</v>
      </c>
      <c r="P24" s="132">
        <v>0.8</v>
      </c>
      <c r="Q24" s="133">
        <f t="shared" si="2"/>
        <v>109.36708860759495</v>
      </c>
      <c r="R24" s="134">
        <f t="shared" si="3"/>
        <v>24.687499999999993</v>
      </c>
      <c r="S24" s="133">
        <v>44</v>
      </c>
      <c r="T24" s="133">
        <f t="shared" si="4"/>
        <v>4812.1518987341778</v>
      </c>
      <c r="V24" s="124">
        <f t="shared" si="6"/>
        <v>0</v>
      </c>
    </row>
    <row r="25" spans="1:22" ht="37.9" customHeight="1">
      <c r="A25" s="125">
        <v>24</v>
      </c>
      <c r="B25" s="126" t="s">
        <v>130</v>
      </c>
      <c r="C25" s="127">
        <v>120</v>
      </c>
      <c r="D25" s="127">
        <v>27</v>
      </c>
      <c r="E25" s="127">
        <v>3</v>
      </c>
      <c r="F25" s="127">
        <v>7301</v>
      </c>
      <c r="G25" s="135" t="s">
        <v>129</v>
      </c>
      <c r="H25" s="127">
        <v>5000</v>
      </c>
      <c r="I25" s="127" t="s">
        <v>85</v>
      </c>
      <c r="J25" s="126" t="s">
        <v>115</v>
      </c>
      <c r="K25" s="126">
        <v>600</v>
      </c>
      <c r="L25" s="128">
        <f t="shared" si="0"/>
        <v>11.374999999999998</v>
      </c>
      <c r="M25" s="128">
        <v>2</v>
      </c>
      <c r="N25" s="130">
        <f t="shared" si="1"/>
        <v>10.549450549450551</v>
      </c>
      <c r="O25" s="131">
        <f t="shared" si="5"/>
        <v>237.3626373626374</v>
      </c>
      <c r="P25" s="132">
        <v>0.75</v>
      </c>
      <c r="Q25" s="133">
        <f t="shared" si="2"/>
        <v>178.02197802197804</v>
      </c>
      <c r="R25" s="134">
        <f t="shared" si="3"/>
        <v>15.166666666666664</v>
      </c>
      <c r="S25" s="133">
        <v>44</v>
      </c>
      <c r="T25" s="133">
        <f t="shared" si="4"/>
        <v>7832.9670329670334</v>
      </c>
      <c r="V25" s="124">
        <f t="shared" si="6"/>
        <v>0</v>
      </c>
    </row>
  </sheetData>
  <pageMargins left="0.51181102362204722" right="0.11811023622047245" top="0.15748031496062992" bottom="0.15748031496062992" header="0.11811023622047245" footer="0.19685039370078741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workbookViewId="0">
      <selection activeCell="M13" sqref="M13"/>
    </sheetView>
  </sheetViews>
  <sheetFormatPr defaultColWidth="10.28515625" defaultRowHeight="15"/>
  <cols>
    <col min="1" max="1" width="4.42578125" style="52" customWidth="1"/>
    <col min="2" max="2" width="12.85546875" style="62" customWidth="1"/>
    <col min="3" max="3" width="5.140625" style="62" bestFit="1" customWidth="1"/>
    <col min="4" max="4" width="8.42578125" style="62" bestFit="1" customWidth="1"/>
    <col min="5" max="5" width="5.140625" style="62" bestFit="1" customWidth="1"/>
    <col min="6" max="6" width="6.5703125" style="62" bestFit="1" customWidth="1"/>
    <col min="7" max="7" width="14.7109375" style="62" customWidth="1"/>
    <col min="8" max="8" width="9.7109375" style="62" customWidth="1"/>
    <col min="9" max="9" width="5.140625" style="62" customWidth="1"/>
    <col min="10" max="10" width="12.5703125" style="62" bestFit="1" customWidth="1"/>
    <col min="11" max="11" width="9.140625" style="62" customWidth="1"/>
    <col min="12" max="12" width="8.5703125" style="62" customWidth="1"/>
    <col min="13" max="13" width="7.7109375" style="62" bestFit="1" customWidth="1"/>
    <col min="14" max="14" width="14.85546875" style="62" bestFit="1" customWidth="1"/>
    <col min="15" max="15" width="10" style="62" customWidth="1"/>
    <col min="16" max="20" width="10.28515625" style="52"/>
    <col min="21" max="21" width="13.140625" style="52" customWidth="1"/>
    <col min="22" max="22" width="11.5703125" style="52" bestFit="1" customWidth="1"/>
    <col min="23" max="23" width="17.7109375" style="52" customWidth="1"/>
    <col min="24" max="16384" width="10.28515625" style="52"/>
  </cols>
  <sheetData>
    <row r="1" spans="1:23" ht="38.85" customHeight="1">
      <c r="A1" s="46" t="s">
        <v>62</v>
      </c>
      <c r="B1" s="47" t="s">
        <v>187</v>
      </c>
      <c r="C1" s="47" t="s">
        <v>188</v>
      </c>
      <c r="D1" s="47" t="s">
        <v>189</v>
      </c>
      <c r="E1" s="47" t="s">
        <v>190</v>
      </c>
      <c r="F1" s="48" t="s">
        <v>191</v>
      </c>
      <c r="G1" s="47" t="s">
        <v>192</v>
      </c>
      <c r="H1" s="47" t="s">
        <v>193</v>
      </c>
      <c r="I1" s="47" t="s">
        <v>194</v>
      </c>
      <c r="J1" s="47" t="s">
        <v>195</v>
      </c>
      <c r="K1" s="47" t="s">
        <v>141</v>
      </c>
      <c r="L1" s="47" t="s">
        <v>142</v>
      </c>
      <c r="M1" s="47" t="s">
        <v>175</v>
      </c>
      <c r="N1" s="49" t="s">
        <v>143</v>
      </c>
      <c r="O1" s="49" t="s">
        <v>206</v>
      </c>
      <c r="P1" s="49" t="s">
        <v>144</v>
      </c>
      <c r="Q1" s="49" t="s">
        <v>207</v>
      </c>
      <c r="R1" s="49" t="s">
        <v>145</v>
      </c>
      <c r="S1" s="49" t="s">
        <v>176</v>
      </c>
      <c r="T1" s="49" t="s">
        <v>294</v>
      </c>
      <c r="U1" s="50" t="s">
        <v>196</v>
      </c>
      <c r="V1" s="51" t="s">
        <v>197</v>
      </c>
      <c r="W1" s="51" t="s">
        <v>198</v>
      </c>
    </row>
    <row r="2" spans="1:23" ht="27.75" customHeight="1">
      <c r="A2" s="53">
        <v>1</v>
      </c>
      <c r="B2" s="54" t="s">
        <v>199</v>
      </c>
      <c r="C2" s="54">
        <v>60</v>
      </c>
      <c r="D2" s="54">
        <v>20</v>
      </c>
      <c r="E2" s="54">
        <v>2</v>
      </c>
      <c r="F2" s="54">
        <v>1207</v>
      </c>
      <c r="G2" s="54" t="s">
        <v>200</v>
      </c>
      <c r="H2" s="54">
        <v>800</v>
      </c>
      <c r="I2" s="54" t="s">
        <v>201</v>
      </c>
      <c r="J2" s="54" t="s">
        <v>202</v>
      </c>
      <c r="K2" s="54">
        <v>500</v>
      </c>
      <c r="L2" s="55">
        <f>H2*1.005/K2+0.4</f>
        <v>2.008</v>
      </c>
      <c r="M2" s="55">
        <v>1</v>
      </c>
      <c r="N2" s="56">
        <f t="shared" ref="N2:N4" si="0">60/L2*M2</f>
        <v>29.880478087649401</v>
      </c>
      <c r="O2" s="57">
        <f>N2*22</f>
        <v>657.37051792828686</v>
      </c>
      <c r="P2" s="58">
        <v>0.7</v>
      </c>
      <c r="Q2" s="59">
        <f t="shared" ref="Q2:Q8" si="1">O2*P2</f>
        <v>460.15936254980079</v>
      </c>
      <c r="R2" s="59">
        <f t="shared" ref="R2:R4" si="2">L2/P2</f>
        <v>2.8685714285714288</v>
      </c>
      <c r="S2" s="59">
        <v>30</v>
      </c>
      <c r="T2" s="59">
        <f>Q2*S2/10</f>
        <v>1380.4780876494024</v>
      </c>
      <c r="U2" s="52">
        <v>70000</v>
      </c>
      <c r="V2" s="60">
        <f t="shared" ref="V2:V4" si="3">U2/T2</f>
        <v>50.707070707070706</v>
      </c>
      <c r="W2" s="52">
        <f t="shared" ref="W2:W4" si="4">U2*R2</f>
        <v>200800</v>
      </c>
    </row>
    <row r="3" spans="1:23" ht="29.25" customHeight="1">
      <c r="A3" s="53">
        <v>2</v>
      </c>
      <c r="B3" s="54" t="s">
        <v>199</v>
      </c>
      <c r="C3" s="54">
        <v>60</v>
      </c>
      <c r="D3" s="54">
        <v>20</v>
      </c>
      <c r="E3" s="54">
        <v>2</v>
      </c>
      <c r="F3" s="54">
        <v>1206</v>
      </c>
      <c r="G3" s="54" t="s">
        <v>200</v>
      </c>
      <c r="H3" s="54">
        <v>180</v>
      </c>
      <c r="I3" s="54" t="s">
        <v>201</v>
      </c>
      <c r="J3" s="54" t="s">
        <v>203</v>
      </c>
      <c r="K3" s="54">
        <v>400</v>
      </c>
      <c r="L3" s="55">
        <f>H3*1.005/K3+0.4</f>
        <v>0.85224999999999995</v>
      </c>
      <c r="M3" s="55">
        <v>1</v>
      </c>
      <c r="N3" s="56">
        <f t="shared" si="0"/>
        <v>70.401877383396894</v>
      </c>
      <c r="O3" s="57">
        <f t="shared" ref="O3:O8" si="5">N3*22</f>
        <v>1548.8413024347317</v>
      </c>
      <c r="P3" s="58">
        <v>0.6</v>
      </c>
      <c r="Q3" s="59">
        <f t="shared" si="1"/>
        <v>929.30478146083897</v>
      </c>
      <c r="R3" s="59">
        <f t="shared" si="2"/>
        <v>1.4204166666666667</v>
      </c>
      <c r="S3" s="59">
        <v>30</v>
      </c>
      <c r="T3" s="59">
        <f>Q3*S3/20</f>
        <v>1393.9571721912585</v>
      </c>
      <c r="U3" s="52">
        <v>167000</v>
      </c>
      <c r="V3" s="60">
        <f t="shared" si="3"/>
        <v>119.80281986531986</v>
      </c>
      <c r="W3" s="52">
        <f t="shared" si="4"/>
        <v>237209.58333333334</v>
      </c>
    </row>
    <row r="4" spans="1:23" ht="36" customHeight="1">
      <c r="A4" s="53">
        <v>3</v>
      </c>
      <c r="B4" s="54" t="s">
        <v>126</v>
      </c>
      <c r="C4" s="61">
        <v>80</v>
      </c>
      <c r="D4" s="61">
        <v>30</v>
      </c>
      <c r="E4" s="61">
        <v>3</v>
      </c>
      <c r="F4" s="61">
        <v>1302</v>
      </c>
      <c r="G4" s="61" t="s">
        <v>118</v>
      </c>
      <c r="H4" s="61">
        <v>135</v>
      </c>
      <c r="I4" s="61" t="s">
        <v>85</v>
      </c>
      <c r="J4" s="54" t="s">
        <v>127</v>
      </c>
      <c r="K4" s="54">
        <v>400</v>
      </c>
      <c r="L4" s="55">
        <f>H4*1.005/K4+0.4</f>
        <v>0.7391875</v>
      </c>
      <c r="M4" s="55">
        <v>1</v>
      </c>
      <c r="N4" s="56">
        <f t="shared" si="0"/>
        <v>81.170203771032391</v>
      </c>
      <c r="O4" s="57">
        <f t="shared" si="5"/>
        <v>1785.7444829627125</v>
      </c>
      <c r="P4" s="58">
        <v>0.55000000000000004</v>
      </c>
      <c r="Q4" s="59">
        <f t="shared" si="1"/>
        <v>982.15946562949193</v>
      </c>
      <c r="R4" s="59">
        <f t="shared" si="2"/>
        <v>1.3439772727272725</v>
      </c>
      <c r="S4" s="59">
        <v>30</v>
      </c>
      <c r="T4" s="59">
        <f>Q4*S4/20</f>
        <v>1473.2391984442379</v>
      </c>
      <c r="U4" s="52">
        <v>18000</v>
      </c>
      <c r="V4" s="60">
        <f t="shared" si="3"/>
        <v>12.21797520661157</v>
      </c>
      <c r="W4" s="52">
        <f t="shared" si="4"/>
        <v>24191.590909090904</v>
      </c>
    </row>
    <row r="5" spans="1:23" ht="36" customHeight="1">
      <c r="A5" s="113">
        <v>4</v>
      </c>
      <c r="B5" s="54" t="s">
        <v>249</v>
      </c>
      <c r="C5" s="61">
        <v>120</v>
      </c>
      <c r="D5" s="61">
        <v>25</v>
      </c>
      <c r="E5" s="61">
        <v>2</v>
      </c>
      <c r="F5" s="61">
        <v>1215</v>
      </c>
      <c r="G5" s="61" t="s">
        <v>118</v>
      </c>
      <c r="H5" s="61">
        <v>2000</v>
      </c>
      <c r="I5" s="61" t="s">
        <v>85</v>
      </c>
      <c r="J5" s="54" t="s">
        <v>250</v>
      </c>
      <c r="K5" s="54">
        <v>600</v>
      </c>
      <c r="L5" s="55">
        <f>H5*1.005/K5+0.4</f>
        <v>3.7499999999999996</v>
      </c>
      <c r="M5" s="55">
        <v>1</v>
      </c>
      <c r="N5" s="56">
        <f t="shared" ref="N5:N8" si="6">60/L5*M5</f>
        <v>16.000000000000004</v>
      </c>
      <c r="O5" s="57">
        <f t="shared" si="5"/>
        <v>352.00000000000006</v>
      </c>
      <c r="P5" s="58">
        <v>0.7</v>
      </c>
      <c r="Q5" s="59">
        <f t="shared" si="1"/>
        <v>246.40000000000003</v>
      </c>
      <c r="R5" s="59">
        <f t="shared" ref="R5:R8" si="7">L5/P5</f>
        <v>5.3571428571428568</v>
      </c>
      <c r="S5" s="59">
        <v>30</v>
      </c>
      <c r="T5" s="59">
        <f>Q5*S5/10</f>
        <v>739.2</v>
      </c>
      <c r="U5" s="52">
        <v>0</v>
      </c>
      <c r="V5" s="60">
        <f t="shared" ref="V5" si="8">U5/T5</f>
        <v>0</v>
      </c>
      <c r="W5" s="52">
        <f t="shared" ref="W5" si="9">U5*R5</f>
        <v>0</v>
      </c>
    </row>
    <row r="6" spans="1:23" ht="36" customHeight="1">
      <c r="A6" s="53">
        <v>5</v>
      </c>
      <c r="B6" s="16" t="s">
        <v>125</v>
      </c>
      <c r="C6" s="17">
        <v>100</v>
      </c>
      <c r="D6" s="17">
        <v>30</v>
      </c>
      <c r="E6" s="17">
        <v>3</v>
      </c>
      <c r="F6" s="17">
        <v>1304</v>
      </c>
      <c r="G6" s="16" t="s">
        <v>122</v>
      </c>
      <c r="H6" s="61">
        <v>1000</v>
      </c>
      <c r="I6" s="61" t="s">
        <v>85</v>
      </c>
      <c r="J6" s="54" t="s">
        <v>250</v>
      </c>
      <c r="K6" s="54">
        <v>500</v>
      </c>
      <c r="L6" s="55">
        <f>H6*1.005/K6+0.4</f>
        <v>2.4099999999999997</v>
      </c>
      <c r="M6" s="55">
        <v>1</v>
      </c>
      <c r="N6" s="56">
        <f t="shared" si="6"/>
        <v>24.896265560165979</v>
      </c>
      <c r="O6" s="57">
        <f t="shared" si="5"/>
        <v>547.71784232365155</v>
      </c>
      <c r="P6" s="58">
        <v>0.7</v>
      </c>
      <c r="Q6" s="59">
        <f t="shared" si="1"/>
        <v>383.40248962655608</v>
      </c>
      <c r="R6" s="59">
        <f t="shared" si="7"/>
        <v>3.4428571428571426</v>
      </c>
      <c r="S6" s="59">
        <v>30</v>
      </c>
      <c r="T6" s="59">
        <f>Q6*S6/10</f>
        <v>1150.2074688796681</v>
      </c>
      <c r="V6" s="60"/>
    </row>
    <row r="7" spans="1:23" ht="36" customHeight="1">
      <c r="A7" s="113">
        <v>6</v>
      </c>
      <c r="B7" s="16" t="s">
        <v>131</v>
      </c>
      <c r="C7" s="17">
        <v>75</v>
      </c>
      <c r="D7" s="17">
        <v>40</v>
      </c>
      <c r="E7" s="17">
        <v>2</v>
      </c>
      <c r="F7" s="17">
        <v>4213</v>
      </c>
      <c r="G7" s="19" t="s">
        <v>149</v>
      </c>
      <c r="H7" s="114">
        <v>800</v>
      </c>
      <c r="I7" s="61" t="s">
        <v>85</v>
      </c>
      <c r="J7" s="54" t="s">
        <v>250</v>
      </c>
      <c r="K7" s="54">
        <v>500</v>
      </c>
      <c r="L7" s="55">
        <f t="shared" ref="L7:L8" si="10">H7*1.005/K7+0.4</f>
        <v>2.008</v>
      </c>
      <c r="M7" s="55">
        <v>1</v>
      </c>
      <c r="N7" s="56">
        <f t="shared" si="6"/>
        <v>29.880478087649401</v>
      </c>
      <c r="O7" s="57">
        <f t="shared" si="5"/>
        <v>657.37051792828686</v>
      </c>
      <c r="P7" s="58">
        <v>0.7</v>
      </c>
      <c r="Q7" s="59">
        <f t="shared" si="1"/>
        <v>460.15936254980079</v>
      </c>
      <c r="R7" s="59">
        <f t="shared" si="7"/>
        <v>2.8685714285714288</v>
      </c>
      <c r="S7" s="59">
        <v>30</v>
      </c>
      <c r="T7" s="59">
        <f t="shared" ref="T7:T8" si="11">Q7*S7/10</f>
        <v>1380.4780876494024</v>
      </c>
      <c r="V7" s="60"/>
    </row>
    <row r="8" spans="1:23" ht="36" customHeight="1">
      <c r="A8" s="53">
        <v>7</v>
      </c>
      <c r="B8" s="16" t="s">
        <v>131</v>
      </c>
      <c r="C8" s="17">
        <v>100</v>
      </c>
      <c r="D8" s="17">
        <v>30</v>
      </c>
      <c r="E8" s="17">
        <v>2</v>
      </c>
      <c r="F8" s="17">
        <v>4212</v>
      </c>
      <c r="G8" s="16" t="s">
        <v>132</v>
      </c>
      <c r="H8" s="61">
        <v>1000</v>
      </c>
      <c r="I8" s="61" t="s">
        <v>85</v>
      </c>
      <c r="J8" s="54" t="s">
        <v>250</v>
      </c>
      <c r="K8" s="54">
        <v>500</v>
      </c>
      <c r="L8" s="55">
        <f t="shared" si="10"/>
        <v>2.4099999999999997</v>
      </c>
      <c r="M8" s="55">
        <v>1</v>
      </c>
      <c r="N8" s="56">
        <f t="shared" si="6"/>
        <v>24.896265560165979</v>
      </c>
      <c r="O8" s="57">
        <f t="shared" si="5"/>
        <v>547.71784232365155</v>
      </c>
      <c r="P8" s="58">
        <v>0.7</v>
      </c>
      <c r="Q8" s="59">
        <f t="shared" si="1"/>
        <v>383.40248962655608</v>
      </c>
      <c r="R8" s="59">
        <f t="shared" si="7"/>
        <v>3.4428571428571426</v>
      </c>
      <c r="S8" s="59">
        <v>30</v>
      </c>
      <c r="T8" s="59">
        <f t="shared" si="11"/>
        <v>1150.2074688796681</v>
      </c>
      <c r="V8" s="60"/>
    </row>
    <row r="9" spans="1:23">
      <c r="W9" s="52">
        <f>SUM(W2:W4)</f>
        <v>462201.17424242425</v>
      </c>
    </row>
    <row r="10" spans="1:23">
      <c r="D10" s="63" t="s">
        <v>204</v>
      </c>
      <c r="W10" s="52">
        <f>30*1*21*60</f>
        <v>37800</v>
      </c>
    </row>
    <row r="11" spans="1:23">
      <c r="D11" s="63" t="s">
        <v>205</v>
      </c>
      <c r="W11" s="52">
        <f>W9/W10</f>
        <v>12.227544292127625</v>
      </c>
    </row>
  </sheetData>
  <autoFilter ref="D1:W11"/>
  <pageMargins left="0.51181102362204722" right="0.11811023622047245" top="0.15748031496062992" bottom="0.15748031496062992" header="0.11811023622047245" footer="0.19685039370078741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workbookViewId="0">
      <selection activeCell="J17" sqref="J17"/>
    </sheetView>
  </sheetViews>
  <sheetFormatPr defaultColWidth="10.28515625" defaultRowHeight="15"/>
  <cols>
    <col min="1" max="1" width="2.28515625" style="9" bestFit="1" customWidth="1"/>
    <col min="2" max="2" width="16" style="9" customWidth="1"/>
    <col min="3" max="3" width="4" style="9" bestFit="1" customWidth="1"/>
    <col min="4" max="4" width="6.28515625" style="9" bestFit="1" customWidth="1"/>
    <col min="5" max="5" width="2.85546875" style="9" bestFit="1" customWidth="1"/>
    <col min="6" max="6" width="5" style="9" bestFit="1" customWidth="1"/>
    <col min="7" max="7" width="9.28515625" style="9" bestFit="1" customWidth="1"/>
    <col min="8" max="8" width="8.42578125" style="9" customWidth="1"/>
    <col min="9" max="9" width="6.7109375" style="9" customWidth="1"/>
    <col min="10" max="10" width="14.42578125" style="9" customWidth="1"/>
    <col min="11" max="11" width="8.7109375" style="9" customWidth="1"/>
    <col min="12" max="12" width="11.7109375" style="9" customWidth="1"/>
    <col min="13" max="13" width="8.7109375" style="9" customWidth="1"/>
    <col min="14" max="14" width="9.28515625" style="9" customWidth="1"/>
    <col min="15" max="15" width="10.7109375" style="9" customWidth="1"/>
    <col min="16" max="16" width="10.28515625" style="9"/>
    <col min="17" max="18" width="12.5703125" style="9" bestFit="1" customWidth="1"/>
    <col min="19" max="20" width="10.28515625" style="9"/>
    <col min="21" max="21" width="8.28515625" style="9" customWidth="1"/>
    <col min="22" max="22" width="11.5703125" style="9" bestFit="1" customWidth="1"/>
    <col min="23" max="16384" width="10.28515625" style="9"/>
  </cols>
  <sheetData>
    <row r="1" spans="1:24" ht="38.85" customHeight="1">
      <c r="A1" s="10" t="s">
        <v>62</v>
      </c>
      <c r="B1" s="36" t="s">
        <v>63</v>
      </c>
      <c r="C1" s="37" t="s">
        <v>64</v>
      </c>
      <c r="D1" s="37" t="s">
        <v>65</v>
      </c>
      <c r="E1" s="37" t="s">
        <v>66</v>
      </c>
      <c r="F1" s="38" t="s">
        <v>67</v>
      </c>
      <c r="G1" s="37" t="s">
        <v>68</v>
      </c>
      <c r="H1" s="37" t="s">
        <v>69</v>
      </c>
      <c r="I1" s="37" t="s">
        <v>70</v>
      </c>
      <c r="J1" s="36" t="s">
        <v>71</v>
      </c>
      <c r="K1" s="39" t="s">
        <v>141</v>
      </c>
      <c r="L1" s="39" t="s">
        <v>142</v>
      </c>
      <c r="M1" s="39" t="s">
        <v>175</v>
      </c>
      <c r="N1" s="40" t="s">
        <v>143</v>
      </c>
      <c r="O1" s="40" t="s">
        <v>179</v>
      </c>
      <c r="P1" s="40" t="s">
        <v>144</v>
      </c>
      <c r="Q1" s="40" t="s">
        <v>244</v>
      </c>
      <c r="R1" s="40" t="s">
        <v>145</v>
      </c>
      <c r="S1" s="40" t="s">
        <v>176</v>
      </c>
      <c r="T1" s="40" t="s">
        <v>147</v>
      </c>
      <c r="U1" s="40" t="s">
        <v>177</v>
      </c>
      <c r="V1" s="40" t="s">
        <v>178</v>
      </c>
    </row>
    <row r="2" spans="1:24" ht="16.5" customHeight="1">
      <c r="A2" s="15">
        <v>1</v>
      </c>
      <c r="B2" s="19" t="s">
        <v>186</v>
      </c>
      <c r="C2" s="15">
        <v>40</v>
      </c>
      <c r="D2" s="15">
        <v>70</v>
      </c>
      <c r="E2" s="15">
        <v>3</v>
      </c>
      <c r="F2" s="17">
        <v>3301</v>
      </c>
      <c r="G2" s="16" t="s">
        <v>73</v>
      </c>
      <c r="H2" s="17">
        <v>500</v>
      </c>
      <c r="I2" s="18" t="s">
        <v>74</v>
      </c>
      <c r="J2" s="16" t="s">
        <v>75</v>
      </c>
      <c r="K2" s="16">
        <v>180</v>
      </c>
      <c r="L2" s="34">
        <f>H2*1.005/K2+3</f>
        <v>5.7916666666666661</v>
      </c>
      <c r="M2" s="21">
        <v>3</v>
      </c>
      <c r="N2" s="45">
        <f>60/L2*M2</f>
        <v>31.079136690647488</v>
      </c>
      <c r="O2" s="22">
        <f>N2*20</f>
        <v>621.58273381294975</v>
      </c>
      <c r="P2" s="25">
        <v>0.65</v>
      </c>
      <c r="Q2" s="33">
        <f>O2*P2</f>
        <v>404.02877697841734</v>
      </c>
      <c r="R2" s="33">
        <f>L2/P2</f>
        <v>8.9102564102564088</v>
      </c>
      <c r="S2" s="20">
        <v>4</v>
      </c>
      <c r="T2" s="43">
        <f>Q2*S2</f>
        <v>1616.1151079136694</v>
      </c>
      <c r="U2" s="20">
        <v>3.6999999999999998E-2</v>
      </c>
      <c r="V2" s="44">
        <f>T2*U2</f>
        <v>59.796258992805761</v>
      </c>
    </row>
    <row r="3" spans="1:24" ht="18" customHeight="1">
      <c r="A3" s="15">
        <v>2</v>
      </c>
      <c r="B3" s="19" t="s">
        <v>183</v>
      </c>
      <c r="C3" s="15">
        <v>40</v>
      </c>
      <c r="D3" s="15">
        <v>70</v>
      </c>
      <c r="E3" s="15">
        <v>3</v>
      </c>
      <c r="F3" s="17">
        <v>3302</v>
      </c>
      <c r="G3" s="16" t="s">
        <v>73</v>
      </c>
      <c r="H3" s="17">
        <v>1500</v>
      </c>
      <c r="I3" s="18" t="s">
        <v>74</v>
      </c>
      <c r="J3" s="16" t="s">
        <v>77</v>
      </c>
      <c r="K3" s="16">
        <v>600</v>
      </c>
      <c r="L3" s="34">
        <f>H3*1.005/K3+0.5</f>
        <v>3.0124999999999997</v>
      </c>
      <c r="M3" s="21">
        <v>1</v>
      </c>
      <c r="N3" s="45">
        <f t="shared" ref="N3:N5" si="0">60/L3*M3</f>
        <v>19.91701244813278</v>
      </c>
      <c r="O3" s="22">
        <f>N3*23</f>
        <v>458.09128630705396</v>
      </c>
      <c r="P3" s="25">
        <v>0.85</v>
      </c>
      <c r="Q3" s="33">
        <f>O3*P3</f>
        <v>389.37759336099583</v>
      </c>
      <c r="R3" s="33">
        <f>L3/P3</f>
        <v>3.5441176470588234</v>
      </c>
      <c r="S3" s="20">
        <v>4</v>
      </c>
      <c r="T3" s="43">
        <v>1730</v>
      </c>
      <c r="U3" s="20">
        <v>0.112</v>
      </c>
      <c r="V3" s="44">
        <f>T3*U3</f>
        <v>193.76</v>
      </c>
    </row>
    <row r="4" spans="1:24" ht="25.5" customHeight="1">
      <c r="A4" s="15">
        <v>3</v>
      </c>
      <c r="B4" s="19" t="s">
        <v>182</v>
      </c>
      <c r="C4" s="15">
        <v>20</v>
      </c>
      <c r="D4" s="15">
        <v>135</v>
      </c>
      <c r="E4" s="15">
        <v>3</v>
      </c>
      <c r="F4" s="17">
        <v>3310</v>
      </c>
      <c r="G4" s="16" t="s">
        <v>73</v>
      </c>
      <c r="H4" s="17">
        <v>1000</v>
      </c>
      <c r="I4" s="18" t="s">
        <v>74</v>
      </c>
      <c r="J4" s="16" t="s">
        <v>83</v>
      </c>
      <c r="K4" s="16">
        <v>600</v>
      </c>
      <c r="L4" s="34">
        <f>H4*1.005/K4+0.5</f>
        <v>2.1749999999999998</v>
      </c>
      <c r="M4" s="21">
        <v>1</v>
      </c>
      <c r="N4" s="45">
        <f t="shared" si="0"/>
        <v>27.586206896551726</v>
      </c>
      <c r="O4" s="22">
        <f>N4*23</f>
        <v>634.48275862068965</v>
      </c>
      <c r="P4" s="25">
        <v>0.85</v>
      </c>
      <c r="Q4" s="33">
        <f t="shared" ref="Q4:Q5" si="1">O4*P4</f>
        <v>539.31034482758616</v>
      </c>
      <c r="R4" s="33">
        <f t="shared" ref="R4:R5" si="2">L4/P4</f>
        <v>2.5588235294117645</v>
      </c>
      <c r="S4" s="20">
        <v>6</v>
      </c>
      <c r="T4" s="43">
        <v>3556</v>
      </c>
      <c r="U4" s="20">
        <v>0.155</v>
      </c>
      <c r="V4" s="44">
        <f>T4*U4</f>
        <v>551.17999999999995</v>
      </c>
    </row>
    <row r="5" spans="1:24" ht="33.75" customHeight="1">
      <c r="A5" s="15">
        <v>4</v>
      </c>
      <c r="B5" s="19" t="s">
        <v>233</v>
      </c>
      <c r="C5" s="15">
        <v>60</v>
      </c>
      <c r="D5" s="15">
        <v>50</v>
      </c>
      <c r="E5" s="15">
        <v>2</v>
      </c>
      <c r="F5" s="17">
        <v>2201</v>
      </c>
      <c r="G5" s="16" t="s">
        <v>88</v>
      </c>
      <c r="H5" s="17">
        <v>10000</v>
      </c>
      <c r="I5" s="18" t="s">
        <v>74</v>
      </c>
      <c r="J5" s="16" t="s">
        <v>89</v>
      </c>
      <c r="K5" s="16">
        <v>500</v>
      </c>
      <c r="L5" s="34">
        <f t="shared" ref="L5" si="3">H5*1.005/K5+3</f>
        <v>23.099999999999998</v>
      </c>
      <c r="M5" s="21">
        <v>1</v>
      </c>
      <c r="N5" s="45">
        <f t="shared" si="0"/>
        <v>2.5974025974025978</v>
      </c>
      <c r="O5" s="22">
        <f>N5*23</f>
        <v>59.740259740259752</v>
      </c>
      <c r="P5" s="25">
        <v>0.85</v>
      </c>
      <c r="Q5" s="33">
        <f t="shared" si="1"/>
        <v>50.779220779220786</v>
      </c>
      <c r="R5" s="33">
        <f t="shared" si="2"/>
        <v>27.176470588235293</v>
      </c>
      <c r="S5" s="20">
        <v>5</v>
      </c>
      <c r="T5" s="43">
        <v>233</v>
      </c>
      <c r="U5" s="41">
        <v>0.5</v>
      </c>
      <c r="V5" s="44">
        <f t="shared" ref="V5:V7" si="4">T5*U5</f>
        <v>116.5</v>
      </c>
    </row>
    <row r="6" spans="1:24" ht="24.75" customHeight="1">
      <c r="A6" s="15">
        <v>5</v>
      </c>
      <c r="B6" s="19" t="s">
        <v>233</v>
      </c>
      <c r="C6" s="15">
        <v>60</v>
      </c>
      <c r="D6" s="15">
        <v>50</v>
      </c>
      <c r="E6" s="15">
        <v>2</v>
      </c>
      <c r="F6" s="17">
        <v>2203</v>
      </c>
      <c r="G6" s="19" t="s">
        <v>172</v>
      </c>
      <c r="H6" s="17">
        <v>17900</v>
      </c>
      <c r="I6" s="32" t="s">
        <v>85</v>
      </c>
      <c r="J6" s="16" t="s">
        <v>90</v>
      </c>
      <c r="K6" s="16">
        <v>600</v>
      </c>
      <c r="L6" s="34">
        <f t="shared" ref="L6" si="5">H6*1.005/K6+3</f>
        <v>32.982499999999995</v>
      </c>
      <c r="M6" s="21">
        <v>1</v>
      </c>
      <c r="N6" s="45">
        <f t="shared" ref="N6" si="6">60/L6*M6</f>
        <v>1.8191465170923977</v>
      </c>
      <c r="O6" s="22">
        <f>N6*22</f>
        <v>40.021223376032751</v>
      </c>
      <c r="P6" s="25">
        <v>0.85</v>
      </c>
      <c r="Q6" s="33">
        <f t="shared" ref="Q6" si="7">O6*P6</f>
        <v>34.018039869627835</v>
      </c>
      <c r="R6" s="33">
        <f t="shared" ref="R6" si="8">L6/P6</f>
        <v>38.802941176470583</v>
      </c>
      <c r="S6" s="20">
        <v>10</v>
      </c>
      <c r="T6" s="43">
        <v>274</v>
      </c>
      <c r="U6" s="20">
        <v>0.88500000000000001</v>
      </c>
      <c r="V6" s="44">
        <f t="shared" ref="V6" si="9">T6*U6</f>
        <v>242.49</v>
      </c>
    </row>
    <row r="7" spans="1:24">
      <c r="A7" s="15">
        <v>6</v>
      </c>
      <c r="B7" s="19" t="s">
        <v>184</v>
      </c>
      <c r="C7" s="15">
        <v>150</v>
      </c>
      <c r="D7" s="15">
        <v>20</v>
      </c>
      <c r="E7" s="17">
        <v>2</v>
      </c>
      <c r="F7" s="17">
        <v>1201</v>
      </c>
      <c r="G7" s="16" t="s">
        <v>114</v>
      </c>
      <c r="H7" s="17">
        <v>10000</v>
      </c>
      <c r="I7" s="32" t="s">
        <v>74</v>
      </c>
      <c r="J7" s="16" t="s">
        <v>115</v>
      </c>
      <c r="K7" s="19">
        <v>600</v>
      </c>
      <c r="L7" s="21">
        <f>H7*1.005/K7+3</f>
        <v>19.749999999999996</v>
      </c>
      <c r="M7" s="21">
        <v>2</v>
      </c>
      <c r="N7" s="45">
        <f>60/L7*M7</f>
        <v>6.0759493670886089</v>
      </c>
      <c r="O7" s="22">
        <f>N7*22</f>
        <v>133.6708860759494</v>
      </c>
      <c r="P7" s="25">
        <v>0.8</v>
      </c>
      <c r="Q7" s="33">
        <f>O7*P7</f>
        <v>106.93670886075952</v>
      </c>
      <c r="R7" s="33">
        <f>L7/P7</f>
        <v>24.687499999999993</v>
      </c>
      <c r="S7" s="20">
        <v>32</v>
      </c>
      <c r="T7" s="43">
        <v>3500</v>
      </c>
      <c r="U7" s="41">
        <v>0.20200000000000001</v>
      </c>
      <c r="V7" s="44">
        <f t="shared" si="4"/>
        <v>707</v>
      </c>
    </row>
    <row r="8" spans="1:24">
      <c r="A8" s="15">
        <v>7</v>
      </c>
      <c r="B8" s="19" t="s">
        <v>184</v>
      </c>
      <c r="C8" s="15">
        <v>150</v>
      </c>
      <c r="D8" s="15">
        <v>20</v>
      </c>
      <c r="E8" s="17">
        <v>2</v>
      </c>
      <c r="F8" s="17">
        <v>1201</v>
      </c>
      <c r="G8" s="16" t="s">
        <v>114</v>
      </c>
      <c r="H8" s="17">
        <v>10000</v>
      </c>
      <c r="I8" s="32" t="s">
        <v>74</v>
      </c>
      <c r="J8" s="16" t="s">
        <v>115</v>
      </c>
      <c r="K8" s="19">
        <v>600</v>
      </c>
      <c r="L8" s="21">
        <f>H8*1.005/K8+3</f>
        <v>19.749999999999996</v>
      </c>
      <c r="M8" s="21">
        <v>2</v>
      </c>
      <c r="N8" s="45">
        <f>60/L8*M8</f>
        <v>6.0759493670886089</v>
      </c>
      <c r="O8" s="22">
        <f>N8*22</f>
        <v>133.6708860759494</v>
      </c>
      <c r="P8" s="25">
        <v>0.8</v>
      </c>
      <c r="Q8" s="33">
        <f>O8*P8</f>
        <v>106.93670886075952</v>
      </c>
      <c r="R8" s="33">
        <f>L8/P8</f>
        <v>24.687499999999993</v>
      </c>
      <c r="S8" s="20">
        <v>12</v>
      </c>
      <c r="T8" s="76">
        <v>1312</v>
      </c>
      <c r="U8" s="41">
        <v>0.20200000000000001</v>
      </c>
      <c r="V8" s="76">
        <f t="shared" ref="V8" si="10">T8*U8</f>
        <v>265.024</v>
      </c>
    </row>
    <row r="9" spans="1:24" ht="30.75" customHeight="1">
      <c r="A9" s="15">
        <v>8</v>
      </c>
      <c r="B9" s="19" t="s">
        <v>181</v>
      </c>
      <c r="C9" s="15">
        <v>150</v>
      </c>
      <c r="D9" s="15">
        <v>20</v>
      </c>
      <c r="E9" s="17">
        <v>2</v>
      </c>
      <c r="F9" s="17">
        <v>1201</v>
      </c>
      <c r="G9" s="16" t="s">
        <v>114</v>
      </c>
      <c r="H9" s="17">
        <v>10000</v>
      </c>
      <c r="I9" s="32" t="s">
        <v>74</v>
      </c>
      <c r="J9" s="16" t="s">
        <v>115</v>
      </c>
      <c r="K9" s="19">
        <v>800</v>
      </c>
      <c r="L9" s="34">
        <f>H9*1.005/K9+0.5</f>
        <v>13.062499999999998</v>
      </c>
      <c r="M9" s="21">
        <v>1</v>
      </c>
      <c r="N9" s="45">
        <f>60/L9*M9</f>
        <v>4.5933014354066994</v>
      </c>
      <c r="O9" s="22">
        <f>N9*23</f>
        <v>105.64593301435409</v>
      </c>
      <c r="P9" s="25">
        <v>0.9</v>
      </c>
      <c r="Q9" s="33">
        <f>O9*P9</f>
        <v>95.081339712918677</v>
      </c>
      <c r="R9" s="33">
        <f>L9/P9</f>
        <v>14.513888888888886</v>
      </c>
      <c r="S9" s="20">
        <v>25</v>
      </c>
      <c r="T9" s="76">
        <f>Q9*S9</f>
        <v>2377.0334928229668</v>
      </c>
      <c r="U9" s="41">
        <v>0.2</v>
      </c>
      <c r="V9" s="77">
        <f t="shared" ref="V9:V11" si="11">T9*U9</f>
        <v>475.4066985645934</v>
      </c>
    </row>
    <row r="10" spans="1:24" ht="29.25" customHeight="1">
      <c r="A10" s="15">
        <v>9</v>
      </c>
      <c r="B10" s="19" t="s">
        <v>185</v>
      </c>
      <c r="C10" s="19">
        <v>60</v>
      </c>
      <c r="D10" s="32">
        <v>20</v>
      </c>
      <c r="E10" s="19">
        <v>2</v>
      </c>
      <c r="F10" s="19">
        <v>1207</v>
      </c>
      <c r="G10" s="19" t="s">
        <v>114</v>
      </c>
      <c r="H10" s="19">
        <v>800</v>
      </c>
      <c r="I10" s="32" t="s">
        <v>74</v>
      </c>
      <c r="J10" s="19" t="s">
        <v>119</v>
      </c>
      <c r="K10" s="19">
        <v>500</v>
      </c>
      <c r="L10" s="34">
        <f>H10*1.005/K10+0.4</f>
        <v>2.008</v>
      </c>
      <c r="M10" s="21">
        <v>1</v>
      </c>
      <c r="N10" s="45">
        <f t="shared" ref="N10:N11" si="12">60/L10*M10</f>
        <v>29.880478087649401</v>
      </c>
      <c r="O10" s="22">
        <f>N10*23</f>
        <v>687.25099601593627</v>
      </c>
      <c r="P10" s="25">
        <v>0.7</v>
      </c>
      <c r="Q10" s="33">
        <f t="shared" ref="Q10:Q11" si="13">O10*P10</f>
        <v>481.07569721115533</v>
      </c>
      <c r="R10" s="33">
        <f t="shared" ref="R10:R11" si="14">L10/P10</f>
        <v>2.8685714285714288</v>
      </c>
      <c r="S10" s="20">
        <v>30</v>
      </c>
      <c r="T10" s="43">
        <f t="shared" ref="T10:T11" si="15">Q10*S10</f>
        <v>14432.270916334659</v>
      </c>
      <c r="U10" s="42">
        <v>1.6500000000000001E-2</v>
      </c>
      <c r="V10" s="44">
        <f t="shared" si="11"/>
        <v>238.13247011952188</v>
      </c>
    </row>
    <row r="11" spans="1:24" ht="37.5" customHeight="1">
      <c r="A11" s="15">
        <v>10</v>
      </c>
      <c r="B11" s="19" t="s">
        <v>180</v>
      </c>
      <c r="C11" s="19">
        <v>60</v>
      </c>
      <c r="D11" s="32">
        <v>20</v>
      </c>
      <c r="E11" s="19">
        <v>2</v>
      </c>
      <c r="F11" s="19">
        <v>1206</v>
      </c>
      <c r="G11" s="19" t="s">
        <v>114</v>
      </c>
      <c r="H11" s="19">
        <v>180</v>
      </c>
      <c r="I11" s="32" t="s">
        <v>74</v>
      </c>
      <c r="J11" s="19" t="s">
        <v>120</v>
      </c>
      <c r="K11" s="19">
        <v>400</v>
      </c>
      <c r="L11" s="34">
        <f>H11*1.005/K11+0.4</f>
        <v>0.85224999999999995</v>
      </c>
      <c r="M11" s="21">
        <v>1</v>
      </c>
      <c r="N11" s="45">
        <f t="shared" si="12"/>
        <v>70.401877383396894</v>
      </c>
      <c r="O11" s="22">
        <f>N11*23</f>
        <v>1619.2431798181285</v>
      </c>
      <c r="P11" s="25">
        <v>0.85</v>
      </c>
      <c r="Q11" s="33">
        <f t="shared" si="13"/>
        <v>1376.3567028454092</v>
      </c>
      <c r="R11" s="33">
        <f t="shared" si="14"/>
        <v>1.0026470588235294</v>
      </c>
      <c r="S11" s="64">
        <v>10</v>
      </c>
      <c r="T11" s="76">
        <f t="shared" si="15"/>
        <v>13763.567028454092</v>
      </c>
      <c r="U11" s="42">
        <v>3.7799999999999999E-3</v>
      </c>
      <c r="V11" s="77">
        <f t="shared" si="11"/>
        <v>52.026283367556466</v>
      </c>
    </row>
    <row r="12" spans="1:24" ht="37.5" customHeight="1">
      <c r="A12" s="15">
        <v>11</v>
      </c>
      <c r="B12" s="19" t="s">
        <v>180</v>
      </c>
      <c r="C12" s="19">
        <v>60</v>
      </c>
      <c r="D12" s="32">
        <v>30</v>
      </c>
      <c r="E12" s="19">
        <v>2</v>
      </c>
      <c r="F12" s="19">
        <v>1302</v>
      </c>
      <c r="G12" s="19" t="s">
        <v>114</v>
      </c>
      <c r="H12" s="19">
        <v>135</v>
      </c>
      <c r="I12" s="32" t="s">
        <v>74</v>
      </c>
      <c r="J12" s="19" t="s">
        <v>120</v>
      </c>
      <c r="K12" s="19">
        <v>400</v>
      </c>
      <c r="L12" s="34">
        <f>H12*1.005/K12+0.4</f>
        <v>0.7391875</v>
      </c>
      <c r="M12" s="21">
        <v>1</v>
      </c>
      <c r="N12" s="45">
        <f t="shared" ref="N12" si="16">60/L12*M12</f>
        <v>81.170203771032391</v>
      </c>
      <c r="O12" s="22">
        <f>N12*23</f>
        <v>1866.9146867337449</v>
      </c>
      <c r="P12" s="25">
        <v>0.85</v>
      </c>
      <c r="Q12" s="33">
        <f t="shared" ref="Q12" si="17">O12*P12</f>
        <v>1586.8774837236831</v>
      </c>
      <c r="R12" s="33">
        <f t="shared" ref="R12" si="18">L12/P12</f>
        <v>0.86963235294117647</v>
      </c>
      <c r="S12" s="64">
        <v>10</v>
      </c>
      <c r="T12" s="76">
        <f t="shared" ref="T12" si="19">Q12*S12</f>
        <v>15868.774837236831</v>
      </c>
      <c r="U12" s="42">
        <v>4.0000000000000001E-3</v>
      </c>
      <c r="V12" s="77">
        <f t="shared" ref="V12" si="20">T12*U12</f>
        <v>63.475099348947325</v>
      </c>
    </row>
    <row r="13" spans="1:24">
      <c r="R13" s="81" t="s">
        <v>255</v>
      </c>
      <c r="S13" s="81" t="s">
        <v>256</v>
      </c>
      <c r="T13" s="82" t="s">
        <v>257</v>
      </c>
      <c r="W13" s="81"/>
      <c r="X13" s="81"/>
    </row>
    <row r="14" spans="1:24">
      <c r="P14" s="83" t="s">
        <v>251</v>
      </c>
      <c r="Q14" s="20"/>
      <c r="R14" s="20">
        <v>965</v>
      </c>
      <c r="S14" s="20">
        <v>1164</v>
      </c>
      <c r="T14" s="84">
        <v>238</v>
      </c>
      <c r="U14" s="20">
        <f>SUM(R14:T14)</f>
        <v>2367</v>
      </c>
      <c r="V14" s="85" t="s">
        <v>254</v>
      </c>
    </row>
    <row r="15" spans="1:24">
      <c r="P15" s="86" t="s">
        <v>252</v>
      </c>
      <c r="Q15" s="20"/>
      <c r="R15" s="20">
        <v>475</v>
      </c>
      <c r="S15" s="156">
        <v>1746</v>
      </c>
      <c r="T15" s="84">
        <v>63</v>
      </c>
      <c r="U15" s="20">
        <f>SUM(R15:T15)</f>
        <v>2284</v>
      </c>
      <c r="V15" s="85" t="s">
        <v>254</v>
      </c>
    </row>
    <row r="16" spans="1:24">
      <c r="P16" s="86" t="s">
        <v>253</v>
      </c>
      <c r="Q16" s="20"/>
      <c r="R16" s="20">
        <f>SUM(R14:R15)</f>
        <v>1440</v>
      </c>
      <c r="S16" s="20">
        <f>SUM(S14:S15)</f>
        <v>2910</v>
      </c>
      <c r="T16" s="20">
        <f>SUM(T14:T15)</f>
        <v>301</v>
      </c>
      <c r="U16" s="20">
        <f>SUM(U14:U15)</f>
        <v>4651</v>
      </c>
      <c r="V16" s="85" t="s">
        <v>254</v>
      </c>
    </row>
    <row r="18" spans="10:10">
      <c r="J18" s="141"/>
    </row>
  </sheetData>
  <autoFilter ref="A1:V16"/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B1" workbookViewId="0">
      <selection activeCell="I17" sqref="I17"/>
    </sheetView>
  </sheetViews>
  <sheetFormatPr defaultRowHeight="15"/>
  <cols>
    <col min="1" max="1" width="32.85546875" customWidth="1"/>
    <col min="2" max="2" width="11.85546875" customWidth="1"/>
    <col min="8" max="8" width="4" customWidth="1"/>
    <col min="9" max="9" width="30.140625" customWidth="1"/>
    <col min="12" max="12" width="12.28515625" customWidth="1"/>
    <col min="13" max="13" width="13.85546875" customWidth="1"/>
    <col min="14" max="14" width="14" customWidth="1"/>
    <col min="15" max="15" width="13.28515625" customWidth="1"/>
  </cols>
  <sheetData>
    <row r="1" spans="1:15" ht="48.75" customHeight="1">
      <c r="L1" s="149" t="s">
        <v>306</v>
      </c>
      <c r="M1" s="149"/>
      <c r="N1" s="149"/>
      <c r="O1" s="149"/>
    </row>
    <row r="2" spans="1:15" ht="31.5" customHeight="1">
      <c r="A2" s="148" t="s">
        <v>299</v>
      </c>
      <c r="B2" s="148"/>
      <c r="C2" s="148"/>
      <c r="D2" s="148"/>
      <c r="E2" s="148"/>
      <c r="F2" s="148"/>
      <c r="I2" s="1"/>
      <c r="J2" s="1" t="s">
        <v>323</v>
      </c>
      <c r="K2" s="1"/>
      <c r="L2" s="144" t="s">
        <v>307</v>
      </c>
      <c r="M2" s="145" t="s">
        <v>309</v>
      </c>
      <c r="N2" s="145" t="s">
        <v>310</v>
      </c>
      <c r="O2" s="145" t="s">
        <v>311</v>
      </c>
    </row>
    <row r="3" spans="1:15">
      <c r="A3" s="1"/>
      <c r="B3" s="1"/>
      <c r="C3" s="1" t="s">
        <v>255</v>
      </c>
      <c r="D3" s="1" t="s">
        <v>256</v>
      </c>
      <c r="E3" s="1" t="s">
        <v>257</v>
      </c>
      <c r="F3" s="1" t="s">
        <v>298</v>
      </c>
      <c r="I3" s="143" t="s">
        <v>308</v>
      </c>
      <c r="J3" s="1">
        <v>1021</v>
      </c>
      <c r="K3" s="1"/>
      <c r="L3" s="87">
        <v>21</v>
      </c>
      <c r="M3" s="87">
        <f>L3*0.17</f>
        <v>3.5700000000000003</v>
      </c>
      <c r="N3" s="87">
        <f>L3*0.05</f>
        <v>1.05</v>
      </c>
      <c r="O3" s="87">
        <f t="shared" ref="O3:O8" si="0">SUM(L3:N3)</f>
        <v>25.62</v>
      </c>
    </row>
    <row r="4" spans="1:15">
      <c r="A4" s="1" t="s">
        <v>251</v>
      </c>
      <c r="B4" s="1"/>
      <c r="C4" s="87">
        <v>648</v>
      </c>
      <c r="D4" s="87">
        <v>874</v>
      </c>
      <c r="E4" s="87">
        <v>238</v>
      </c>
      <c r="F4" s="87">
        <v>1760</v>
      </c>
      <c r="I4" s="143" t="s">
        <v>312</v>
      </c>
      <c r="J4" s="1">
        <v>525</v>
      </c>
      <c r="K4" s="1"/>
      <c r="L4" s="87">
        <v>4</v>
      </c>
      <c r="M4" s="87">
        <v>1</v>
      </c>
      <c r="N4" s="87">
        <v>1</v>
      </c>
      <c r="O4" s="87">
        <f t="shared" si="0"/>
        <v>6</v>
      </c>
    </row>
    <row r="5" spans="1:15">
      <c r="A5" s="1" t="s">
        <v>252</v>
      </c>
      <c r="B5" s="1"/>
      <c r="C5" s="87">
        <v>988</v>
      </c>
      <c r="D5" s="87">
        <v>452</v>
      </c>
      <c r="E5" s="87">
        <v>56</v>
      </c>
      <c r="F5" s="87">
        <v>1264</v>
      </c>
      <c r="I5" s="1" t="s">
        <v>313</v>
      </c>
      <c r="J5" s="1">
        <v>610</v>
      </c>
      <c r="K5" s="1"/>
      <c r="L5" s="87">
        <v>6</v>
      </c>
      <c r="M5" s="87">
        <f>L5*0.17</f>
        <v>1.02</v>
      </c>
      <c r="N5" s="87">
        <f>L5*0.05</f>
        <v>0.30000000000000004</v>
      </c>
      <c r="O5" s="87">
        <f t="shared" si="0"/>
        <v>7.3199999999999994</v>
      </c>
    </row>
    <row r="6" spans="1:15">
      <c r="A6" s="1" t="s">
        <v>253</v>
      </c>
      <c r="B6" s="1"/>
      <c r="C6" s="87">
        <v>1636</v>
      </c>
      <c r="D6" s="138">
        <v>1070.9847646479193</v>
      </c>
      <c r="E6" s="87">
        <v>294</v>
      </c>
      <c r="F6" s="87">
        <v>3024</v>
      </c>
      <c r="I6" s="1" t="s">
        <v>314</v>
      </c>
      <c r="J6" s="1">
        <v>647</v>
      </c>
      <c r="K6" s="1"/>
      <c r="L6" s="87">
        <v>9</v>
      </c>
      <c r="M6" s="87">
        <f>L6*0.17</f>
        <v>1.53</v>
      </c>
      <c r="N6" s="87">
        <f>L6*0.05</f>
        <v>0.45</v>
      </c>
      <c r="O6" s="87">
        <f t="shared" si="0"/>
        <v>10.979999999999999</v>
      </c>
    </row>
    <row r="7" spans="1:15">
      <c r="A7" s="146" t="s">
        <v>318</v>
      </c>
      <c r="C7">
        <f>C6*6</f>
        <v>9816</v>
      </c>
      <c r="D7">
        <f>D6*6</f>
        <v>6425.9085878875158</v>
      </c>
      <c r="I7" s="1" t="s">
        <v>255</v>
      </c>
      <c r="J7" s="1">
        <v>648</v>
      </c>
      <c r="K7" s="1"/>
      <c r="L7" s="87">
        <v>10</v>
      </c>
      <c r="M7" s="87">
        <f>L7*0.17</f>
        <v>1.7000000000000002</v>
      </c>
      <c r="N7" s="87">
        <f>L7*0.05</f>
        <v>0.5</v>
      </c>
      <c r="O7" s="87">
        <f t="shared" si="0"/>
        <v>12.2</v>
      </c>
    </row>
    <row r="8" spans="1:15">
      <c r="I8" s="1" t="s">
        <v>256</v>
      </c>
      <c r="J8" s="1">
        <v>874</v>
      </c>
      <c r="K8" s="1"/>
      <c r="L8" s="87">
        <v>6</v>
      </c>
      <c r="M8" s="87">
        <f>L8*0.17</f>
        <v>1.02</v>
      </c>
      <c r="N8" s="87">
        <f>L8*0.05</f>
        <v>0.30000000000000004</v>
      </c>
      <c r="O8" s="87">
        <f t="shared" si="0"/>
        <v>7.3199999999999994</v>
      </c>
    </row>
    <row r="9" spans="1:15" ht="18.75">
      <c r="A9" s="140" t="s">
        <v>300</v>
      </c>
      <c r="B9" s="1"/>
      <c r="C9" s="139">
        <v>1021</v>
      </c>
      <c r="D9" s="1" t="s">
        <v>301</v>
      </c>
      <c r="I9" s="1" t="s">
        <v>257</v>
      </c>
      <c r="J9" s="1">
        <v>238</v>
      </c>
      <c r="K9" s="1"/>
      <c r="L9" s="87">
        <v>6</v>
      </c>
      <c r="M9" s="87">
        <f t="shared" ref="M9:M14" si="1">L9*0.17</f>
        <v>1.02</v>
      </c>
      <c r="N9" s="87">
        <f t="shared" ref="N9:N14" si="2">L9*0.05</f>
        <v>0.30000000000000004</v>
      </c>
      <c r="O9" s="87">
        <f t="shared" ref="O9:O15" si="3">SUM(L9:N9)</f>
        <v>7.3199999999999994</v>
      </c>
    </row>
    <row r="10" spans="1:15">
      <c r="C10" s="137"/>
      <c r="I10" s="143" t="s">
        <v>315</v>
      </c>
      <c r="J10" s="1"/>
      <c r="K10" s="1"/>
      <c r="L10" s="87">
        <v>22</v>
      </c>
      <c r="M10" s="87">
        <f t="shared" si="1"/>
        <v>3.74</v>
      </c>
      <c r="N10" s="87">
        <f t="shared" si="2"/>
        <v>1.1000000000000001</v>
      </c>
      <c r="O10" s="87">
        <f t="shared" si="3"/>
        <v>26.840000000000003</v>
      </c>
    </row>
    <row r="11" spans="1:15" ht="18.75">
      <c r="A11" s="148" t="s">
        <v>302</v>
      </c>
      <c r="B11" s="148"/>
      <c r="C11" s="148"/>
      <c r="D11" s="148"/>
      <c r="E11" s="148"/>
      <c r="F11" s="148"/>
      <c r="I11" s="143" t="s">
        <v>316</v>
      </c>
      <c r="J11" s="1"/>
      <c r="K11" s="1"/>
      <c r="L11" s="87">
        <v>18</v>
      </c>
      <c r="M11" s="87">
        <f t="shared" si="1"/>
        <v>3.06</v>
      </c>
      <c r="N11" s="87">
        <f t="shared" si="2"/>
        <v>0.9</v>
      </c>
      <c r="O11" s="87">
        <f t="shared" si="3"/>
        <v>21.959999999999997</v>
      </c>
    </row>
    <row r="12" spans="1:15">
      <c r="A12" s="1"/>
      <c r="B12" s="1"/>
      <c r="C12" s="1" t="s">
        <v>303</v>
      </c>
      <c r="D12" s="1" t="s">
        <v>304</v>
      </c>
      <c r="E12" s="1" t="s">
        <v>272</v>
      </c>
      <c r="F12" s="1"/>
      <c r="I12" s="1" t="s">
        <v>317</v>
      </c>
      <c r="J12" s="1"/>
      <c r="K12" s="1"/>
      <c r="L12" s="87">
        <v>25</v>
      </c>
      <c r="M12" s="87">
        <f t="shared" si="1"/>
        <v>4.25</v>
      </c>
      <c r="N12" s="87">
        <f t="shared" si="2"/>
        <v>1.25</v>
      </c>
      <c r="O12" s="87">
        <f t="shared" si="3"/>
        <v>30.5</v>
      </c>
    </row>
    <row r="13" spans="1:15">
      <c r="A13" s="1" t="s">
        <v>251</v>
      </c>
      <c r="B13" s="1"/>
      <c r="C13" s="87">
        <v>610</v>
      </c>
      <c r="D13" s="87">
        <v>647</v>
      </c>
      <c r="E13" s="87">
        <f>SUM(C13:D13)</f>
        <v>1257</v>
      </c>
      <c r="F13" s="1"/>
      <c r="I13" s="1" t="s">
        <v>319</v>
      </c>
      <c r="J13" s="1"/>
      <c r="K13" s="1"/>
      <c r="L13" s="87">
        <v>2</v>
      </c>
      <c r="M13" s="87">
        <f t="shared" si="1"/>
        <v>0.34</v>
      </c>
      <c r="N13" s="87">
        <f t="shared" si="2"/>
        <v>0.1</v>
      </c>
      <c r="O13" s="87">
        <f t="shared" si="3"/>
        <v>2.44</v>
      </c>
    </row>
    <row r="14" spans="1:15">
      <c r="A14" s="1" t="s">
        <v>252</v>
      </c>
      <c r="B14" s="1"/>
      <c r="C14" s="87">
        <v>406</v>
      </c>
      <c r="D14" s="87">
        <v>925</v>
      </c>
      <c r="E14" s="87">
        <f t="shared" ref="E14:E15" si="4">SUM(C14:D14)</f>
        <v>1331</v>
      </c>
      <c r="F14" s="1"/>
      <c r="I14" s="1" t="s">
        <v>320</v>
      </c>
      <c r="J14" s="1"/>
      <c r="K14" s="1"/>
      <c r="L14" s="87">
        <v>8</v>
      </c>
      <c r="M14" s="87">
        <f t="shared" si="1"/>
        <v>1.36</v>
      </c>
      <c r="N14" s="87">
        <f t="shared" si="2"/>
        <v>0.4</v>
      </c>
      <c r="O14" s="87">
        <f t="shared" si="3"/>
        <v>9.76</v>
      </c>
    </row>
    <row r="15" spans="1:15">
      <c r="A15" s="1" t="s">
        <v>253</v>
      </c>
      <c r="B15" s="1"/>
      <c r="C15" s="87">
        <f>SUM(C13:C14)</f>
        <v>1016</v>
      </c>
      <c r="D15" s="87">
        <f>SUM(D13:D14)</f>
        <v>1572</v>
      </c>
      <c r="E15" s="87">
        <f t="shared" si="4"/>
        <v>2588</v>
      </c>
      <c r="F15" s="1"/>
      <c r="I15" s="1" t="s">
        <v>321</v>
      </c>
      <c r="J15" s="1"/>
      <c r="K15" s="1"/>
      <c r="L15" s="87">
        <v>2</v>
      </c>
      <c r="M15" s="87"/>
      <c r="N15" s="87"/>
      <c r="O15" s="87">
        <f t="shared" si="3"/>
        <v>2</v>
      </c>
    </row>
    <row r="16" spans="1:15">
      <c r="E16">
        <f>E15*450</f>
        <v>1164600</v>
      </c>
      <c r="I16" s="1" t="s">
        <v>322</v>
      </c>
      <c r="J16" s="1"/>
      <c r="K16" s="1"/>
      <c r="L16" s="147">
        <f>SUM(L3:L15)</f>
        <v>139</v>
      </c>
      <c r="M16" s="147">
        <f t="shared" ref="M16:O16" si="5">SUM(M3:M15)</f>
        <v>23.61</v>
      </c>
      <c r="N16" s="147">
        <f t="shared" si="5"/>
        <v>7.65</v>
      </c>
      <c r="O16" s="147">
        <f t="shared" si="5"/>
        <v>170.25999999999996</v>
      </c>
    </row>
    <row r="17" spans="1:6">
      <c r="E17">
        <f>E16*25</f>
        <v>29115000</v>
      </c>
    </row>
    <row r="18" spans="1:6">
      <c r="E18">
        <f>75000*450</f>
        <v>33750000</v>
      </c>
    </row>
    <row r="20" spans="1:6" ht="18.75">
      <c r="A20" s="142" t="s">
        <v>305</v>
      </c>
      <c r="B20" s="142"/>
      <c r="C20" s="139">
        <v>525</v>
      </c>
      <c r="D20" s="1" t="s">
        <v>301</v>
      </c>
      <c r="E20" s="142"/>
      <c r="F20" s="142"/>
    </row>
  </sheetData>
  <mergeCells count="3">
    <mergeCell ref="A2:F2"/>
    <mergeCell ref="A11:F11"/>
    <mergeCell ref="L1:O1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B23" sqref="B23"/>
    </sheetView>
  </sheetViews>
  <sheetFormatPr defaultRowHeight="15"/>
  <cols>
    <col min="1" max="1" width="52.140625" customWidth="1"/>
    <col min="2" max="2" width="27" customWidth="1"/>
    <col min="6" max="6" width="15.42578125" customWidth="1"/>
    <col min="7" max="7" width="9.140625" style="106"/>
  </cols>
  <sheetData>
    <row r="1" spans="1:8" ht="15.75">
      <c r="A1" s="150" t="s">
        <v>258</v>
      </c>
      <c r="B1" s="150"/>
      <c r="C1" s="150"/>
      <c r="D1" s="150"/>
      <c r="E1" s="150"/>
      <c r="F1" s="150"/>
    </row>
    <row r="2" spans="1:8" ht="20.25">
      <c r="A2" s="88" t="s">
        <v>259</v>
      </c>
      <c r="B2" s="88"/>
      <c r="C2" s="88"/>
      <c r="D2" s="88"/>
      <c r="E2" s="89"/>
      <c r="F2" s="90"/>
    </row>
    <row r="3" spans="1:8" ht="15.75">
      <c r="A3" s="151" t="s">
        <v>260</v>
      </c>
      <c r="B3" s="151" t="s">
        <v>261</v>
      </c>
      <c r="C3" s="153" t="s">
        <v>262</v>
      </c>
      <c r="D3" s="154"/>
      <c r="E3" s="153" t="s">
        <v>263</v>
      </c>
      <c r="F3" s="154"/>
      <c r="H3" s="105"/>
    </row>
    <row r="4" spans="1:8" ht="15.75">
      <c r="A4" s="152"/>
      <c r="B4" s="152"/>
      <c r="C4" s="91" t="s">
        <v>264</v>
      </c>
      <c r="D4" s="91" t="s">
        <v>265</v>
      </c>
      <c r="E4" s="92" t="s">
        <v>266</v>
      </c>
      <c r="F4" s="92" t="s">
        <v>265</v>
      </c>
    </row>
    <row r="5" spans="1:8" ht="18">
      <c r="A5" s="93" t="s">
        <v>267</v>
      </c>
      <c r="B5" s="94" t="s">
        <v>268</v>
      </c>
      <c r="C5" s="95">
        <v>2</v>
      </c>
      <c r="D5" s="95">
        <v>2</v>
      </c>
      <c r="E5" s="95"/>
      <c r="F5" s="108"/>
      <c r="G5" s="87">
        <f>C5+D5</f>
        <v>4</v>
      </c>
    </row>
    <row r="6" spans="1:8" ht="18">
      <c r="A6" s="93" t="s">
        <v>269</v>
      </c>
      <c r="B6" s="94" t="s">
        <v>268</v>
      </c>
      <c r="C6" s="95">
        <v>2</v>
      </c>
      <c r="D6" s="95">
        <v>2</v>
      </c>
      <c r="E6" s="95"/>
      <c r="F6" s="108"/>
      <c r="G6" s="87">
        <f t="shared" ref="G6:G46" si="0">C6+D6</f>
        <v>4</v>
      </c>
    </row>
    <row r="7" spans="1:8" ht="18">
      <c r="A7" s="96" t="s">
        <v>270</v>
      </c>
      <c r="B7" s="94" t="s">
        <v>268</v>
      </c>
      <c r="C7" s="95">
        <v>1</v>
      </c>
      <c r="D7" s="95">
        <v>1</v>
      </c>
      <c r="E7" s="95"/>
      <c r="F7" s="108"/>
      <c r="G7" s="87">
        <f t="shared" si="0"/>
        <v>2</v>
      </c>
    </row>
    <row r="8" spans="1:8" ht="18">
      <c r="A8" s="93" t="s">
        <v>271</v>
      </c>
      <c r="B8" s="94" t="s">
        <v>268</v>
      </c>
      <c r="C8" s="95">
        <v>3</v>
      </c>
      <c r="D8" s="95">
        <v>2</v>
      </c>
      <c r="E8" s="95"/>
      <c r="F8" s="108"/>
      <c r="G8" s="87">
        <f t="shared" si="0"/>
        <v>5</v>
      </c>
    </row>
    <row r="9" spans="1:8" ht="18">
      <c r="A9" s="97" t="s">
        <v>272</v>
      </c>
      <c r="B9" s="98"/>
      <c r="C9" s="99">
        <f>SUM(C5:C8)</f>
        <v>8</v>
      </c>
      <c r="D9" s="99">
        <f t="shared" ref="D9:F9" si="1">SUM(D5:D8)</f>
        <v>7</v>
      </c>
      <c r="E9" s="99">
        <f t="shared" si="1"/>
        <v>0</v>
      </c>
      <c r="F9" s="109">
        <f t="shared" si="1"/>
        <v>0</v>
      </c>
      <c r="G9" s="112">
        <f t="shared" si="0"/>
        <v>15</v>
      </c>
    </row>
    <row r="10" spans="1:8" ht="15.75">
      <c r="A10" s="100"/>
      <c r="B10" s="100"/>
      <c r="C10" s="100"/>
      <c r="D10" s="100"/>
      <c r="E10" s="100"/>
      <c r="F10" s="100"/>
      <c r="G10" s="87"/>
    </row>
    <row r="11" spans="1:8" ht="20.25">
      <c r="A11" s="88" t="s">
        <v>273</v>
      </c>
      <c r="B11" s="88"/>
      <c r="C11" s="88"/>
      <c r="D11" s="88"/>
      <c r="E11" s="88"/>
      <c r="F11" s="89"/>
      <c r="G11" s="87"/>
    </row>
    <row r="12" spans="1:8" ht="15.75">
      <c r="A12" s="151" t="s">
        <v>260</v>
      </c>
      <c r="B12" s="151" t="s">
        <v>261</v>
      </c>
      <c r="C12" s="153" t="s">
        <v>262</v>
      </c>
      <c r="D12" s="154"/>
      <c r="E12" s="153" t="s">
        <v>263</v>
      </c>
      <c r="F12" s="155"/>
      <c r="G12" s="87"/>
    </row>
    <row r="13" spans="1:8" ht="15.75">
      <c r="A13" s="152"/>
      <c r="B13" s="152"/>
      <c r="C13" s="91" t="s">
        <v>264</v>
      </c>
      <c r="D13" s="91" t="s">
        <v>265</v>
      </c>
      <c r="E13" s="92" t="s">
        <v>266</v>
      </c>
      <c r="F13" s="110" t="s">
        <v>265</v>
      </c>
      <c r="G13" s="87"/>
    </row>
    <row r="14" spans="1:8" ht="18">
      <c r="A14" s="93" t="s">
        <v>274</v>
      </c>
      <c r="B14" s="94" t="s">
        <v>268</v>
      </c>
      <c r="C14" s="95">
        <v>2</v>
      </c>
      <c r="D14" s="95">
        <v>2</v>
      </c>
      <c r="E14" s="95"/>
      <c r="F14" s="108"/>
      <c r="G14" s="87">
        <f t="shared" si="0"/>
        <v>4</v>
      </c>
    </row>
    <row r="15" spans="1:8" ht="18">
      <c r="A15" s="93" t="s">
        <v>275</v>
      </c>
      <c r="B15" s="94" t="s">
        <v>268</v>
      </c>
      <c r="C15" s="95">
        <v>2</v>
      </c>
      <c r="D15" s="95">
        <v>2</v>
      </c>
      <c r="E15" s="95"/>
      <c r="F15" s="108"/>
      <c r="G15" s="87">
        <f t="shared" si="0"/>
        <v>4</v>
      </c>
    </row>
    <row r="16" spans="1:8" ht="18">
      <c r="A16" s="93" t="s">
        <v>276</v>
      </c>
      <c r="B16" s="94" t="s">
        <v>268</v>
      </c>
      <c r="C16" s="95">
        <v>1</v>
      </c>
      <c r="D16" s="95">
        <v>1</v>
      </c>
      <c r="E16" s="95"/>
      <c r="F16" s="108"/>
      <c r="G16" s="87">
        <f t="shared" si="0"/>
        <v>2</v>
      </c>
    </row>
    <row r="17" spans="1:7" ht="18">
      <c r="A17" s="93" t="s">
        <v>277</v>
      </c>
      <c r="B17" s="94" t="s">
        <v>268</v>
      </c>
      <c r="C17" s="95">
        <v>1</v>
      </c>
      <c r="D17" s="95">
        <v>1</v>
      </c>
      <c r="E17" s="95"/>
      <c r="F17" s="108"/>
      <c r="G17" s="87">
        <f t="shared" si="0"/>
        <v>2</v>
      </c>
    </row>
    <row r="18" spans="1:7" ht="18">
      <c r="A18" s="93" t="s">
        <v>278</v>
      </c>
      <c r="B18" s="94" t="s">
        <v>268</v>
      </c>
      <c r="C18" s="95">
        <v>1</v>
      </c>
      <c r="D18" s="95">
        <v>1</v>
      </c>
      <c r="E18" s="95"/>
      <c r="F18" s="108"/>
      <c r="G18" s="87">
        <f t="shared" si="0"/>
        <v>2</v>
      </c>
    </row>
    <row r="19" spans="1:7" ht="18">
      <c r="A19" s="93" t="s">
        <v>279</v>
      </c>
      <c r="B19" s="94" t="s">
        <v>268</v>
      </c>
      <c r="C19" s="95">
        <v>1</v>
      </c>
      <c r="D19" s="95">
        <v>1</v>
      </c>
      <c r="E19" s="95"/>
      <c r="F19" s="108"/>
      <c r="G19" s="87">
        <f t="shared" si="0"/>
        <v>2</v>
      </c>
    </row>
    <row r="20" spans="1:7" ht="18">
      <c r="A20" s="93" t="s">
        <v>280</v>
      </c>
      <c r="B20" s="94" t="s">
        <v>268</v>
      </c>
      <c r="C20" s="95">
        <v>2</v>
      </c>
      <c r="D20" s="95">
        <v>2</v>
      </c>
      <c r="E20" s="95"/>
      <c r="F20" s="108"/>
      <c r="G20" s="87">
        <f t="shared" si="0"/>
        <v>4</v>
      </c>
    </row>
    <row r="21" spans="1:7" ht="18">
      <c r="A21" s="93" t="s">
        <v>281</v>
      </c>
      <c r="B21" s="94" t="s">
        <v>282</v>
      </c>
      <c r="C21" s="95">
        <v>12</v>
      </c>
      <c r="D21" s="95">
        <v>0</v>
      </c>
      <c r="E21" s="95"/>
      <c r="F21" s="108"/>
      <c r="G21" s="87">
        <f t="shared" si="0"/>
        <v>12</v>
      </c>
    </row>
    <row r="22" spans="1:7" ht="18">
      <c r="A22" s="93" t="s">
        <v>283</v>
      </c>
      <c r="B22" s="94" t="s">
        <v>268</v>
      </c>
      <c r="C22" s="95">
        <v>3</v>
      </c>
      <c r="D22" s="95">
        <v>0</v>
      </c>
      <c r="E22" s="95"/>
      <c r="F22" s="108"/>
      <c r="G22" s="87">
        <f t="shared" si="0"/>
        <v>3</v>
      </c>
    </row>
    <row r="23" spans="1:7" ht="18">
      <c r="A23" s="97" t="s">
        <v>272</v>
      </c>
      <c r="B23" s="99"/>
      <c r="C23" s="99">
        <f t="shared" ref="C23:F23" si="2">SUM(C14:C22)</f>
        <v>25</v>
      </c>
      <c r="D23" s="99">
        <f t="shared" si="2"/>
        <v>10</v>
      </c>
      <c r="E23" s="99">
        <f t="shared" si="2"/>
        <v>0</v>
      </c>
      <c r="F23" s="109">
        <f t="shared" si="2"/>
        <v>0</v>
      </c>
      <c r="G23" s="112">
        <f t="shared" si="0"/>
        <v>35</v>
      </c>
    </row>
    <row r="24" spans="1:7" ht="15.75">
      <c r="A24" s="90"/>
      <c r="B24" s="90"/>
      <c r="C24" s="90"/>
      <c r="D24" s="90"/>
      <c r="E24" s="90"/>
      <c r="F24" s="90"/>
      <c r="G24" s="87">
        <f t="shared" si="0"/>
        <v>0</v>
      </c>
    </row>
    <row r="25" spans="1:7" ht="20.25">
      <c r="A25" s="88" t="s">
        <v>284</v>
      </c>
      <c r="B25" s="89"/>
      <c r="C25" s="101"/>
      <c r="D25" s="89"/>
      <c r="E25" s="89"/>
      <c r="F25" s="90"/>
      <c r="G25" s="87">
        <f t="shared" si="0"/>
        <v>0</v>
      </c>
    </row>
    <row r="26" spans="1:7" ht="15.75">
      <c r="A26" s="151" t="s">
        <v>260</v>
      </c>
      <c r="B26" s="151" t="s">
        <v>261</v>
      </c>
      <c r="C26" s="153" t="s">
        <v>262</v>
      </c>
      <c r="D26" s="154"/>
      <c r="E26" s="153" t="s">
        <v>263</v>
      </c>
      <c r="F26" s="155"/>
      <c r="G26" s="87"/>
    </row>
    <row r="27" spans="1:7" ht="15.75">
      <c r="A27" s="152"/>
      <c r="B27" s="152"/>
      <c r="C27" s="91" t="s">
        <v>264</v>
      </c>
      <c r="D27" s="91" t="s">
        <v>265</v>
      </c>
      <c r="E27" s="92" t="s">
        <v>266</v>
      </c>
      <c r="F27" s="110" t="s">
        <v>265</v>
      </c>
      <c r="G27" s="87"/>
    </row>
    <row r="28" spans="1:7" ht="18">
      <c r="A28" s="103" t="s">
        <v>285</v>
      </c>
      <c r="B28" s="94" t="s">
        <v>268</v>
      </c>
      <c r="C28" s="95">
        <v>1</v>
      </c>
      <c r="D28" s="95">
        <v>1</v>
      </c>
      <c r="E28" s="92"/>
      <c r="F28" s="110"/>
      <c r="G28" s="87">
        <f t="shared" si="0"/>
        <v>2</v>
      </c>
    </row>
    <row r="29" spans="1:7" ht="18">
      <c r="A29" s="93" t="s">
        <v>281</v>
      </c>
      <c r="B29" s="94" t="s">
        <v>282</v>
      </c>
      <c r="C29" s="95">
        <v>4</v>
      </c>
      <c r="D29" s="95">
        <v>0</v>
      </c>
      <c r="E29" s="95"/>
      <c r="F29" s="108"/>
      <c r="G29" s="87">
        <f t="shared" si="0"/>
        <v>4</v>
      </c>
    </row>
    <row r="30" spans="1:7" ht="18">
      <c r="A30" s="97" t="s">
        <v>272</v>
      </c>
      <c r="B30" s="99"/>
      <c r="C30" s="99">
        <f>SUM(C28:C29)</f>
        <v>5</v>
      </c>
      <c r="D30" s="99">
        <f t="shared" ref="D30:F30" si="3">SUM(D28:D29)</f>
        <v>1</v>
      </c>
      <c r="E30" s="99">
        <f t="shared" si="3"/>
        <v>0</v>
      </c>
      <c r="F30" s="109">
        <f t="shared" si="3"/>
        <v>0</v>
      </c>
      <c r="G30" s="87">
        <f t="shared" si="0"/>
        <v>6</v>
      </c>
    </row>
    <row r="31" spans="1:7" ht="20.25">
      <c r="A31" s="88"/>
      <c r="B31" s="88"/>
      <c r="C31" s="88"/>
      <c r="D31" s="88"/>
      <c r="E31" s="88"/>
      <c r="F31" s="89"/>
      <c r="G31" s="87">
        <f t="shared" si="0"/>
        <v>0</v>
      </c>
    </row>
    <row r="32" spans="1:7" ht="15.75">
      <c r="A32" s="151" t="s">
        <v>260</v>
      </c>
      <c r="B32" s="151" t="s">
        <v>261</v>
      </c>
      <c r="C32" s="153" t="s">
        <v>262</v>
      </c>
      <c r="D32" s="154"/>
      <c r="E32" s="153" t="s">
        <v>263</v>
      </c>
      <c r="F32" s="155"/>
      <c r="G32" s="87"/>
    </row>
    <row r="33" spans="1:7" ht="15.75">
      <c r="A33" s="152"/>
      <c r="B33" s="152"/>
      <c r="C33" s="91" t="s">
        <v>264</v>
      </c>
      <c r="D33" s="91" t="s">
        <v>265</v>
      </c>
      <c r="E33" s="92" t="s">
        <v>266</v>
      </c>
      <c r="F33" s="110" t="s">
        <v>265</v>
      </c>
      <c r="G33" s="87"/>
    </row>
    <row r="34" spans="1:7" ht="18">
      <c r="A34" s="93" t="s">
        <v>286</v>
      </c>
      <c r="B34" s="94" t="s">
        <v>268</v>
      </c>
      <c r="C34" s="95">
        <v>1</v>
      </c>
      <c r="D34" s="95">
        <v>1</v>
      </c>
      <c r="E34" s="95"/>
      <c r="F34" s="108"/>
      <c r="G34" s="87">
        <f t="shared" si="0"/>
        <v>2</v>
      </c>
    </row>
    <row r="35" spans="1:7" ht="18">
      <c r="A35" s="93" t="s">
        <v>287</v>
      </c>
      <c r="B35" s="94" t="s">
        <v>268</v>
      </c>
      <c r="C35" s="95">
        <v>1</v>
      </c>
      <c r="D35" s="95">
        <v>1</v>
      </c>
      <c r="E35" s="95"/>
      <c r="F35" s="108"/>
      <c r="G35" s="87">
        <f t="shared" si="0"/>
        <v>2</v>
      </c>
    </row>
    <row r="36" spans="1:7" ht="18">
      <c r="A36" s="93" t="s">
        <v>288</v>
      </c>
      <c r="B36" s="94" t="s">
        <v>268</v>
      </c>
      <c r="C36" s="95">
        <v>1</v>
      </c>
      <c r="D36" s="95">
        <v>1</v>
      </c>
      <c r="E36" s="95"/>
      <c r="F36" s="108"/>
      <c r="G36" s="87">
        <f t="shared" si="0"/>
        <v>2</v>
      </c>
    </row>
    <row r="37" spans="1:7" ht="18">
      <c r="A37" s="93" t="s">
        <v>289</v>
      </c>
      <c r="B37" s="94" t="s">
        <v>268</v>
      </c>
      <c r="C37" s="95">
        <v>1</v>
      </c>
      <c r="D37" s="95">
        <v>1</v>
      </c>
      <c r="E37" s="95"/>
      <c r="F37" s="108"/>
      <c r="G37" s="87">
        <f t="shared" si="0"/>
        <v>2</v>
      </c>
    </row>
    <row r="38" spans="1:7" ht="18">
      <c r="A38" s="93" t="s">
        <v>290</v>
      </c>
      <c r="B38" s="94" t="s">
        <v>268</v>
      </c>
      <c r="C38" s="95">
        <v>1</v>
      </c>
      <c r="D38" s="95">
        <v>1</v>
      </c>
      <c r="E38" s="95"/>
      <c r="F38" s="108"/>
      <c r="G38" s="87">
        <f t="shared" si="0"/>
        <v>2</v>
      </c>
    </row>
    <row r="39" spans="1:7" ht="18">
      <c r="A39" s="97" t="s">
        <v>272</v>
      </c>
      <c r="B39" s="98"/>
      <c r="C39" s="99">
        <f>SUM(C34:C38)</f>
        <v>5</v>
      </c>
      <c r="D39" s="99">
        <f t="shared" ref="D39:F39" si="4">SUM(D34:D38)</f>
        <v>5</v>
      </c>
      <c r="E39" s="99">
        <f t="shared" si="4"/>
        <v>0</v>
      </c>
      <c r="F39" s="109">
        <f t="shared" si="4"/>
        <v>0</v>
      </c>
      <c r="G39" s="112">
        <f t="shared" si="0"/>
        <v>10</v>
      </c>
    </row>
    <row r="40" spans="1:7" ht="20.25">
      <c r="A40" s="88"/>
      <c r="B40" s="88"/>
      <c r="C40" s="88"/>
      <c r="D40" s="88"/>
      <c r="E40" s="88"/>
      <c r="F40" s="89"/>
      <c r="G40" s="87"/>
    </row>
    <row r="41" spans="1:7" ht="15.75">
      <c r="A41" s="151" t="s">
        <v>260</v>
      </c>
      <c r="B41" s="151" t="s">
        <v>261</v>
      </c>
      <c r="C41" s="153" t="s">
        <v>262</v>
      </c>
      <c r="D41" s="154"/>
      <c r="E41" s="153" t="s">
        <v>263</v>
      </c>
      <c r="F41" s="155"/>
      <c r="G41" s="87"/>
    </row>
    <row r="42" spans="1:7" ht="15.75">
      <c r="A42" s="152"/>
      <c r="B42" s="152"/>
      <c r="C42" s="91" t="s">
        <v>264</v>
      </c>
      <c r="D42" s="91" t="s">
        <v>265</v>
      </c>
      <c r="E42" s="92" t="s">
        <v>266</v>
      </c>
      <c r="F42" s="110" t="s">
        <v>265</v>
      </c>
      <c r="G42" s="87"/>
    </row>
    <row r="43" spans="1:7" ht="18">
      <c r="A43" s="102" t="s">
        <v>291</v>
      </c>
      <c r="B43" s="94" t="s">
        <v>282</v>
      </c>
      <c r="C43" s="104">
        <v>4</v>
      </c>
      <c r="D43" s="95">
        <v>0</v>
      </c>
      <c r="E43" s="104"/>
      <c r="F43" s="111"/>
      <c r="G43" s="87">
        <f t="shared" si="0"/>
        <v>4</v>
      </c>
    </row>
    <row r="44" spans="1:7" ht="18">
      <c r="A44" s="102" t="s">
        <v>292</v>
      </c>
      <c r="B44" s="94" t="s">
        <v>282</v>
      </c>
      <c r="C44" s="104">
        <v>1</v>
      </c>
      <c r="D44" s="95">
        <v>0</v>
      </c>
      <c r="E44" s="104"/>
      <c r="F44" s="111"/>
      <c r="G44" s="87">
        <f t="shared" si="0"/>
        <v>1</v>
      </c>
    </row>
    <row r="45" spans="1:7" ht="18">
      <c r="A45" s="97" t="s">
        <v>272</v>
      </c>
      <c r="B45" s="99"/>
      <c r="C45" s="99">
        <f>SUM(C43:C44)</f>
        <v>5</v>
      </c>
      <c r="D45" s="99">
        <f>SUM(D43:D44)</f>
        <v>0</v>
      </c>
      <c r="E45" s="99"/>
      <c r="F45" s="109"/>
      <c r="G45" s="112">
        <f t="shared" si="0"/>
        <v>5</v>
      </c>
    </row>
    <row r="46" spans="1:7">
      <c r="A46" s="107" t="s">
        <v>293</v>
      </c>
      <c r="B46" s="106"/>
      <c r="C46" s="106">
        <f>C45+C39+C30+C23+C9</f>
        <v>48</v>
      </c>
      <c r="D46" s="106">
        <f>D45+D39+D30+D23+D9</f>
        <v>23</v>
      </c>
      <c r="G46" s="112">
        <f t="shared" si="0"/>
        <v>71</v>
      </c>
    </row>
  </sheetData>
  <mergeCells count="21">
    <mergeCell ref="A41:A42"/>
    <mergeCell ref="B41:B42"/>
    <mergeCell ref="C41:D41"/>
    <mergeCell ref="E41:F41"/>
    <mergeCell ref="A32:A33"/>
    <mergeCell ref="B32:B33"/>
    <mergeCell ref="C32:D32"/>
    <mergeCell ref="E32:F32"/>
    <mergeCell ref="A26:A27"/>
    <mergeCell ref="B26:B27"/>
    <mergeCell ref="C26:D26"/>
    <mergeCell ref="E26:F26"/>
    <mergeCell ref="A12:A13"/>
    <mergeCell ref="B12:B13"/>
    <mergeCell ref="C12:D12"/>
    <mergeCell ref="E12:F12"/>
    <mergeCell ref="A1:F1"/>
    <mergeCell ref="A3:A4"/>
    <mergeCell ref="B3:B4"/>
    <mergeCell ref="C3:D3"/>
    <mergeCell ref="E3:F3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Normal="100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E21" sqref="E21"/>
    </sheetView>
  </sheetViews>
  <sheetFormatPr defaultColWidth="3.85546875" defaultRowHeight="15.75"/>
  <cols>
    <col min="1" max="1" width="21.85546875" style="31" customWidth="1"/>
    <col min="2" max="2" width="11.28515625" style="31" bestFit="1" customWidth="1"/>
    <col min="3" max="3" width="11" style="31" bestFit="1" customWidth="1"/>
    <col min="4" max="4" width="12.28515625" style="31" bestFit="1" customWidth="1"/>
    <col min="5" max="5" width="8.5703125" style="31" bestFit="1" customWidth="1"/>
    <col min="6" max="6" width="12.28515625" style="31" bestFit="1" customWidth="1"/>
    <col min="7" max="7" width="8.5703125" style="31" customWidth="1"/>
    <col min="8" max="8" width="7" style="31" bestFit="1" customWidth="1"/>
    <col min="9" max="9" width="16.28515625" style="31" customWidth="1"/>
    <col min="10" max="10" width="15.7109375" style="31" customWidth="1"/>
    <col min="11" max="11" width="7.85546875" style="31" bestFit="1" customWidth="1"/>
    <col min="12" max="12" width="48" style="31" bestFit="1" customWidth="1"/>
    <col min="13" max="13" width="14.7109375" style="31" bestFit="1" customWidth="1"/>
    <col min="14" max="14" width="8.42578125" style="31" bestFit="1" customWidth="1"/>
    <col min="15" max="15" width="9.5703125" style="31" bestFit="1" customWidth="1"/>
    <col min="16" max="16384" width="3.85546875" style="31"/>
  </cols>
  <sheetData>
    <row r="1" spans="1:12" s="28" customFormat="1" ht="39.75" customHeight="1">
      <c r="A1" s="26" t="s">
        <v>150</v>
      </c>
      <c r="B1" s="27" t="s">
        <v>151</v>
      </c>
      <c r="C1" s="27" t="s">
        <v>152</v>
      </c>
      <c r="D1" s="27" t="s">
        <v>153</v>
      </c>
      <c r="E1" s="27" t="s">
        <v>154</v>
      </c>
      <c r="F1" s="27" t="s">
        <v>153</v>
      </c>
      <c r="G1" s="27" t="s">
        <v>154</v>
      </c>
      <c r="H1" s="27" t="s">
        <v>155</v>
      </c>
      <c r="I1" s="27" t="s">
        <v>156</v>
      </c>
      <c r="J1" s="27" t="s">
        <v>157</v>
      </c>
      <c r="K1" s="27" t="s">
        <v>0</v>
      </c>
    </row>
    <row r="2" spans="1:12">
      <c r="A2" s="29" t="s">
        <v>169</v>
      </c>
      <c r="B2" s="30" t="s">
        <v>170</v>
      </c>
      <c r="C2" s="30" t="s">
        <v>152</v>
      </c>
      <c r="D2" s="30" t="s">
        <v>153</v>
      </c>
      <c r="E2" s="30" t="s">
        <v>154</v>
      </c>
      <c r="F2" s="30"/>
      <c r="G2" s="30"/>
      <c r="H2" s="30" t="s">
        <v>155</v>
      </c>
      <c r="I2" s="30" t="s">
        <v>159</v>
      </c>
      <c r="J2" s="30" t="s">
        <v>171</v>
      </c>
      <c r="K2" s="30" t="s">
        <v>0</v>
      </c>
      <c r="L2" s="30" t="s">
        <v>160</v>
      </c>
    </row>
    <row r="3" spans="1:12">
      <c r="A3" s="29" t="s">
        <v>158</v>
      </c>
      <c r="B3" s="30" t="s">
        <v>151</v>
      </c>
      <c r="C3" s="30" t="s">
        <v>152</v>
      </c>
      <c r="D3" s="30" t="s">
        <v>153</v>
      </c>
      <c r="E3" s="30" t="s">
        <v>154</v>
      </c>
      <c r="F3" s="30"/>
      <c r="G3" s="30"/>
      <c r="H3" s="30" t="s">
        <v>155</v>
      </c>
      <c r="I3" s="30" t="s">
        <v>159</v>
      </c>
      <c r="J3" s="30" t="s">
        <v>171</v>
      </c>
      <c r="K3" s="30" t="s">
        <v>0</v>
      </c>
      <c r="L3" s="30" t="s">
        <v>160</v>
      </c>
    </row>
    <row r="4" spans="1:12">
      <c r="A4" s="29" t="s">
        <v>158</v>
      </c>
      <c r="B4" s="30" t="s">
        <v>151</v>
      </c>
      <c r="C4" s="30" t="s">
        <v>152</v>
      </c>
      <c r="D4" s="30" t="s">
        <v>153</v>
      </c>
      <c r="E4" s="30" t="s">
        <v>154</v>
      </c>
      <c r="F4" s="30"/>
      <c r="G4" s="30"/>
      <c r="H4" s="30" t="s">
        <v>155</v>
      </c>
      <c r="I4" s="30" t="s">
        <v>159</v>
      </c>
      <c r="J4" s="30" t="s">
        <v>171</v>
      </c>
      <c r="K4" s="30" t="s">
        <v>0</v>
      </c>
      <c r="L4" s="30" t="s">
        <v>160</v>
      </c>
    </row>
    <row r="5" spans="1:12">
      <c r="A5" s="29" t="s">
        <v>158</v>
      </c>
      <c r="B5" s="30" t="s">
        <v>151</v>
      </c>
      <c r="C5" s="30" t="s">
        <v>152</v>
      </c>
      <c r="D5" s="30" t="s">
        <v>153</v>
      </c>
      <c r="E5" s="30" t="s">
        <v>154</v>
      </c>
      <c r="F5" s="30"/>
      <c r="G5" s="30"/>
      <c r="H5" s="30" t="s">
        <v>155</v>
      </c>
      <c r="I5" s="30" t="s">
        <v>159</v>
      </c>
      <c r="J5" s="30" t="s">
        <v>171</v>
      </c>
      <c r="K5" s="30" t="s">
        <v>0</v>
      </c>
      <c r="L5" s="30" t="s">
        <v>160</v>
      </c>
    </row>
    <row r="6" spans="1:12">
      <c r="A6" s="29" t="s">
        <v>98</v>
      </c>
      <c r="B6" s="30" t="s">
        <v>151</v>
      </c>
      <c r="C6" s="30" t="s">
        <v>152</v>
      </c>
      <c r="D6" s="30" t="s">
        <v>153</v>
      </c>
      <c r="E6" s="30" t="s">
        <v>154</v>
      </c>
      <c r="F6" s="30"/>
      <c r="G6" s="30"/>
      <c r="H6" s="30" t="s">
        <v>155</v>
      </c>
      <c r="I6" s="30" t="s">
        <v>159</v>
      </c>
      <c r="J6" s="30" t="s">
        <v>171</v>
      </c>
      <c r="K6" s="30" t="s">
        <v>0</v>
      </c>
      <c r="L6" s="30" t="s">
        <v>160</v>
      </c>
    </row>
    <row r="7" spans="1:12">
      <c r="A7" s="29" t="s">
        <v>161</v>
      </c>
      <c r="B7" s="30" t="s">
        <v>151</v>
      </c>
      <c r="C7" s="30" t="s">
        <v>152</v>
      </c>
      <c r="D7" s="30"/>
      <c r="E7" s="30" t="s">
        <v>154</v>
      </c>
      <c r="F7" s="30" t="s">
        <v>153</v>
      </c>
      <c r="G7" s="30" t="s">
        <v>154</v>
      </c>
      <c r="H7" s="30" t="s">
        <v>155</v>
      </c>
      <c r="I7" s="30" t="s">
        <v>159</v>
      </c>
      <c r="J7" s="30" t="s">
        <v>157</v>
      </c>
      <c r="K7" s="30" t="s">
        <v>0</v>
      </c>
      <c r="L7" s="30" t="s">
        <v>162</v>
      </c>
    </row>
    <row r="8" spans="1:12">
      <c r="A8" s="29">
        <v>4007</v>
      </c>
      <c r="B8" s="30"/>
      <c r="C8" s="30"/>
      <c r="D8" s="30"/>
      <c r="E8" s="30"/>
      <c r="F8" s="30"/>
      <c r="G8" s="30"/>
      <c r="H8" s="30" t="s">
        <v>155</v>
      </c>
      <c r="I8" s="30"/>
      <c r="J8" s="30" t="s">
        <v>163</v>
      </c>
      <c r="K8" s="30" t="s">
        <v>0</v>
      </c>
      <c r="L8" s="30" t="s">
        <v>164</v>
      </c>
    </row>
    <row r="9" spans="1:12">
      <c r="A9" s="29">
        <v>5009</v>
      </c>
      <c r="B9" s="30" t="s">
        <v>151</v>
      </c>
      <c r="C9" s="30" t="s">
        <v>152</v>
      </c>
      <c r="D9" s="30"/>
      <c r="E9" s="30" t="s">
        <v>154</v>
      </c>
      <c r="F9" s="30"/>
      <c r="G9" s="30"/>
      <c r="H9" s="30" t="s">
        <v>155</v>
      </c>
      <c r="I9" s="30"/>
      <c r="J9" s="30" t="s">
        <v>165</v>
      </c>
      <c r="K9" s="30" t="s">
        <v>0</v>
      </c>
      <c r="L9" s="30" t="s">
        <v>166</v>
      </c>
    </row>
    <row r="10" spans="1:12">
      <c r="A10" s="29" t="s">
        <v>167</v>
      </c>
      <c r="B10" s="30" t="s">
        <v>151</v>
      </c>
      <c r="C10" s="30"/>
      <c r="D10" s="30"/>
      <c r="E10" s="30" t="s">
        <v>154</v>
      </c>
      <c r="F10" s="30"/>
      <c r="G10" s="30"/>
      <c r="H10" s="30" t="s">
        <v>155</v>
      </c>
      <c r="I10" s="30"/>
      <c r="J10" s="30" t="s">
        <v>165</v>
      </c>
      <c r="K10" s="30" t="s">
        <v>0</v>
      </c>
      <c r="L10" s="30" t="s">
        <v>166</v>
      </c>
    </row>
    <row r="11" spans="1:12">
      <c r="A11" s="29" t="s">
        <v>168</v>
      </c>
      <c r="B11" s="30" t="s">
        <v>151</v>
      </c>
      <c r="C11" s="30"/>
      <c r="D11" s="30"/>
      <c r="E11" s="30"/>
      <c r="F11" s="30"/>
      <c r="G11" s="30"/>
      <c r="H11" s="30" t="s">
        <v>155</v>
      </c>
      <c r="I11" s="30"/>
      <c r="J11" s="30" t="s">
        <v>165</v>
      </c>
      <c r="K11" s="30" t="s">
        <v>0</v>
      </c>
      <c r="L11" s="30" t="s">
        <v>166</v>
      </c>
    </row>
    <row r="12" spans="1:12">
      <c r="A12" s="29">
        <v>5096</v>
      </c>
      <c r="B12" s="30" t="s">
        <v>151</v>
      </c>
      <c r="C12" s="30"/>
      <c r="D12" s="30"/>
      <c r="E12" s="30" t="s">
        <v>154</v>
      </c>
      <c r="F12" s="30"/>
      <c r="G12" s="30"/>
      <c r="H12" s="30" t="s">
        <v>155</v>
      </c>
      <c r="I12" s="30"/>
      <c r="J12" s="30" t="s">
        <v>165</v>
      </c>
      <c r="K12" s="30" t="s">
        <v>0</v>
      </c>
      <c r="L12" s="30" t="s">
        <v>166</v>
      </c>
    </row>
    <row r="13" spans="1:12">
      <c r="A13" s="29">
        <v>5708</v>
      </c>
      <c r="B13" s="30" t="s">
        <v>151</v>
      </c>
      <c r="C13" s="30"/>
      <c r="D13" s="30"/>
      <c r="E13" s="30"/>
      <c r="F13" s="30"/>
      <c r="G13" s="30"/>
      <c r="H13" s="30"/>
      <c r="I13" s="30" t="s">
        <v>159</v>
      </c>
      <c r="J13" s="30" t="s">
        <v>163</v>
      </c>
      <c r="K13" s="30" t="s">
        <v>0</v>
      </c>
      <c r="L13" s="30"/>
    </row>
    <row r="14" spans="1:12">
      <c r="A14" s="29">
        <v>5147</v>
      </c>
      <c r="B14" s="30" t="s">
        <v>151</v>
      </c>
      <c r="C14" s="30" t="s">
        <v>152</v>
      </c>
      <c r="D14" s="30"/>
      <c r="E14" s="30" t="s">
        <v>154</v>
      </c>
      <c r="F14" s="30"/>
      <c r="G14" s="30"/>
      <c r="H14" s="30" t="s">
        <v>155</v>
      </c>
      <c r="I14" s="30"/>
      <c r="J14" s="30" t="s">
        <v>165</v>
      </c>
      <c r="K14" s="30" t="s">
        <v>0</v>
      </c>
      <c r="L14" s="30" t="s">
        <v>166</v>
      </c>
    </row>
    <row r="15" spans="1:12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</sheetData>
  <autoFilter ref="A1:O1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capacity</vt:lpstr>
      <vt:lpstr>New Cycle time-Filament</vt:lpstr>
      <vt:lpstr>New-Cycle time SSP-TXP-PPC (2)</vt:lpstr>
      <vt:lpstr>New-Cycle time TUBE)</vt:lpstr>
      <vt:lpstr>New kg-Spun+Filament (2)</vt:lpstr>
      <vt:lpstr>HEADCOUNT</vt:lpstr>
      <vt:lpstr>IR</vt:lpstr>
      <vt:lpstr>Routing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2026-06-25T05:57:43Z</cp:lastPrinted>
  <dcterms:created xsi:type="dcterms:W3CDTF">2026-03-25T12:40:22Z</dcterms:created>
  <dcterms:modified xsi:type="dcterms:W3CDTF">2026-08-04T13:55:40Z</dcterms:modified>
</cp:coreProperties>
</file>