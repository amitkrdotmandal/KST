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192.168.5.7\Documents\ST KALPESH\WINDING PRODUCTION LEAD TIME\"/>
    </mc:Choice>
  </mc:AlternateContent>
  <bookViews>
    <workbookView xWindow="0" yWindow="0" windowWidth="24000" windowHeight="9600" tabRatio="776" activeTab="2"/>
  </bookViews>
  <sheets>
    <sheet name="capacity" sheetId="8" r:id="rId1"/>
    <sheet name="Cycle time-Filaments" sheetId="2" r:id="rId2"/>
    <sheet name="overall lead time" sheetId="7" r:id="rId3"/>
    <sheet name="Cycle time SSP-TXP-PPC" sheetId="3" r:id="rId4"/>
    <sheet name="PENDING PO" sheetId="4" r:id="rId5"/>
    <sheet name="Routing " sheetId="5" r:id="rId6"/>
    <sheet name="Cycle time TUBE)" sheetId="6" r:id="rId7"/>
  </sheets>
  <externalReferences>
    <externalReference r:id="rId8"/>
  </externalReferences>
  <definedNames>
    <definedName name="_xlnm._FilterDatabase" localSheetId="0" hidden="1">capacity!$A$1:$H$36</definedName>
    <definedName name="_xlnm._FilterDatabase" localSheetId="3" hidden="1">'Cycle time SSP-TXP-PPC'!$A$1:$W$31</definedName>
    <definedName name="_xlnm._FilterDatabase" localSheetId="6" hidden="1">'Cycle time TUBE)'!$D$1:$W$12</definedName>
    <definedName name="_xlnm._FilterDatabase" localSheetId="1" hidden="1">'Cycle time-Filaments'!$A$1:$X$58</definedName>
    <definedName name="_xlnm._FilterDatabase" localSheetId="4" hidden="1">'PENDING PO'!$A$1:$D$89</definedName>
    <definedName name="_xlnm._FilterDatabase" localSheetId="5" hidden="1">'Routing '!$A$1:$O$13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9" i="4"/>
  <c r="B12" i="4"/>
  <c r="B13" i="4"/>
  <c r="B17" i="4"/>
  <c r="B19" i="4"/>
  <c r="B20" i="4"/>
  <c r="B25" i="4"/>
  <c r="B28" i="4"/>
  <c r="B29" i="4"/>
  <c r="B31" i="4"/>
  <c r="B35" i="4"/>
  <c r="B36" i="4"/>
  <c r="B37" i="4"/>
  <c r="B38" i="4"/>
  <c r="B39" i="4"/>
  <c r="B40" i="4"/>
  <c r="B41" i="4"/>
  <c r="B44" i="4"/>
  <c r="B45" i="4"/>
  <c r="B50" i="4"/>
  <c r="B51" i="4"/>
  <c r="B52" i="4"/>
  <c r="B53" i="4"/>
  <c r="B54" i="4"/>
  <c r="B57" i="4"/>
  <c r="B58" i="4"/>
  <c r="B60" i="4"/>
  <c r="B64" i="4"/>
  <c r="B76" i="4"/>
  <c r="B78" i="4"/>
  <c r="B79" i="4"/>
  <c r="B81" i="4"/>
  <c r="B86" i="4"/>
  <c r="B87" i="4"/>
  <c r="B2" i="4"/>
  <c r="U58" i="2" l="1"/>
  <c r="L58" i="2"/>
  <c r="R58" i="2" s="1"/>
  <c r="L57" i="2"/>
  <c r="R57" i="2" s="1"/>
  <c r="L56" i="2"/>
  <c r="N56" i="2" s="1"/>
  <c r="O56" i="2" s="1"/>
  <c r="Q56" i="2" s="1"/>
  <c r="T56" i="2" s="1"/>
  <c r="L55" i="2"/>
  <c r="R55" i="2" s="1"/>
  <c r="L54" i="2"/>
  <c r="R54" i="2" s="1"/>
  <c r="L53" i="2"/>
  <c r="R53" i="2" s="1"/>
  <c r="L52" i="2"/>
  <c r="R52" i="2" s="1"/>
  <c r="L51" i="2"/>
  <c r="R51" i="2" s="1"/>
  <c r="O50" i="2"/>
  <c r="Q50" i="2" s="1"/>
  <c r="T50" i="2" s="1"/>
  <c r="O49" i="2"/>
  <c r="Q49" i="2" s="1"/>
  <c r="T49" i="2" s="1"/>
  <c r="L48" i="2"/>
  <c r="R48" i="2" s="1"/>
  <c r="L47" i="2"/>
  <c r="R47" i="2" s="1"/>
  <c r="L46" i="2"/>
  <c r="R46" i="2" s="1"/>
  <c r="L45" i="2"/>
  <c r="N45" i="2" s="1"/>
  <c r="O45" i="2" s="1"/>
  <c r="Q45" i="2" s="1"/>
  <c r="T45" i="2" s="1"/>
  <c r="L44" i="2"/>
  <c r="R44" i="2" s="1"/>
  <c r="L43" i="2"/>
  <c r="N43" i="2" s="1"/>
  <c r="O43" i="2" s="1"/>
  <c r="Q43" i="2" s="1"/>
  <c r="T43" i="2" s="1"/>
  <c r="L42" i="2"/>
  <c r="R42" i="2" s="1"/>
  <c r="L41" i="2"/>
  <c r="R41" i="2" s="1"/>
  <c r="L40" i="2"/>
  <c r="R40" i="2" s="1"/>
  <c r="L39" i="2"/>
  <c r="R39" i="2" s="1"/>
  <c r="L38" i="2"/>
  <c r="R38" i="2" s="1"/>
  <c r="L37" i="2"/>
  <c r="R37" i="2" s="1"/>
  <c r="L36" i="2"/>
  <c r="R36" i="2" s="1"/>
  <c r="L35" i="2"/>
  <c r="R35" i="2" s="1"/>
  <c r="L34" i="2"/>
  <c r="R34" i="2" s="1"/>
  <c r="L33" i="2"/>
  <c r="R33" i="2" s="1"/>
  <c r="L32" i="2"/>
  <c r="R32" i="2" s="1"/>
  <c r="L31" i="2"/>
  <c r="R31" i="2" s="1"/>
  <c r="L30" i="2"/>
  <c r="R30" i="2" s="1"/>
  <c r="L29" i="2"/>
  <c r="R29" i="2" s="1"/>
  <c r="L28" i="2"/>
  <c r="R28" i="2" s="1"/>
  <c r="L27" i="2"/>
  <c r="R27" i="2" s="1"/>
  <c r="L26" i="2"/>
  <c r="R26" i="2" s="1"/>
  <c r="L25" i="2"/>
  <c r="R25" i="2" s="1"/>
  <c r="L24" i="2"/>
  <c r="R24" i="2" s="1"/>
  <c r="L23" i="2"/>
  <c r="R23" i="2" s="1"/>
  <c r="L22" i="2"/>
  <c r="R22" i="2" s="1"/>
  <c r="L21" i="2"/>
  <c r="R21" i="2" s="1"/>
  <c r="L20" i="2"/>
  <c r="R20" i="2" s="1"/>
  <c r="L19" i="2"/>
  <c r="R19" i="2" s="1"/>
  <c r="L18" i="2"/>
  <c r="R18" i="2" s="1"/>
  <c r="L17" i="2"/>
  <c r="N17" i="2" s="1"/>
  <c r="O17" i="2" s="1"/>
  <c r="Q17" i="2" s="1"/>
  <c r="T17" i="2" s="1"/>
  <c r="L16" i="2"/>
  <c r="R16" i="2" s="1"/>
  <c r="L15" i="2"/>
  <c r="R15" i="2" s="1"/>
  <c r="L14" i="2"/>
  <c r="R14" i="2" s="1"/>
  <c r="L13" i="2"/>
  <c r="R13" i="2" s="1"/>
  <c r="L12" i="2"/>
  <c r="R12" i="2" s="1"/>
  <c r="L11" i="2"/>
  <c r="R11" i="2" s="1"/>
  <c r="L10" i="2"/>
  <c r="R10" i="2" s="1"/>
  <c r="L9" i="2"/>
  <c r="N9" i="2" s="1"/>
  <c r="O9" i="2" s="1"/>
  <c r="Q9" i="2" s="1"/>
  <c r="T9" i="2" s="1"/>
  <c r="L8" i="2"/>
  <c r="R8" i="2" s="1"/>
  <c r="O7" i="2"/>
  <c r="Q7" i="2" s="1"/>
  <c r="L6" i="2"/>
  <c r="N6" i="2" s="1"/>
  <c r="O6" i="2" s="1"/>
  <c r="Q6" i="2" s="1"/>
  <c r="T6" i="2" s="1"/>
  <c r="L5" i="2"/>
  <c r="L4" i="2"/>
  <c r="N4" i="2" s="1"/>
  <c r="O4" i="2" s="1"/>
  <c r="Q4" i="2" s="1"/>
  <c r="T4" i="2" s="1"/>
  <c r="L3" i="2"/>
  <c r="L2" i="2"/>
  <c r="N2" i="2" s="1"/>
  <c r="O2" i="2" s="1"/>
  <c r="Q2" i="2" s="1"/>
  <c r="T2" i="2" s="1"/>
  <c r="U25" i="3"/>
  <c r="L25" i="3"/>
  <c r="R25" i="3" s="1"/>
  <c r="L24" i="3"/>
  <c r="N24" i="3" s="1"/>
  <c r="O24" i="3" s="1"/>
  <c r="Q24" i="3" s="1"/>
  <c r="T24" i="3" s="1"/>
  <c r="L23" i="3"/>
  <c r="R23" i="3" s="1"/>
  <c r="L22" i="3"/>
  <c r="R22" i="3" s="1"/>
  <c r="L21" i="3"/>
  <c r="R21" i="3" s="1"/>
  <c r="L20" i="3"/>
  <c r="R20" i="3" s="1"/>
  <c r="L19" i="3"/>
  <c r="R19" i="3" s="1"/>
  <c r="L18" i="3"/>
  <c r="R18" i="3" s="1"/>
  <c r="L17" i="3"/>
  <c r="R17" i="3" s="1"/>
  <c r="L16" i="3"/>
  <c r="N16" i="3" s="1"/>
  <c r="O16" i="3" s="1"/>
  <c r="Q16" i="3" s="1"/>
  <c r="T16" i="3" s="1"/>
  <c r="L15" i="3"/>
  <c r="R15" i="3" s="1"/>
  <c r="L14" i="3"/>
  <c r="R14" i="3" s="1"/>
  <c r="L13" i="3"/>
  <c r="R13" i="3" s="1"/>
  <c r="L12" i="3"/>
  <c r="R12" i="3" s="1"/>
  <c r="L11" i="3"/>
  <c r="R11" i="3" s="1"/>
  <c r="L10" i="3"/>
  <c r="R10" i="3" s="1"/>
  <c r="L9" i="3"/>
  <c r="R9" i="3" s="1"/>
  <c r="L8" i="3"/>
  <c r="N8" i="3" s="1"/>
  <c r="O8" i="3" s="1"/>
  <c r="Q8" i="3" s="1"/>
  <c r="T8" i="3" s="1"/>
  <c r="L7" i="3"/>
  <c r="R7" i="3" s="1"/>
  <c r="L6" i="3"/>
  <c r="R6" i="3" s="1"/>
  <c r="L5" i="3"/>
  <c r="R5" i="3" s="1"/>
  <c r="L4" i="3"/>
  <c r="R4" i="3" s="1"/>
  <c r="L3" i="3"/>
  <c r="R3" i="3" s="1"/>
  <c r="L2" i="3"/>
  <c r="R2" i="3" s="1"/>
  <c r="U5" i="6"/>
  <c r="U6" i="6"/>
  <c r="U7" i="6"/>
  <c r="U8" i="6"/>
  <c r="L8" i="6"/>
  <c r="N8" i="6" s="1"/>
  <c r="O8" i="6" s="1"/>
  <c r="Q8" i="6" s="1"/>
  <c r="T8" i="6" s="1"/>
  <c r="L7" i="6"/>
  <c r="R7" i="6" s="1"/>
  <c r="L6" i="6"/>
  <c r="N6" i="6" s="1"/>
  <c r="O6" i="6" s="1"/>
  <c r="Q6" i="6" s="1"/>
  <c r="T6" i="6" s="1"/>
  <c r="L5" i="6"/>
  <c r="R5" i="6" s="1"/>
  <c r="L4" i="6"/>
  <c r="N4" i="6" s="1"/>
  <c r="O4" i="6" s="1"/>
  <c r="Q4" i="6" s="1"/>
  <c r="T4" i="6" s="1"/>
  <c r="L3" i="6"/>
  <c r="R3" i="6" s="1"/>
  <c r="L2" i="6"/>
  <c r="N2" i="6" s="1"/>
  <c r="O2" i="6" s="1"/>
  <c r="Q2" i="6" s="1"/>
  <c r="T2" i="6" s="1"/>
  <c r="U6" i="3"/>
  <c r="U11" i="2"/>
  <c r="R8" i="6" l="1"/>
  <c r="R4" i="6"/>
  <c r="R6" i="6"/>
  <c r="V8" i="6"/>
  <c r="V5" i="6"/>
  <c r="R2" i="6"/>
  <c r="V6" i="6"/>
  <c r="W58" i="2"/>
  <c r="B92" i="4"/>
  <c r="R9" i="2"/>
  <c r="N31" i="2"/>
  <c r="O31" i="2" s="1"/>
  <c r="Q31" i="2" s="1"/>
  <c r="T31" i="2" s="1"/>
  <c r="N52" i="2"/>
  <c r="O52" i="2" s="1"/>
  <c r="Q52" i="2" s="1"/>
  <c r="T52" i="2" s="1"/>
  <c r="N37" i="2"/>
  <c r="O37" i="2" s="1"/>
  <c r="Q37" i="2" s="1"/>
  <c r="T37" i="2" s="1"/>
  <c r="R17" i="2"/>
  <c r="N23" i="2"/>
  <c r="O23" i="2" s="1"/>
  <c r="Q23" i="2" s="1"/>
  <c r="T23" i="2" s="1"/>
  <c r="R43" i="2"/>
  <c r="U49" i="2"/>
  <c r="V49" i="2" s="1"/>
  <c r="R45" i="2"/>
  <c r="R4" i="2"/>
  <c r="N19" i="2"/>
  <c r="O19" i="2" s="1"/>
  <c r="Q19" i="2" s="1"/>
  <c r="T19" i="2" s="1"/>
  <c r="N33" i="2"/>
  <c r="O33" i="2" s="1"/>
  <c r="Q33" i="2" s="1"/>
  <c r="T33" i="2" s="1"/>
  <c r="R6" i="2"/>
  <c r="N27" i="2"/>
  <c r="O27" i="2" s="1"/>
  <c r="Q27" i="2" s="1"/>
  <c r="T27" i="2" s="1"/>
  <c r="N41" i="2"/>
  <c r="O41" i="2" s="1"/>
  <c r="Q41" i="2" s="1"/>
  <c r="T41" i="2" s="1"/>
  <c r="R56" i="2"/>
  <c r="N21" i="2"/>
  <c r="O21" i="2" s="1"/>
  <c r="Q21" i="2" s="1"/>
  <c r="T21" i="2" s="1"/>
  <c r="N35" i="2"/>
  <c r="O35" i="2" s="1"/>
  <c r="Q35" i="2" s="1"/>
  <c r="T35" i="2" s="1"/>
  <c r="N15" i="2"/>
  <c r="O15" i="2" s="1"/>
  <c r="Q15" i="2" s="1"/>
  <c r="T15" i="2" s="1"/>
  <c r="N29" i="2"/>
  <c r="O29" i="2" s="1"/>
  <c r="Q29" i="2" s="1"/>
  <c r="T29" i="2" s="1"/>
  <c r="N25" i="2"/>
  <c r="O25" i="2" s="1"/>
  <c r="Q25" i="2" s="1"/>
  <c r="T25" i="2" s="1"/>
  <c r="N11" i="2"/>
  <c r="O11" i="2" s="1"/>
  <c r="Q11" i="2" s="1"/>
  <c r="T11" i="2" s="1"/>
  <c r="V11" i="2" s="1"/>
  <c r="N39" i="2"/>
  <c r="O39" i="2" s="1"/>
  <c r="Q39" i="2" s="1"/>
  <c r="T39" i="2" s="1"/>
  <c r="N13" i="2"/>
  <c r="O13" i="2" s="1"/>
  <c r="Q13" i="2" s="1"/>
  <c r="T13" i="2" s="1"/>
  <c r="N47" i="2"/>
  <c r="O47" i="2" s="1"/>
  <c r="Q47" i="2" s="1"/>
  <c r="T47" i="2" s="1"/>
  <c r="R2" i="2"/>
  <c r="N5" i="2"/>
  <c r="O5" i="2" s="1"/>
  <c r="Q5" i="2" s="1"/>
  <c r="T5" i="2" s="1"/>
  <c r="R5" i="2"/>
  <c r="R3" i="2"/>
  <c r="N3" i="2"/>
  <c r="O3" i="2" s="1"/>
  <c r="Q3" i="2" s="1"/>
  <c r="T3" i="2" s="1"/>
  <c r="N54" i="2"/>
  <c r="O54" i="2" s="1"/>
  <c r="Q54" i="2" s="1"/>
  <c r="T54" i="2" s="1"/>
  <c r="N8" i="2"/>
  <c r="O8" i="2" s="1"/>
  <c r="Q8" i="2" s="1"/>
  <c r="T8" i="2" s="1"/>
  <c r="N10" i="2"/>
  <c r="O10" i="2" s="1"/>
  <c r="Q10" i="2" s="1"/>
  <c r="T10" i="2" s="1"/>
  <c r="N14" i="2"/>
  <c r="O14" i="2" s="1"/>
  <c r="Q14" i="2" s="1"/>
  <c r="T14" i="2" s="1"/>
  <c r="N18" i="2"/>
  <c r="O18" i="2" s="1"/>
  <c r="Q18" i="2" s="1"/>
  <c r="T18" i="2" s="1"/>
  <c r="N24" i="2"/>
  <c r="O24" i="2" s="1"/>
  <c r="Q24" i="2" s="1"/>
  <c r="T24" i="2" s="1"/>
  <c r="N32" i="2"/>
  <c r="O32" i="2" s="1"/>
  <c r="Q32" i="2" s="1"/>
  <c r="T32" i="2" s="1"/>
  <c r="N36" i="2"/>
  <c r="O36" i="2" s="1"/>
  <c r="Q36" i="2" s="1"/>
  <c r="T36" i="2" s="1"/>
  <c r="N40" i="2"/>
  <c r="O40" i="2" s="1"/>
  <c r="Q40" i="2" s="1"/>
  <c r="T40" i="2" s="1"/>
  <c r="N42" i="2"/>
  <c r="O42" i="2" s="1"/>
  <c r="Q42" i="2" s="1"/>
  <c r="T42" i="2" s="1"/>
  <c r="N46" i="2"/>
  <c r="O46" i="2" s="1"/>
  <c r="Q46" i="2" s="1"/>
  <c r="T46" i="2" s="1"/>
  <c r="N48" i="2"/>
  <c r="O48" i="2" s="1"/>
  <c r="Q48" i="2" s="1"/>
  <c r="T48" i="2" s="1"/>
  <c r="N53" i="2"/>
  <c r="O53" i="2" s="1"/>
  <c r="Q53" i="2" s="1"/>
  <c r="T53" i="2" s="1"/>
  <c r="N55" i="2"/>
  <c r="O55" i="2" s="1"/>
  <c r="Q55" i="2" s="1"/>
  <c r="T55" i="2" s="1"/>
  <c r="N57" i="2"/>
  <c r="O57" i="2" s="1"/>
  <c r="Q57" i="2" s="1"/>
  <c r="T57" i="2" s="1"/>
  <c r="N12" i="2"/>
  <c r="O12" i="2" s="1"/>
  <c r="Q12" i="2" s="1"/>
  <c r="T12" i="2" s="1"/>
  <c r="N16" i="2"/>
  <c r="O16" i="2" s="1"/>
  <c r="Q16" i="2" s="1"/>
  <c r="T16" i="2" s="1"/>
  <c r="N20" i="2"/>
  <c r="O20" i="2" s="1"/>
  <c r="Q20" i="2" s="1"/>
  <c r="T20" i="2" s="1"/>
  <c r="N22" i="2"/>
  <c r="O22" i="2" s="1"/>
  <c r="Q22" i="2" s="1"/>
  <c r="T22" i="2" s="1"/>
  <c r="N26" i="2"/>
  <c r="O26" i="2" s="1"/>
  <c r="Q26" i="2" s="1"/>
  <c r="T26" i="2" s="1"/>
  <c r="N28" i="2"/>
  <c r="O28" i="2" s="1"/>
  <c r="Q28" i="2" s="1"/>
  <c r="T28" i="2" s="1"/>
  <c r="N30" i="2"/>
  <c r="O30" i="2" s="1"/>
  <c r="Q30" i="2" s="1"/>
  <c r="T30" i="2" s="1"/>
  <c r="N34" i="2"/>
  <c r="O34" i="2" s="1"/>
  <c r="Q34" i="2" s="1"/>
  <c r="T34" i="2" s="1"/>
  <c r="N38" i="2"/>
  <c r="O38" i="2" s="1"/>
  <c r="Q38" i="2" s="1"/>
  <c r="T38" i="2" s="1"/>
  <c r="N44" i="2"/>
  <c r="O44" i="2" s="1"/>
  <c r="Q44" i="2" s="1"/>
  <c r="T44" i="2" s="1"/>
  <c r="N51" i="2"/>
  <c r="O51" i="2" s="1"/>
  <c r="Q51" i="2" s="1"/>
  <c r="T51" i="2" s="1"/>
  <c r="N58" i="2"/>
  <c r="O58" i="2" s="1"/>
  <c r="Q58" i="2" s="1"/>
  <c r="T58" i="2" s="1"/>
  <c r="V58" i="2" s="1"/>
  <c r="W25" i="3"/>
  <c r="N4" i="3"/>
  <c r="O4" i="3" s="1"/>
  <c r="Q4" i="3" s="1"/>
  <c r="T4" i="3" s="1"/>
  <c r="N12" i="3"/>
  <c r="O12" i="3" s="1"/>
  <c r="Q12" i="3" s="1"/>
  <c r="T12" i="3" s="1"/>
  <c r="N22" i="3"/>
  <c r="O22" i="3" s="1"/>
  <c r="Q22" i="3" s="1"/>
  <c r="T22" i="3" s="1"/>
  <c r="R8" i="3"/>
  <c r="R16" i="3"/>
  <c r="R24" i="3"/>
  <c r="N2" i="3"/>
  <c r="O2" i="3" s="1"/>
  <c r="Q2" i="3" s="1"/>
  <c r="T2" i="3" s="1"/>
  <c r="N6" i="3"/>
  <c r="O6" i="3" s="1"/>
  <c r="Q6" i="3" s="1"/>
  <c r="T6" i="3" s="1"/>
  <c r="V6" i="3" s="1"/>
  <c r="N10" i="3"/>
  <c r="O10" i="3" s="1"/>
  <c r="Q10" i="3" s="1"/>
  <c r="T10" i="3" s="1"/>
  <c r="N14" i="3"/>
  <c r="O14" i="3" s="1"/>
  <c r="Q14" i="3" s="1"/>
  <c r="T14" i="3" s="1"/>
  <c r="N18" i="3"/>
  <c r="O18" i="3" s="1"/>
  <c r="Q18" i="3" s="1"/>
  <c r="T18" i="3" s="1"/>
  <c r="N20" i="3"/>
  <c r="O20" i="3" s="1"/>
  <c r="Q20" i="3" s="1"/>
  <c r="T20" i="3" s="1"/>
  <c r="W6" i="3"/>
  <c r="N3" i="3"/>
  <c r="O3" i="3" s="1"/>
  <c r="Q3" i="3" s="1"/>
  <c r="T3" i="3" s="1"/>
  <c r="N5" i="3"/>
  <c r="O5" i="3" s="1"/>
  <c r="Q5" i="3" s="1"/>
  <c r="T5" i="3" s="1"/>
  <c r="N7" i="3"/>
  <c r="O7" i="3" s="1"/>
  <c r="Q7" i="3" s="1"/>
  <c r="T7" i="3" s="1"/>
  <c r="N9" i="3"/>
  <c r="O9" i="3" s="1"/>
  <c r="Q9" i="3" s="1"/>
  <c r="T9" i="3" s="1"/>
  <c r="N11" i="3"/>
  <c r="O11" i="3" s="1"/>
  <c r="Q11" i="3" s="1"/>
  <c r="T11" i="3" s="1"/>
  <c r="N13" i="3"/>
  <c r="O13" i="3" s="1"/>
  <c r="Q13" i="3" s="1"/>
  <c r="T13" i="3" s="1"/>
  <c r="N15" i="3"/>
  <c r="O15" i="3" s="1"/>
  <c r="Q15" i="3" s="1"/>
  <c r="T15" i="3" s="1"/>
  <c r="N17" i="3"/>
  <c r="O17" i="3" s="1"/>
  <c r="Q17" i="3" s="1"/>
  <c r="T17" i="3" s="1"/>
  <c r="N19" i="3"/>
  <c r="O19" i="3" s="1"/>
  <c r="Q19" i="3" s="1"/>
  <c r="T19" i="3" s="1"/>
  <c r="N21" i="3"/>
  <c r="O21" i="3" s="1"/>
  <c r="Q21" i="3" s="1"/>
  <c r="T21" i="3" s="1"/>
  <c r="N23" i="3"/>
  <c r="O23" i="3" s="1"/>
  <c r="Q23" i="3" s="1"/>
  <c r="T23" i="3" s="1"/>
  <c r="N25" i="3"/>
  <c r="O25" i="3" s="1"/>
  <c r="Q25" i="3" s="1"/>
  <c r="T25" i="3" s="1"/>
  <c r="V25" i="3" s="1"/>
  <c r="W7" i="6"/>
  <c r="W6" i="6"/>
  <c r="W8" i="6"/>
  <c r="W5" i="6"/>
  <c r="N3" i="6"/>
  <c r="O3" i="6" s="1"/>
  <c r="Q3" i="6" s="1"/>
  <c r="T3" i="6" s="1"/>
  <c r="N5" i="6"/>
  <c r="O5" i="6" s="1"/>
  <c r="Q5" i="6" s="1"/>
  <c r="T5" i="6" s="1"/>
  <c r="N7" i="6"/>
  <c r="O7" i="6" s="1"/>
  <c r="Q7" i="6" s="1"/>
  <c r="T7" i="6" s="1"/>
  <c r="V7" i="6" s="1"/>
  <c r="W11" i="2"/>
  <c r="U8" i="3"/>
  <c r="U7" i="3"/>
  <c r="W49" i="2" l="1"/>
  <c r="U12" i="3"/>
  <c r="Y2" i="3" l="1"/>
  <c r="Y3" i="3" s="1"/>
  <c r="Z3" i="3" s="1"/>
  <c r="Z4" i="3" s="1"/>
  <c r="Z5" i="3" s="1"/>
  <c r="Z6" i="3" s="1"/>
  <c r="U4" i="6" l="1"/>
  <c r="X2" i="2"/>
  <c r="U24" i="3" l="1"/>
  <c r="U9" i="3"/>
  <c r="U10" i="3"/>
  <c r="U11" i="3"/>
  <c r="U14" i="3"/>
  <c r="U15" i="3"/>
  <c r="U16" i="3"/>
  <c r="U17" i="3"/>
  <c r="U18" i="3"/>
  <c r="U19" i="3"/>
  <c r="U20" i="3"/>
  <c r="U22" i="3"/>
  <c r="U23" i="3"/>
  <c r="U6" i="2"/>
  <c r="U7" i="2"/>
  <c r="U8" i="2"/>
  <c r="U9" i="2"/>
  <c r="U12" i="2"/>
  <c r="U15" i="2"/>
  <c r="U17" i="2"/>
  <c r="U18" i="2"/>
  <c r="U19" i="2"/>
  <c r="U20" i="2"/>
  <c r="U21" i="2"/>
  <c r="U27" i="2"/>
  <c r="U28" i="2"/>
  <c r="U31" i="2"/>
  <c r="U32" i="2"/>
  <c r="U40" i="2"/>
  <c r="U41" i="2"/>
  <c r="U43" i="2"/>
  <c r="U44" i="2"/>
  <c r="U47" i="2"/>
  <c r="U50" i="2"/>
  <c r="W50" i="2" s="1"/>
  <c r="U51" i="2"/>
  <c r="U54" i="2"/>
  <c r="U55" i="2"/>
  <c r="U56" i="2"/>
  <c r="U10" i="2"/>
  <c r="U2" i="6"/>
  <c r="U3" i="6"/>
  <c r="U3" i="2"/>
  <c r="U4" i="2"/>
  <c r="U13" i="2"/>
  <c r="U14" i="2"/>
  <c r="U16" i="2"/>
  <c r="U22" i="2"/>
  <c r="U23" i="2"/>
  <c r="U24" i="2"/>
  <c r="U25" i="2"/>
  <c r="W25" i="2" s="1"/>
  <c r="U29" i="2"/>
  <c r="U30" i="2"/>
  <c r="U33" i="2"/>
  <c r="U35" i="2"/>
  <c r="U36" i="2"/>
  <c r="U37" i="2"/>
  <c r="U38" i="2"/>
  <c r="U39" i="2"/>
  <c r="U42" i="2"/>
  <c r="U13" i="3"/>
  <c r="U46" i="2"/>
  <c r="U48" i="2"/>
  <c r="U52" i="2"/>
  <c r="U53" i="2"/>
  <c r="U21" i="3"/>
  <c r="U57" i="2"/>
  <c r="U34" i="2"/>
  <c r="U45" i="2"/>
  <c r="U26" i="2"/>
  <c r="W26" i="2" s="1"/>
  <c r="U3" i="3"/>
  <c r="U4" i="3"/>
  <c r="U5" i="3"/>
  <c r="U2" i="3"/>
  <c r="W7" i="2" l="1"/>
  <c r="U28" i="3"/>
  <c r="V6" i="2"/>
  <c r="W37" i="2"/>
  <c r="V45" i="2"/>
  <c r="V25" i="2"/>
  <c r="V29" i="2"/>
  <c r="V21" i="2"/>
  <c r="V23" i="2"/>
  <c r="V31" i="2"/>
  <c r="W31" i="2"/>
  <c r="W28" i="2"/>
  <c r="V28" i="2"/>
  <c r="V27" i="2"/>
  <c r="W27" i="2"/>
  <c r="V33" i="2"/>
  <c r="W33" i="2"/>
  <c r="U10" i="6"/>
  <c r="W30" i="2"/>
  <c r="V30" i="2"/>
  <c r="W34" i="2"/>
  <c r="V34" i="2"/>
  <c r="W45" i="2"/>
  <c r="V32" i="2"/>
  <c r="W32" i="2"/>
  <c r="V37" i="2"/>
  <c r="V41" i="2"/>
  <c r="W41" i="2"/>
  <c r="W10" i="2"/>
  <c r="V10" i="2"/>
  <c r="V48" i="2"/>
  <c r="U5" i="2"/>
  <c r="V5" i="2" s="1"/>
  <c r="W29" i="2"/>
  <c r="V24" i="2"/>
  <c r="V22" i="2"/>
  <c r="V50" i="2"/>
  <c r="V7" i="2"/>
  <c r="V26" i="2"/>
  <c r="W23" i="2"/>
  <c r="W6" i="2"/>
  <c r="W24" i="2"/>
  <c r="W21" i="2"/>
  <c r="W48" i="2"/>
  <c r="W22" i="2"/>
  <c r="D4" i="7"/>
  <c r="W5" i="2" l="1"/>
  <c r="J44" i="8"/>
  <c r="H44" i="8"/>
  <c r="J43" i="8"/>
  <c r="H43" i="8"/>
  <c r="J42" i="8"/>
  <c r="H42" i="8"/>
  <c r="U2" i="2" l="1"/>
  <c r="W11" i="6"/>
  <c r="W30" i="3"/>
  <c r="W56" i="2"/>
  <c r="W54" i="2"/>
  <c r="X4" i="2"/>
  <c r="X42" i="2"/>
  <c r="W40" i="2"/>
  <c r="X39" i="2"/>
  <c r="X38" i="2"/>
  <c r="U60" i="2" l="1"/>
  <c r="B93" i="4" s="1"/>
  <c r="V4" i="3"/>
  <c r="V17" i="3"/>
  <c r="V13" i="2"/>
  <c r="V22" i="3"/>
  <c r="V16" i="3"/>
  <c r="V55" i="2"/>
  <c r="V12" i="2"/>
  <c r="V42" i="2"/>
  <c r="V21" i="3"/>
  <c r="V10" i="3"/>
  <c r="V44" i="2"/>
  <c r="V57" i="2"/>
  <c r="V7" i="3"/>
  <c r="V23" i="3"/>
  <c r="V24" i="3"/>
  <c r="V43" i="2"/>
  <c r="V3" i="3"/>
  <c r="V14" i="3"/>
  <c r="V46" i="2"/>
  <c r="V13" i="3"/>
  <c r="V38" i="2"/>
  <c r="V19" i="3"/>
  <c r="V39" i="2"/>
  <c r="V9" i="3"/>
  <c r="W19" i="2"/>
  <c r="W18" i="2"/>
  <c r="W23" i="3"/>
  <c r="W19" i="3"/>
  <c r="W16" i="3"/>
  <c r="W7" i="3"/>
  <c r="W13" i="3"/>
  <c r="W9" i="3"/>
  <c r="W24" i="3"/>
  <c r="W21" i="3"/>
  <c r="W46" i="2"/>
  <c r="W57" i="2"/>
  <c r="W39" i="2"/>
  <c r="W42" i="2"/>
  <c r="W44" i="2"/>
  <c r="W52" i="2"/>
  <c r="W2" i="2"/>
  <c r="W47" i="2"/>
  <c r="W38" i="2"/>
  <c r="W12" i="2"/>
  <c r="W55" i="2"/>
  <c r="W51" i="2"/>
  <c r="W17" i="2"/>
  <c r="W8" i="2"/>
  <c r="W9" i="2"/>
  <c r="W13" i="2"/>
  <c r="W35" i="2"/>
  <c r="W53" i="2"/>
  <c r="W16" i="2"/>
  <c r="W14" i="2"/>
  <c r="W20" i="2"/>
  <c r="W4" i="2"/>
  <c r="W15" i="2"/>
  <c r="W3" i="6"/>
  <c r="W4" i="6"/>
  <c r="W36" i="2"/>
  <c r="W5" i="3"/>
  <c r="W8" i="3"/>
  <c r="W11" i="3"/>
  <c r="W20" i="3"/>
  <c r="W18" i="3"/>
  <c r="W2" i="6"/>
  <c r="W3" i="2"/>
  <c r="W12" i="3"/>
  <c r="W15" i="3"/>
  <c r="W43" i="2"/>
  <c r="W3" i="3"/>
  <c r="W4" i="3"/>
  <c r="W10" i="3"/>
  <c r="W14" i="3"/>
  <c r="W17" i="3"/>
  <c r="W22" i="3"/>
  <c r="V4" i="6" l="1"/>
  <c r="V2" i="6"/>
  <c r="V3" i="6"/>
  <c r="V54" i="2"/>
  <c r="V52" i="2"/>
  <c r="V20" i="3"/>
  <c r="V5" i="3"/>
  <c r="V2" i="2"/>
  <c r="D8" i="7" s="1"/>
  <c r="V8" i="3"/>
  <c r="V18" i="2"/>
  <c r="V8" i="2"/>
  <c r="V20" i="2"/>
  <c r="V35" i="2"/>
  <c r="V19" i="2"/>
  <c r="V53" i="2"/>
  <c r="V36" i="2"/>
  <c r="V4" i="2"/>
  <c r="V16" i="2"/>
  <c r="D6" i="7" s="1"/>
  <c r="V47" i="2"/>
  <c r="V3" i="2"/>
  <c r="V51" i="2"/>
  <c r="V12" i="3"/>
  <c r="V17" i="2"/>
  <c r="V15" i="3"/>
  <c r="V40" i="2"/>
  <c r="V56" i="2"/>
  <c r="V18" i="3"/>
  <c r="V14" i="2"/>
  <c r="V11" i="3"/>
  <c r="V15" i="2"/>
  <c r="V9" i="2"/>
  <c r="W10" i="6"/>
  <c r="W12" i="6" s="1"/>
  <c r="V2" i="3"/>
  <c r="V10" i="6" l="1"/>
  <c r="D12" i="7" s="1"/>
  <c r="V28" i="3"/>
  <c r="D11" i="7" s="1"/>
  <c r="D9" i="7"/>
  <c r="D10" i="7"/>
  <c r="D7" i="7"/>
  <c r="W2" i="3"/>
  <c r="W29" i="3" s="1"/>
  <c r="W31" i="3" s="1"/>
</calcChain>
</file>

<file path=xl/sharedStrings.xml><?xml version="1.0" encoding="utf-8"?>
<sst xmlns="http://schemas.openxmlformats.org/spreadsheetml/2006/main" count="744" uniqueCount="238">
  <si>
    <t>Packing</t>
  </si>
  <si>
    <t>3.25 in KS</t>
  </si>
  <si>
    <t>TUFF 30</t>
  </si>
  <si>
    <t>m</t>
  </si>
  <si>
    <t>2 in KS</t>
  </si>
  <si>
    <t>COMFO PLUS</t>
  </si>
  <si>
    <t>CFP</t>
  </si>
  <si>
    <t>COMFO 80</t>
  </si>
  <si>
    <t>150/2 CFP</t>
  </si>
  <si>
    <t>AMIDE BOND 40</t>
  </si>
  <si>
    <t>Polyamide Inbonded</t>
  </si>
  <si>
    <t>AMIDE BOND 20</t>
  </si>
  <si>
    <t>COMFO PRIDE</t>
  </si>
  <si>
    <t>120/2 Cf Polyester premium fror embroidery</t>
  </si>
  <si>
    <t>ROXX SILVER</t>
  </si>
  <si>
    <t>SSP</t>
  </si>
  <si>
    <t>ROXX EURO</t>
  </si>
  <si>
    <t>ROXX DIAMOND</t>
  </si>
  <si>
    <t>Tube(20 tubes/box)</t>
  </si>
  <si>
    <t>ROXX SILKY</t>
  </si>
  <si>
    <t>COMPACT POLYESTER</t>
  </si>
  <si>
    <t>ROXX SILKY 120</t>
  </si>
  <si>
    <t>PPC(PREMIUM)</t>
  </si>
  <si>
    <t>COMFO TEX PLUS</t>
  </si>
  <si>
    <t>TEXTURED POLYESTER 300D/100TPM</t>
  </si>
  <si>
    <t>COMFO TEX 150</t>
  </si>
  <si>
    <t>TEXTURED POLYESTER 150D/100TPM</t>
  </si>
  <si>
    <t>COMFO TEX 80</t>
  </si>
  <si>
    <t>COMFO TEX</t>
  </si>
  <si>
    <t xml:space="preserve">TEXTURED POLYESTER 150D/2 </t>
  </si>
  <si>
    <t>Speed-mpm</t>
  </si>
  <si>
    <t>Theo cycle time-Minute</t>
  </si>
  <si>
    <t>Units/hour/spindle</t>
  </si>
  <si>
    <t>Efficiency</t>
  </si>
  <si>
    <t>Theo Units/20 hours/spindle</t>
  </si>
  <si>
    <t>Actual cycle time-minute</t>
  </si>
  <si>
    <t>SSP-200 gram</t>
  </si>
  <si>
    <t>Total capacity-actual</t>
  </si>
  <si>
    <t>TEXTURED POLYESTER 300D/100TPM-950 gram</t>
  </si>
  <si>
    <t>PPC</t>
  </si>
  <si>
    <t>PUNP</t>
  </si>
  <si>
    <t>Raw Mat</t>
  </si>
  <si>
    <t>Twisting</t>
  </si>
  <si>
    <t>Autoclave</t>
  </si>
  <si>
    <t>Soft Pkg</t>
  </si>
  <si>
    <t>Dyeing</t>
  </si>
  <si>
    <t>Stretching</t>
  </si>
  <si>
    <t xml:space="preserve">Winding </t>
  </si>
  <si>
    <t>Nylon6</t>
  </si>
  <si>
    <t>Stretching+lube</t>
  </si>
  <si>
    <t>For NW Autoclave &amp; no soft pkg, no dyeing,</t>
  </si>
  <si>
    <t>Nylon 66 bonded</t>
  </si>
  <si>
    <t>For NW Autoclave  no dyeing,</t>
  </si>
  <si>
    <t>Winding</t>
  </si>
  <si>
    <t>For NW Autoclave &amp; no soft pkg, no dyeing,Glazing</t>
  </si>
  <si>
    <t>Oiling+Winding</t>
  </si>
  <si>
    <t>For NW Mat Autoclave, no Soft Pkg &amp; no Dyeing</t>
  </si>
  <si>
    <t>Spun Polyester-dyed</t>
  </si>
  <si>
    <t>Poly Poly core spun</t>
  </si>
  <si>
    <t>Filament-Unbonded</t>
  </si>
  <si>
    <t>Single yarn</t>
  </si>
  <si>
    <t xml:space="preserve">Winding+Lube </t>
  </si>
  <si>
    <t>CFP-1 kg</t>
  </si>
  <si>
    <t>CFP-1kg</t>
  </si>
  <si>
    <t>No. of units/spindle</t>
  </si>
  <si>
    <t>No. of spindles</t>
  </si>
  <si>
    <t>ART</t>
  </si>
  <si>
    <t>PO</t>
  </si>
  <si>
    <t>PENDING PO</t>
  </si>
  <si>
    <t>TOTAL DAYS OF TAKE WINDING</t>
  </si>
  <si>
    <t>TOTAL CYCLE TIME NEEDED(MIN)</t>
  </si>
  <si>
    <t>Available cycle time</t>
  </si>
  <si>
    <t>Requd day</t>
  </si>
  <si>
    <t>Available minute</t>
  </si>
  <si>
    <t>Available time(minute)</t>
  </si>
  <si>
    <t>4 in KS  MF</t>
  </si>
  <si>
    <t>Theo Units/21 hours/spindle</t>
  </si>
  <si>
    <t>SR</t>
  </si>
  <si>
    <t>Make up</t>
  </si>
  <si>
    <t>4 in KS  BF</t>
  </si>
  <si>
    <t>6 in KS  BF</t>
  </si>
  <si>
    <t>Tube</t>
  </si>
  <si>
    <t>Section</t>
  </si>
  <si>
    <t>Make</t>
  </si>
  <si>
    <t>Existing Number</t>
  </si>
  <si>
    <t>Capacity</t>
  </si>
  <si>
    <t>U/M</t>
  </si>
  <si>
    <t>Additional</t>
  </si>
  <si>
    <t>Cycle time(minute)</t>
  </si>
  <si>
    <t xml:space="preserve">Product </t>
  </si>
  <si>
    <t>Units/hours</t>
  </si>
  <si>
    <t>Cop winding-CT</t>
  </si>
  <si>
    <t>Alidhra</t>
  </si>
  <si>
    <t>spindles</t>
  </si>
  <si>
    <t>Cop winding-TFO</t>
  </si>
  <si>
    <t>Compound twisting</t>
  </si>
  <si>
    <t>Machines</t>
  </si>
  <si>
    <t>Take-up Spindles per machines</t>
  </si>
  <si>
    <t>Total spindles</t>
  </si>
  <si>
    <t>TFO-2 PLY</t>
  </si>
  <si>
    <t>Aakash Engineering</t>
  </si>
  <si>
    <t>machine</t>
  </si>
  <si>
    <t>Filament soft package winder</t>
  </si>
  <si>
    <t>JOVIAN</t>
  </si>
  <si>
    <t>Positions</t>
  </si>
  <si>
    <t>Spun soft package winder</t>
  </si>
  <si>
    <t>PEASS</t>
  </si>
  <si>
    <t>Dyeing laboratory</t>
  </si>
  <si>
    <t>package dyeing-200gram</t>
  </si>
  <si>
    <t>600 gram</t>
  </si>
  <si>
    <t>1 package</t>
  </si>
  <si>
    <t>2 packages</t>
  </si>
  <si>
    <t>Dyeing Production</t>
  </si>
  <si>
    <t>package dyeing-5 p</t>
  </si>
  <si>
    <t>Fongs</t>
  </si>
  <si>
    <t>15 p</t>
  </si>
  <si>
    <t>Weavetex</t>
  </si>
  <si>
    <t>20 p</t>
  </si>
  <si>
    <t>30p</t>
  </si>
  <si>
    <t>48p</t>
  </si>
  <si>
    <t>Hydro</t>
  </si>
  <si>
    <t>Unbranded</t>
  </si>
  <si>
    <t>Machine</t>
  </si>
  <si>
    <t>RF Dryer</t>
  </si>
  <si>
    <t>Monga Strayfield</t>
  </si>
  <si>
    <t>Heat -Stretching- 100 mm godget</t>
  </si>
  <si>
    <t>Kim Textile</t>
  </si>
  <si>
    <t>kg/day</t>
  </si>
  <si>
    <t>Heat -Stretching- 130 mm godget</t>
  </si>
  <si>
    <t>Spun Cone winding</t>
  </si>
  <si>
    <t>Chang-li</t>
  </si>
  <si>
    <t>Spindles</t>
  </si>
  <si>
    <t>Cones/day</t>
  </si>
  <si>
    <t>ROXX GOLD</t>
  </si>
  <si>
    <t>Spun Tube winding</t>
  </si>
  <si>
    <t>Tubes/day</t>
  </si>
  <si>
    <t>ROXX POLY 800M</t>
  </si>
  <si>
    <t>ROXX POLY 180M</t>
  </si>
  <si>
    <t>ROXX-135M</t>
  </si>
  <si>
    <t>Y-cone winding- 6 inch</t>
  </si>
  <si>
    <t>Spindles(1 U/spindle)</t>
  </si>
  <si>
    <t>Y-cone winding- 4 inch BF</t>
  </si>
  <si>
    <t>Spindles(2 U/spindle)</t>
  </si>
  <si>
    <t>Y-cone winding- 4 inch MF</t>
  </si>
  <si>
    <t xml:space="preserve">Y-cone winding- 3.25 inch </t>
  </si>
  <si>
    <t xml:space="preserve">Y-cone winding- 2 inch </t>
  </si>
  <si>
    <t>UTM</t>
  </si>
  <si>
    <t>Spindles(3 U/spindle)</t>
  </si>
  <si>
    <t>Reshmi</t>
  </si>
  <si>
    <t>OVERALL LEAD TIME PENDING ORDER CAPACITY</t>
  </si>
  <si>
    <t>1280D</t>
  </si>
  <si>
    <t>210*2 PLY CFP-580 gr</t>
  </si>
  <si>
    <t>210*3 PLY CFP 8gpd</t>
  </si>
  <si>
    <t>420*3 ply CFP(8gpd)</t>
  </si>
  <si>
    <t>210*3 PLY CFP 7.5gpd</t>
  </si>
  <si>
    <t>420*3 PLY CFP 7.5gpd</t>
  </si>
  <si>
    <t>840*3 PLY CFP 8gpd</t>
  </si>
  <si>
    <t>500*3 PLY CFP 7.5gpd</t>
  </si>
  <si>
    <t>210*3 PLY CFP-8 gpd</t>
  </si>
  <si>
    <t>420*3 PLY CFP BOND</t>
  </si>
  <si>
    <t>420*3 PLY CFP BONDED</t>
  </si>
  <si>
    <t>150*2 PLY CFP-8 gpd-950gr</t>
  </si>
  <si>
    <t>210*2 PLY CFP-8 gpd-950 gr</t>
  </si>
  <si>
    <t>REMARKS</t>
  </si>
  <si>
    <t>Cycle time-Filaments</t>
  </si>
  <si>
    <t>Cycle time TUBE)</t>
  </si>
  <si>
    <t>Cycle time SSP-TXP-PPC</t>
  </si>
  <si>
    <t>TOTAL PO</t>
  </si>
  <si>
    <t xml:space="preserve">AS PER SHEET </t>
  </si>
  <si>
    <r>
      <rPr>
        <b/>
        <sz val="12"/>
        <rFont val="Calibri"/>
        <family val="2"/>
      </rPr>
      <t>Make up</t>
    </r>
  </si>
  <si>
    <t>COMFO 20(for denim)</t>
  </si>
  <si>
    <t>COMFO 20</t>
  </si>
  <si>
    <t>COMFO 40</t>
  </si>
  <si>
    <t>COMFO 8</t>
  </si>
  <si>
    <t>TUFF 20</t>
  </si>
  <si>
    <t>CFP 8gpd</t>
  </si>
  <si>
    <t>CFN-6</t>
  </si>
  <si>
    <t>Brand Name</t>
  </si>
  <si>
    <t>Tkt</t>
  </si>
  <si>
    <t>Tex size</t>
  </si>
  <si>
    <t>Ply</t>
  </si>
  <si>
    <r>
      <rPr>
        <b/>
        <sz val="9"/>
        <rFont val="Calibri"/>
        <family val="2"/>
      </rPr>
      <t>FG
code</t>
    </r>
  </si>
  <si>
    <t>Subs</t>
  </si>
  <si>
    <t>Length/ Wt. per unit</t>
  </si>
  <si>
    <t>Actual units/21 hours/spindle</t>
  </si>
  <si>
    <t>4 in V-Cone</t>
  </si>
  <si>
    <t>Total capacity-actual boxes</t>
  </si>
  <si>
    <r>
      <rPr>
        <sz val="8"/>
        <rFont val="Calibri"/>
        <family val="1"/>
      </rPr>
      <t>ROXX GOLD</t>
    </r>
  </si>
  <si>
    <r>
      <rPr>
        <sz val="8"/>
        <rFont val="Calibri"/>
        <family val="1"/>
      </rPr>
      <t>SSP</t>
    </r>
  </si>
  <si>
    <r>
      <rPr>
        <sz val="10"/>
        <rFont val="Calibri"/>
        <family val="1"/>
      </rPr>
      <t>m</t>
    </r>
  </si>
  <si>
    <r>
      <rPr>
        <sz val="8"/>
        <rFont val="Calibri"/>
        <family val="1"/>
      </rPr>
      <t>4 in Cone</t>
    </r>
  </si>
  <si>
    <r>
      <rPr>
        <sz val="8"/>
        <rFont val="Calibri"/>
        <family val="1"/>
      </rPr>
      <t>ROXX STAR</t>
    </r>
  </si>
  <si>
    <r>
      <rPr>
        <sz val="8"/>
        <rFont val="Calibri"/>
        <family val="1"/>
      </rPr>
      <t>ROXX 20</t>
    </r>
  </si>
  <si>
    <r>
      <rPr>
        <sz val="9"/>
        <rFont val="Calibri"/>
        <family val="1"/>
      </rPr>
      <t>SSP</t>
    </r>
  </si>
  <si>
    <r>
      <rPr>
        <sz val="8"/>
        <rFont val="Calibri"/>
        <family val="1"/>
      </rPr>
      <t>ROXX 30</t>
    </r>
  </si>
  <si>
    <r>
      <rPr>
        <sz val="8"/>
        <rFont val="Calibri"/>
        <family val="1"/>
      </rPr>
      <t>ROXX 50</t>
    </r>
  </si>
  <si>
    <r>
      <rPr>
        <sz val="8"/>
        <rFont val="Calibri"/>
        <family val="1"/>
      </rPr>
      <t>ROXX CORE POLY</t>
    </r>
  </si>
  <si>
    <r>
      <rPr>
        <sz val="8"/>
        <rFont val="Calibri"/>
        <family val="1"/>
      </rPr>
      <t>PPC</t>
    </r>
  </si>
  <si>
    <r>
      <rPr>
        <sz val="8"/>
        <rFont val="Calibri"/>
        <family val="1"/>
      </rPr>
      <t>TUFF PREMIUM</t>
    </r>
  </si>
  <si>
    <r>
      <rPr>
        <sz val="8"/>
        <rFont val="Calibri"/>
        <family val="1"/>
      </rPr>
      <t>CFN-6</t>
    </r>
  </si>
  <si>
    <r>
      <rPr>
        <sz val="8"/>
        <rFont val="Calibri"/>
        <family val="1"/>
      </rPr>
      <t>2 in KS</t>
    </r>
  </si>
  <si>
    <r>
      <rPr>
        <sz val="8"/>
        <rFont val="Calibri"/>
        <family val="1"/>
      </rPr>
      <t>TUFF CLASSIC</t>
    </r>
  </si>
  <si>
    <r>
      <rPr>
        <sz val="8"/>
        <rFont val="Calibri"/>
        <family val="1"/>
      </rPr>
      <t>3.25 in KS</t>
    </r>
  </si>
  <si>
    <r>
      <rPr>
        <sz val="8"/>
        <rFont val="Calibri"/>
        <family val="1"/>
      </rPr>
      <t>TUFF STAR</t>
    </r>
  </si>
  <si>
    <r>
      <rPr>
        <sz val="8"/>
        <rFont val="Calibri"/>
        <family val="1"/>
      </rPr>
      <t>TUFF  60</t>
    </r>
  </si>
  <si>
    <r>
      <rPr>
        <sz val="8"/>
        <rFont val="Calibri"/>
        <family val="1"/>
      </rPr>
      <t>TUFF PREMIUM 60</t>
    </r>
  </si>
  <si>
    <r>
      <rPr>
        <sz val="8"/>
        <rFont val="Calibri"/>
        <family val="1"/>
      </rPr>
      <t>TUFF 20</t>
    </r>
  </si>
  <si>
    <r>
      <rPr>
        <sz val="8"/>
        <rFont val="Calibri"/>
        <family val="1"/>
      </rPr>
      <t>4 in KS  MF</t>
    </r>
  </si>
  <si>
    <r>
      <rPr>
        <sz val="8"/>
        <rFont val="Calibri"/>
        <family val="1"/>
      </rPr>
      <t>TUFF 10</t>
    </r>
  </si>
  <si>
    <r>
      <rPr>
        <sz val="8"/>
        <rFont val="Calibri"/>
        <family val="1"/>
      </rPr>
      <t>COMFO PLUS 60</t>
    </r>
  </si>
  <si>
    <r>
      <rPr>
        <sz val="8"/>
        <rFont val="Calibri"/>
        <family val="1"/>
      </rPr>
      <t>CFP</t>
    </r>
  </si>
  <si>
    <r>
      <rPr>
        <sz val="8"/>
        <rFont val="Calibri"/>
        <family val="1"/>
      </rPr>
      <t>4 in KS  BF</t>
    </r>
  </si>
  <si>
    <r>
      <rPr>
        <sz val="8"/>
        <rFont val="Calibri"/>
        <family val="1"/>
      </rPr>
      <t>6 in KS  BF</t>
    </r>
  </si>
  <si>
    <r>
      <rPr>
        <sz val="8"/>
        <rFont val="Calibri"/>
        <family val="1"/>
      </rPr>
      <t>COMFO 60</t>
    </r>
  </si>
  <si>
    <r>
      <rPr>
        <sz val="8"/>
        <rFont val="Calibri"/>
        <family val="1"/>
      </rPr>
      <t>COMFO STAR</t>
    </r>
  </si>
  <si>
    <r>
      <rPr>
        <sz val="8"/>
        <rFont val="Calibri"/>
        <family val="1"/>
      </rPr>
      <t>COMFO COOL</t>
    </r>
  </si>
  <si>
    <r>
      <rPr>
        <sz val="8"/>
        <rFont val="Calibri"/>
        <family val="1"/>
      </rPr>
      <t>COMFO PREMIUM</t>
    </r>
  </si>
  <si>
    <r>
      <rPr>
        <sz val="8"/>
        <rFont val="Calibri"/>
        <family val="1"/>
      </rPr>
      <t>COMFO PLUS</t>
    </r>
  </si>
  <si>
    <t>COMFO 30</t>
  </si>
  <si>
    <r>
      <rPr>
        <sz val="8"/>
        <rFont val="Calibri"/>
        <family val="1"/>
      </rPr>
      <t>COMFO PLUS 20</t>
    </r>
  </si>
  <si>
    <r>
      <rPr>
        <sz val="8"/>
        <rFont val="Calibri"/>
        <family val="1"/>
      </rPr>
      <t>COMFO 20</t>
    </r>
  </si>
  <si>
    <r>
      <rPr>
        <sz val="8"/>
        <rFont val="Calibri"/>
        <family val="1"/>
      </rPr>
      <t>TUFF BOND</t>
    </r>
  </si>
  <si>
    <r>
      <rPr>
        <sz val="8"/>
        <rFont val="Calibri"/>
        <family val="1"/>
      </rPr>
      <t>N-66 IB</t>
    </r>
  </si>
  <si>
    <r>
      <rPr>
        <sz val="8"/>
        <rFont val="Calibri"/>
        <family val="1"/>
      </rPr>
      <t>COMFO BOND</t>
    </r>
  </si>
  <si>
    <r>
      <rPr>
        <sz val="8"/>
        <rFont val="Calibri"/>
        <family val="1"/>
      </rPr>
      <t>CFP-IB</t>
    </r>
  </si>
  <si>
    <t>Tuff 60</t>
  </si>
  <si>
    <r>
      <rPr>
        <sz val="8"/>
        <rFont val="Calibri"/>
        <family val="2"/>
      </rPr>
      <t>ROXX POLY</t>
    </r>
  </si>
  <si>
    <r>
      <rPr>
        <sz val="8"/>
        <rFont val="Calibri"/>
        <family val="2"/>
      </rPr>
      <t>SSP</t>
    </r>
  </si>
  <si>
    <r>
      <rPr>
        <sz val="10"/>
        <rFont val="Calibri"/>
        <family val="2"/>
      </rPr>
      <t>m</t>
    </r>
  </si>
  <si>
    <r>
      <rPr>
        <sz val="8"/>
        <rFont val="Calibri"/>
        <family val="2"/>
      </rPr>
      <t>Tube(10 tube/box)</t>
    </r>
  </si>
  <si>
    <r>
      <rPr>
        <sz val="8"/>
        <rFont val="Calibri"/>
        <family val="2"/>
      </rPr>
      <t>Tube(20 tubes/box)</t>
    </r>
  </si>
  <si>
    <t>ROXX POLY 120</t>
  </si>
  <si>
    <t>Tube(10 tubes/box)</t>
  </si>
  <si>
    <r>
      <rPr>
        <sz val="8"/>
        <rFont val="Calibri"/>
        <family val="1"/>
      </rPr>
      <t>ROXX GOLD</t>
    </r>
    <r>
      <rPr>
        <sz val="8"/>
        <rFont val="Calibri"/>
        <family val="2"/>
      </rPr>
      <t>(KIRAN)</t>
    </r>
  </si>
  <si>
    <r>
      <rPr>
        <sz val="8"/>
        <rFont val="Calibri"/>
        <family val="1"/>
      </rPr>
      <t>ROXX GOLD</t>
    </r>
    <r>
      <rPr>
        <sz val="8"/>
        <rFont val="Calibri"/>
        <family val="2"/>
      </rPr>
      <t>(ZIGMA)</t>
    </r>
  </si>
  <si>
    <t>COMFO 60 SUPER</t>
  </si>
  <si>
    <t>210*2 PLY CFP-7.5 GPD-1 kG</t>
  </si>
  <si>
    <t>COMFO BOND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</si>
</sst>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"/>
  </numFmts>
  <fonts count="30">
    <font>
      <sz val="11"/>
      <name val="Calibri"/>
    </font>
    <font>
      <sz val="11"/>
      <color rgb="FF000000"/>
      <name val="Calibri"/>
      <family val="2"/>
    </font>
    <font>
      <sz val="9"/>
      <name val="Calibri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sz val="8"/>
      <name val="Calibri"/>
      <family val="2"/>
    </font>
    <font>
      <sz val="10"/>
      <name val="Calibri"/>
      <family val="2"/>
    </font>
    <font>
      <sz val="7"/>
      <name val="Calibri"/>
      <family val="2"/>
    </font>
    <font>
      <sz val="10"/>
      <color rgb="FF000000"/>
      <name val="Times New Roman"/>
      <family val="1"/>
    </font>
    <font>
      <sz val="8"/>
      <name val="Calibri"/>
      <family val="2"/>
    </font>
    <font>
      <sz val="12"/>
      <color rgb="FF000000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9"/>
      <name val="Calibri"/>
      <family val="2"/>
    </font>
    <font>
      <b/>
      <sz val="11"/>
      <color rgb="FF000000"/>
      <name val="Calibri"/>
      <family val="2"/>
    </font>
    <font>
      <sz val="12"/>
      <name val="Calibri"/>
      <family val="2"/>
    </font>
    <font>
      <sz val="9"/>
      <color rgb="FF000000"/>
      <name val="Calibri"/>
      <family val="2"/>
    </font>
    <font>
      <sz val="9"/>
      <name val="Calibri"/>
      <family val="2"/>
    </font>
    <font>
      <sz val="9"/>
      <color theme="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b/>
      <sz val="9"/>
      <name val="Times New Roman"/>
      <family val="1"/>
    </font>
    <font>
      <sz val="10"/>
      <color rgb="FF000000"/>
      <name val="Calibri"/>
      <family val="2"/>
    </font>
    <font>
      <sz val="8"/>
      <name val="Calibri"/>
      <family val="1"/>
    </font>
    <font>
      <sz val="10"/>
      <name val="Calibri"/>
      <family val="1"/>
    </font>
    <font>
      <sz val="10"/>
      <color rgb="FF000000"/>
      <name val="Times New Roman"/>
      <family val="2"/>
    </font>
    <font>
      <sz val="9"/>
      <name val="Calibri"/>
      <family val="1"/>
    </font>
  </fonts>
  <fills count="9">
    <fill>
      <patternFill patternType="none"/>
    </fill>
    <fill>
      <patternFill patternType="gray125"/>
    </fill>
    <fill>
      <patternFill patternType="solid">
        <fgColor rgb="FFE6B8B7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protection locked="0"/>
    </xf>
    <xf numFmtId="0" fontId="12" fillId="0" borderId="0">
      <protection locked="0"/>
    </xf>
    <xf numFmtId="0" fontId="20" fillId="0" borderId="0"/>
    <xf numFmtId="0" fontId="1" fillId="0" borderId="0">
      <protection locked="0"/>
    </xf>
  </cellStyleXfs>
  <cellXfs count="147">
    <xf numFmtId="0" fontId="0" fillId="0" borderId="0" xfId="0">
      <alignment vertical="center"/>
    </xf>
    <xf numFmtId="0" fontId="1" fillId="0" borderId="0" xfId="1" applyFill="1" applyBorder="1" applyAlignment="1" applyProtection="1">
      <alignment horizontal="center" vertical="center"/>
    </xf>
    <xf numFmtId="2" fontId="1" fillId="0" borderId="0" xfId="1" applyNumberFormat="1" applyFill="1" applyBorder="1" applyAlignment="1" applyProtection="1">
      <alignment horizontal="center" vertical="center"/>
    </xf>
    <xf numFmtId="9" fontId="1" fillId="0" borderId="0" xfId="1" applyNumberFormat="1" applyFill="1" applyBorder="1" applyAlignment="1" applyProtection="1">
      <alignment horizontal="center" vertical="center"/>
    </xf>
    <xf numFmtId="0" fontId="3" fillId="0" borderId="0" xfId="1" applyFont="1" applyFill="1" applyBorder="1" applyAlignment="1" applyProtection="1">
      <alignment horizontal="left" vertical="center"/>
    </xf>
    <xf numFmtId="0" fontId="1" fillId="0" borderId="0" xfId="1" applyFill="1" applyBorder="1" applyAlignment="1" applyProtection="1">
      <alignment horizontal="left" vertical="center"/>
    </xf>
    <xf numFmtId="0" fontId="10" fillId="0" borderId="0" xfId="2" applyFont="1" applyAlignment="1" applyProtection="1">
      <alignment horizontal="left"/>
    </xf>
    <xf numFmtId="0" fontId="10" fillId="0" borderId="0" xfId="2" applyFont="1" applyAlignment="1" applyProtection="1">
      <alignment horizontal="left" vertical="center" wrapText="1"/>
    </xf>
    <xf numFmtId="0" fontId="11" fillId="0" borderId="2" xfId="2" applyFont="1" applyBorder="1" applyAlignment="1" applyProtection="1">
      <alignment horizontal="left" vertical="center" wrapText="1"/>
    </xf>
    <xf numFmtId="0" fontId="10" fillId="0" borderId="0" xfId="2" applyFont="1" applyAlignment="1" applyProtection="1">
      <alignment horizontal="left" vertical="center"/>
    </xf>
    <xf numFmtId="0" fontId="11" fillId="0" borderId="1" xfId="2" applyFont="1" applyBorder="1" applyAlignment="1" applyProtection="1">
      <alignment horizontal="left" vertical="center"/>
    </xf>
    <xf numFmtId="0" fontId="10" fillId="0" borderId="1" xfId="2" applyFont="1" applyBorder="1" applyAlignment="1" applyProtection="1">
      <alignment horizontal="left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5" fillId="0" borderId="1" xfId="0" applyFont="1" applyBorder="1" applyAlignment="1">
      <alignment horizontal="center"/>
    </xf>
    <xf numFmtId="0" fontId="16" fillId="3" borderId="1" xfId="0" applyFont="1" applyFill="1" applyBorder="1" applyAlignment="1">
      <alignment horizontal="center" vertical="center"/>
    </xf>
    <xf numFmtId="0" fontId="16" fillId="3" borderId="1" xfId="1" applyFont="1" applyFill="1" applyBorder="1" applyAlignment="1" applyProtection="1">
      <alignment horizontal="left" vertical="center" wrapText="1"/>
    </xf>
    <xf numFmtId="2" fontId="16" fillId="3" borderId="1" xfId="0" applyNumberFormat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4" borderId="1" xfId="1" applyFont="1" applyFill="1" applyBorder="1" applyAlignment="1" applyProtection="1">
      <alignment horizontal="left" vertical="center" wrapText="1"/>
    </xf>
    <xf numFmtId="2" fontId="16" fillId="4" borderId="1" xfId="0" applyNumberFormat="1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5" borderId="1" xfId="1" applyFont="1" applyFill="1" applyBorder="1" applyAlignment="1" applyProtection="1">
      <alignment horizontal="left" vertical="center" wrapText="1"/>
    </xf>
    <xf numFmtId="2" fontId="16" fillId="5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4" fillId="6" borderId="1" xfId="1" applyFont="1" applyFill="1" applyBorder="1" applyAlignment="1" applyProtection="1">
      <alignment horizontal="center" vertical="center" wrapText="1"/>
    </xf>
    <xf numFmtId="0" fontId="15" fillId="6" borderId="1" xfId="1" applyFont="1" applyFill="1" applyBorder="1" applyAlignment="1" applyProtection="1">
      <alignment horizontal="center" vertical="center" wrapText="1"/>
    </xf>
    <xf numFmtId="0" fontId="20" fillId="0" borderId="0" xfId="3"/>
    <xf numFmtId="0" fontId="20" fillId="0" borderId="1" xfId="3" applyBorder="1"/>
    <xf numFmtId="0" fontId="20" fillId="0" borderId="1" xfId="3" applyBorder="1" applyAlignment="1">
      <alignment horizontal="left"/>
    </xf>
    <xf numFmtId="0" fontId="13" fillId="0" borderId="1" xfId="3" applyFont="1" applyBorder="1"/>
    <xf numFmtId="0" fontId="22" fillId="0" borderId="1" xfId="3" applyFont="1" applyBorder="1" applyAlignment="1">
      <alignment horizontal="right"/>
    </xf>
    <xf numFmtId="0" fontId="22" fillId="0" borderId="1" xfId="3" applyFont="1" applyBorder="1"/>
    <xf numFmtId="0" fontId="20" fillId="0" borderId="0" xfId="3" applyAlignment="1">
      <alignment horizontal="left"/>
    </xf>
    <xf numFmtId="0" fontId="13" fillId="0" borderId="1" xfId="3" applyFont="1" applyBorder="1" applyAlignment="1">
      <alignment horizontal="left"/>
    </xf>
    <xf numFmtId="1" fontId="4" fillId="0" borderId="0" xfId="1" applyNumberFormat="1" applyFont="1" applyFill="1" applyBorder="1" applyAlignment="1" applyProtection="1">
      <alignment horizontal="center" vertical="center" shrinkToFit="1"/>
    </xf>
    <xf numFmtId="0" fontId="5" fillId="0" borderId="0" xfId="1" applyFont="1" applyFill="1" applyBorder="1" applyAlignment="1" applyProtection="1">
      <alignment horizontal="left" vertical="center" wrapText="1"/>
    </xf>
    <xf numFmtId="0" fontId="9" fillId="0" borderId="0" xfId="1" applyFont="1" applyFill="1" applyBorder="1" applyAlignment="1" applyProtection="1">
      <alignment horizontal="left" vertical="center" wrapText="1"/>
    </xf>
    <xf numFmtId="1" fontId="4" fillId="0" borderId="0" xfId="1" applyNumberFormat="1" applyFont="1" applyFill="1" applyBorder="1" applyAlignment="1" applyProtection="1">
      <alignment horizontal="left" vertical="center" shrinkToFit="1"/>
    </xf>
    <xf numFmtId="2" fontId="6" fillId="0" borderId="0" xfId="1" applyNumberFormat="1" applyFont="1" applyFill="1" applyBorder="1" applyAlignment="1" applyProtection="1">
      <alignment horizontal="left" vertical="center" wrapText="1"/>
    </xf>
    <xf numFmtId="0" fontId="6" fillId="0" borderId="0" xfId="1" applyFont="1" applyFill="1" applyBorder="1" applyAlignment="1" applyProtection="1">
      <alignment horizontal="left" vertical="center" wrapText="1"/>
    </xf>
    <xf numFmtId="2" fontId="22" fillId="0" borderId="0" xfId="1" applyNumberFormat="1" applyFont="1" applyFill="1" applyBorder="1" applyAlignment="1" applyProtection="1">
      <alignment horizontal="left" vertical="center" wrapText="1"/>
    </xf>
    <xf numFmtId="1" fontId="8" fillId="0" borderId="0" xfId="1" applyNumberFormat="1" applyFont="1" applyFill="1" applyBorder="1" applyAlignment="1" applyProtection="1">
      <alignment horizontal="left" vertical="center" shrinkToFit="1"/>
    </xf>
    <xf numFmtId="0" fontId="13" fillId="0" borderId="0" xfId="0" applyFont="1" applyAlignment="1">
      <alignment vertical="center"/>
    </xf>
    <xf numFmtId="1" fontId="4" fillId="0" borderId="0" xfId="1" applyNumberFormat="1" applyFont="1" applyFill="1" applyBorder="1" applyAlignment="1" applyProtection="1">
      <alignment horizontal="left" vertical="center" wrapText="1" shrinkToFit="1"/>
    </xf>
    <xf numFmtId="0" fontId="7" fillId="0" borderId="0" xfId="1" applyFont="1" applyFill="1" applyBorder="1" applyAlignment="1" applyProtection="1">
      <alignment horizontal="left" vertical="center" wrapText="1"/>
    </xf>
    <xf numFmtId="0" fontId="23" fillId="0" borderId="0" xfId="1" applyFont="1" applyFill="1" applyBorder="1" applyAlignment="1" applyProtection="1">
      <alignment horizontal="center" vertical="center"/>
    </xf>
    <xf numFmtId="0" fontId="15" fillId="0" borderId="0" xfId="1" applyFont="1" applyFill="1" applyBorder="1" applyAlignment="1" applyProtection="1">
      <alignment horizontal="center" vertical="center"/>
    </xf>
    <xf numFmtId="0" fontId="23" fillId="0" borderId="1" xfId="0" applyFont="1" applyBorder="1" applyAlignment="1">
      <alignment horizontal="center"/>
    </xf>
    <xf numFmtId="0" fontId="18" fillId="5" borderId="1" xfId="1" applyFont="1" applyFill="1" applyBorder="1" applyAlignment="1" applyProtection="1">
      <alignment horizontal="left" vertical="center" wrapText="1"/>
    </xf>
    <xf numFmtId="1" fontId="17" fillId="5" borderId="1" xfId="1" applyNumberFormat="1" applyFont="1" applyFill="1" applyBorder="1" applyAlignment="1" applyProtection="1">
      <alignment horizontal="left" vertical="center" shrinkToFit="1"/>
    </xf>
    <xf numFmtId="1" fontId="17" fillId="4" borderId="1" xfId="1" applyNumberFormat="1" applyFont="1" applyFill="1" applyBorder="1" applyAlignment="1" applyProtection="1">
      <alignment horizontal="left" vertical="center" shrinkToFit="1"/>
    </xf>
    <xf numFmtId="0" fontId="2" fillId="4" borderId="1" xfId="0" applyNumberFormat="1" applyFont="1" applyFill="1" applyBorder="1" applyAlignment="1"/>
    <xf numFmtId="0" fontId="18" fillId="4" borderId="1" xfId="1" applyFont="1" applyFill="1" applyBorder="1" applyAlignment="1" applyProtection="1">
      <alignment horizontal="left" vertical="center" wrapText="1"/>
    </xf>
    <xf numFmtId="1" fontId="17" fillId="3" borderId="1" xfId="1" applyNumberFormat="1" applyFont="1" applyFill="1" applyBorder="1" applyAlignment="1" applyProtection="1">
      <alignment horizontal="left" vertical="center" shrinkToFit="1"/>
    </xf>
    <xf numFmtId="0" fontId="19" fillId="3" borderId="1" xfId="0" applyFont="1" applyFill="1" applyBorder="1" applyAlignment="1">
      <alignment horizontal="left"/>
    </xf>
    <xf numFmtId="0" fontId="0" fillId="3" borderId="1" xfId="0" applyFill="1" applyBorder="1">
      <alignment vertical="center"/>
    </xf>
    <xf numFmtId="0" fontId="18" fillId="3" borderId="1" xfId="1" applyFont="1" applyFill="1" applyBorder="1" applyAlignment="1" applyProtection="1">
      <alignment horizontal="left" vertical="center" wrapText="1"/>
    </xf>
    <xf numFmtId="0" fontId="0" fillId="4" borderId="1" xfId="0" applyFill="1" applyBorder="1">
      <alignment vertical="center"/>
    </xf>
    <xf numFmtId="0" fontId="20" fillId="4" borderId="1" xfId="0" applyFont="1" applyFill="1" applyBorder="1">
      <alignment vertical="center"/>
    </xf>
    <xf numFmtId="0" fontId="0" fillId="5" borderId="1" xfId="0" applyFill="1" applyBorder="1">
      <alignment vertical="center"/>
    </xf>
    <xf numFmtId="0" fontId="20" fillId="5" borderId="1" xfId="0" applyFont="1" applyFill="1" applyBorder="1">
      <alignment vertical="center"/>
    </xf>
    <xf numFmtId="0" fontId="14" fillId="2" borderId="1" xfId="1" applyFont="1" applyFill="1" applyBorder="1" applyAlignment="1" applyProtection="1">
      <alignment horizontal="center" vertical="center" wrapText="1"/>
    </xf>
    <xf numFmtId="0" fontId="14" fillId="2" borderId="1" xfId="1" applyFont="1" applyFill="1" applyBorder="1" applyAlignment="1" applyProtection="1">
      <alignment horizontal="left" vertical="center" wrapText="1"/>
    </xf>
    <xf numFmtId="0" fontId="15" fillId="2" borderId="1" xfId="1" applyFont="1" applyFill="1" applyBorder="1" applyAlignment="1" applyProtection="1">
      <alignment horizontal="left" vertical="center" wrapText="1"/>
    </xf>
    <xf numFmtId="0" fontId="24" fillId="2" borderId="1" xfId="1" applyFont="1" applyFill="1" applyBorder="1" applyAlignment="1" applyProtection="1">
      <alignment horizontal="left" vertical="center" wrapText="1"/>
    </xf>
    <xf numFmtId="0" fontId="15" fillId="0" borderId="1" xfId="1" applyFont="1" applyFill="1" applyBorder="1" applyAlignment="1" applyProtection="1">
      <alignment horizontal="center" vertical="center"/>
    </xf>
    <xf numFmtId="0" fontId="15" fillId="0" borderId="1" xfId="1" applyFont="1" applyFill="1" applyBorder="1" applyAlignment="1" applyProtection="1">
      <alignment horizontal="center" vertical="center" wrapText="1"/>
    </xf>
    <xf numFmtId="0" fontId="15" fillId="0" borderId="0" xfId="1" applyFont="1" applyFill="1" applyBorder="1" applyAlignment="1" applyProtection="1">
      <alignment horizontal="center" vertical="center" wrapText="1"/>
    </xf>
    <xf numFmtId="0" fontId="1" fillId="0" borderId="1" xfId="1" applyFont="1" applyFill="1" applyBorder="1" applyAlignment="1" applyProtection="1">
      <alignment horizontal="center" vertical="center"/>
    </xf>
    <xf numFmtId="0" fontId="1" fillId="0" borderId="0" xfId="1" applyFont="1" applyFill="1" applyBorder="1" applyAlignment="1" applyProtection="1">
      <alignment horizontal="center" vertical="center"/>
    </xf>
    <xf numFmtId="2" fontId="1" fillId="0" borderId="1" xfId="1" applyNumberFormat="1" applyFont="1" applyFill="1" applyBorder="1" applyAlignment="1" applyProtection="1">
      <alignment horizontal="center" vertical="center"/>
    </xf>
    <xf numFmtId="0" fontId="25" fillId="0" borderId="0" xfId="1" applyFont="1" applyFill="1" applyBorder="1" applyAlignment="1" applyProtection="1">
      <alignment horizontal="center" vertical="center"/>
    </xf>
    <xf numFmtId="2" fontId="25" fillId="0" borderId="0" xfId="1" applyNumberFormat="1" applyFont="1" applyFill="1" applyBorder="1" applyAlignment="1" applyProtection="1">
      <alignment horizontal="center" vertical="center"/>
    </xf>
    <xf numFmtId="1" fontId="1" fillId="0" borderId="1" xfId="1" applyNumberFormat="1" applyFont="1" applyFill="1" applyBorder="1" applyAlignment="1" applyProtection="1">
      <alignment horizontal="center" vertical="center"/>
    </xf>
    <xf numFmtId="1" fontId="25" fillId="0" borderId="0" xfId="1" applyNumberFormat="1" applyFont="1" applyFill="1" applyBorder="1" applyAlignment="1" applyProtection="1">
      <alignment horizontal="center" vertical="center"/>
    </xf>
    <xf numFmtId="0" fontId="20" fillId="0" borderId="1" xfId="3" applyFont="1" applyBorder="1" applyAlignment="1">
      <alignment horizontal="right"/>
    </xf>
    <xf numFmtId="0" fontId="20" fillId="0" borderId="1" xfId="3" applyBorder="1" applyAlignment="1">
      <alignment vertical="center"/>
    </xf>
    <xf numFmtId="0" fontId="20" fillId="0" borderId="1" xfId="3" applyBorder="1" applyAlignment="1">
      <alignment vertical="center" wrapText="1"/>
    </xf>
    <xf numFmtId="0" fontId="21" fillId="0" borderId="1" xfId="3" applyFont="1" applyBorder="1" applyAlignment="1">
      <alignment vertical="center"/>
    </xf>
    <xf numFmtId="0" fontId="21" fillId="0" borderId="1" xfId="3" applyFont="1" applyBorder="1" applyAlignment="1">
      <alignment vertical="center" wrapText="1"/>
    </xf>
    <xf numFmtId="0" fontId="21" fillId="7" borderId="1" xfId="0" applyFont="1" applyFill="1" applyBorder="1">
      <alignment vertical="center"/>
    </xf>
    <xf numFmtId="0" fontId="21" fillId="7" borderId="1" xfId="0" applyNumberFormat="1" applyFont="1" applyFill="1" applyBorder="1" applyAlignment="1"/>
    <xf numFmtId="0" fontId="21" fillId="0" borderId="1" xfId="0" applyFont="1" applyBorder="1">
      <alignment vertical="center"/>
    </xf>
    <xf numFmtId="0" fontId="21" fillId="0" borderId="0" xfId="0" applyFont="1">
      <alignment vertical="center"/>
    </xf>
    <xf numFmtId="0" fontId="21" fillId="8" borderId="1" xfId="0" applyFont="1" applyFill="1" applyBorder="1">
      <alignment vertical="center"/>
    </xf>
    <xf numFmtId="0" fontId="21" fillId="8" borderId="1" xfId="0" applyNumberFormat="1" applyFont="1" applyFill="1" applyBorder="1" applyAlignment="1"/>
    <xf numFmtId="1" fontId="4" fillId="0" borderId="1" xfId="0" applyNumberFormat="1" applyFont="1" applyFill="1" applyBorder="1" applyAlignment="1">
      <alignment horizontal="left" vertical="center" shrinkToFit="1"/>
    </xf>
    <xf numFmtId="0" fontId="13" fillId="0" borderId="0" xfId="0" applyFont="1" applyAlignment="1">
      <alignment horizontal="center" vertical="center"/>
    </xf>
    <xf numFmtId="9" fontId="1" fillId="0" borderId="0" xfId="1" applyNumberFormat="1" applyFont="1" applyFill="1" applyBorder="1" applyAlignment="1" applyProtection="1">
      <alignment horizontal="center" vertical="center"/>
    </xf>
    <xf numFmtId="164" fontId="1" fillId="0" borderId="0" xfId="1" applyNumberFormat="1" applyFont="1" applyFill="1" applyBorder="1" applyAlignment="1" applyProtection="1">
      <alignment horizontal="center" vertical="center"/>
    </xf>
    <xf numFmtId="1" fontId="1" fillId="0" borderId="0" xfId="1" applyNumberFormat="1" applyFont="1" applyFill="1" applyBorder="1" applyAlignment="1" applyProtection="1">
      <alignment horizontal="center" vertical="center" shrinkToFit="1"/>
    </xf>
    <xf numFmtId="0" fontId="20" fillId="0" borderId="0" xfId="1" applyFont="1" applyFill="1" applyBorder="1" applyAlignment="1" applyProtection="1">
      <alignment horizontal="left" vertical="center" wrapText="1"/>
    </xf>
    <xf numFmtId="1" fontId="1" fillId="0" borderId="0" xfId="1" applyNumberFormat="1" applyFont="1" applyFill="1" applyBorder="1" applyAlignment="1" applyProtection="1">
      <alignment horizontal="left" vertical="center" shrinkToFit="1"/>
    </xf>
    <xf numFmtId="1" fontId="1" fillId="0" borderId="0" xfId="1" applyNumberFormat="1" applyFont="1" applyFill="1" applyBorder="1" applyAlignment="1" applyProtection="1">
      <alignment horizontal="left" vertical="center" wrapText="1" shrinkToFit="1"/>
    </xf>
    <xf numFmtId="165" fontId="1" fillId="0" borderId="0" xfId="1" applyNumberFormat="1" applyFont="1" applyFill="1" applyBorder="1" applyAlignment="1" applyProtection="1">
      <alignment horizontal="center" vertical="center"/>
    </xf>
    <xf numFmtId="1" fontId="1" fillId="0" borderId="0" xfId="1" applyNumberFormat="1" applyFont="1" applyFill="1" applyBorder="1" applyAlignment="1" applyProtection="1">
      <alignment horizontal="center" vertical="center"/>
    </xf>
    <xf numFmtId="2" fontId="1" fillId="0" borderId="0" xfId="1" applyNumberFormat="1" applyFont="1" applyFill="1" applyBorder="1" applyAlignment="1" applyProtection="1">
      <alignment horizontal="center" vertical="center"/>
    </xf>
    <xf numFmtId="1" fontId="25" fillId="0" borderId="0" xfId="1" applyNumberFormat="1" applyFont="1" applyFill="1" applyBorder="1" applyAlignment="1" applyProtection="1">
      <alignment horizontal="center" vertical="center" shrinkToFit="1"/>
    </xf>
    <xf numFmtId="1" fontId="25" fillId="0" borderId="0" xfId="1" applyNumberFormat="1" applyFont="1" applyFill="1" applyBorder="1" applyAlignment="1" applyProtection="1">
      <alignment horizontal="left" vertical="center" shrinkToFit="1"/>
    </xf>
    <xf numFmtId="2" fontId="25" fillId="0" borderId="0" xfId="1" applyNumberFormat="1" applyFont="1" applyFill="1" applyBorder="1" applyAlignment="1" applyProtection="1">
      <alignment horizontal="left" vertical="center" shrinkToFit="1"/>
    </xf>
    <xf numFmtId="1" fontId="4" fillId="0" borderId="1" xfId="4" applyNumberFormat="1" applyFont="1" applyBorder="1" applyAlignment="1" applyProtection="1">
      <alignment horizontal="center" vertical="center" shrinkToFit="1"/>
    </xf>
    <xf numFmtId="0" fontId="5" fillId="0" borderId="1" xfId="4" applyFont="1" applyBorder="1" applyAlignment="1" applyProtection="1">
      <alignment horizontal="left" vertical="center" wrapText="1"/>
    </xf>
    <xf numFmtId="0" fontId="6" fillId="0" borderId="1" xfId="4" applyFont="1" applyBorder="1" applyAlignment="1" applyProtection="1">
      <alignment horizontal="left" vertical="center" wrapText="1"/>
    </xf>
    <xf numFmtId="0" fontId="7" fillId="0" borderId="1" xfId="4" applyFont="1" applyBorder="1" applyAlignment="1" applyProtection="1">
      <alignment horizontal="left" vertical="center" wrapText="1"/>
    </xf>
    <xf numFmtId="1" fontId="8" fillId="0" borderId="1" xfId="4" applyNumberFormat="1" applyFont="1" applyBorder="1" applyAlignment="1" applyProtection="1">
      <alignment horizontal="left" vertical="center" shrinkToFit="1"/>
    </xf>
    <xf numFmtId="9" fontId="1" fillId="0" borderId="1" xfId="4" applyNumberFormat="1" applyBorder="1" applyAlignment="1" applyProtection="1">
      <alignment horizontal="center" vertical="center"/>
    </xf>
    <xf numFmtId="0" fontId="1" fillId="0" borderId="1" xfId="4" applyBorder="1" applyAlignment="1" applyProtection="1">
      <alignment horizontal="center" vertical="center"/>
    </xf>
    <xf numFmtId="1" fontId="4" fillId="0" borderId="1" xfId="4" applyNumberFormat="1" applyFont="1" applyBorder="1" applyAlignment="1" applyProtection="1">
      <alignment horizontal="left" vertical="center" shrinkToFit="1"/>
    </xf>
    <xf numFmtId="1" fontId="4" fillId="0" borderId="0" xfId="4" applyNumberFormat="1" applyFont="1" applyAlignment="1" applyProtection="1">
      <alignment horizontal="center" vertical="center" shrinkToFit="1"/>
    </xf>
    <xf numFmtId="0" fontId="5" fillId="0" borderId="1" xfId="1" applyFont="1" applyBorder="1" applyAlignment="1" applyProtection="1">
      <alignment horizontal="left" vertical="center" wrapText="1"/>
    </xf>
    <xf numFmtId="1" fontId="4" fillId="0" borderId="1" xfId="1" applyNumberFormat="1" applyFont="1" applyBorder="1" applyAlignment="1" applyProtection="1">
      <alignment horizontal="left" vertical="center" shrinkToFit="1"/>
    </xf>
    <xf numFmtId="0" fontId="26" fillId="0" borderId="1" xfId="1" applyFont="1" applyBorder="1" applyAlignment="1" applyProtection="1">
      <alignment horizontal="left" vertical="center" wrapText="1"/>
    </xf>
    <xf numFmtId="1" fontId="4" fillId="0" borderId="0" xfId="4" applyNumberFormat="1" applyFont="1" applyAlignment="1" applyProtection="1">
      <alignment horizontal="left" vertical="center" shrinkToFit="1"/>
    </xf>
    <xf numFmtId="1" fontId="28" fillId="0" borderId="0" xfId="1" applyNumberFormat="1" applyFont="1" applyFill="1" applyBorder="1" applyAlignment="1" applyProtection="1">
      <alignment horizontal="left" vertical="center" shrinkToFit="1"/>
    </xf>
    <xf numFmtId="1" fontId="4" fillId="0" borderId="1" xfId="1" applyNumberFormat="1" applyFont="1" applyBorder="1" applyAlignment="1" applyProtection="1">
      <alignment horizontal="center" vertical="center" shrinkToFit="1"/>
    </xf>
    <xf numFmtId="0" fontId="6" fillId="0" borderId="1" xfId="1" applyFont="1" applyBorder="1" applyAlignment="1" applyProtection="1">
      <alignment horizontal="left" vertical="center" wrapText="1"/>
    </xf>
    <xf numFmtId="0" fontId="7" fillId="0" borderId="1" xfId="1" applyFont="1" applyBorder="1" applyAlignment="1" applyProtection="1">
      <alignment horizontal="left" vertical="center" wrapText="1"/>
    </xf>
    <xf numFmtId="1" fontId="28" fillId="0" borderId="1" xfId="1" applyNumberFormat="1" applyFont="1" applyBorder="1" applyAlignment="1" applyProtection="1">
      <alignment horizontal="left" vertical="center" shrinkToFit="1"/>
    </xf>
    <xf numFmtId="9" fontId="1" fillId="0" borderId="1" xfId="1" applyNumberFormat="1" applyBorder="1" applyAlignment="1" applyProtection="1">
      <alignment horizontal="center" vertical="center"/>
    </xf>
    <xf numFmtId="0" fontId="1" fillId="0" borderId="1" xfId="1" applyBorder="1" applyAlignment="1" applyProtection="1">
      <alignment horizontal="center" vertical="center"/>
    </xf>
    <xf numFmtId="2" fontId="1" fillId="0" borderId="1" xfId="1" applyNumberFormat="1" applyBorder="1" applyAlignment="1" applyProtection="1">
      <alignment horizontal="center" vertical="center"/>
    </xf>
    <xf numFmtId="1" fontId="4" fillId="0" borderId="1" xfId="1" applyNumberFormat="1" applyFont="1" applyBorder="1" applyAlignment="1" applyProtection="1">
      <alignment horizontal="left" vertical="center" wrapText="1" shrinkToFit="1"/>
    </xf>
    <xf numFmtId="0" fontId="5" fillId="0" borderId="0" xfId="1" applyFont="1" applyFill="1" applyBorder="1" applyAlignment="1" applyProtection="1">
      <alignment horizontal="center" vertical="center" wrapText="1"/>
    </xf>
    <xf numFmtId="0" fontId="26" fillId="0" borderId="0" xfId="1" applyFont="1" applyFill="1" applyBorder="1" applyAlignment="1" applyProtection="1">
      <alignment horizontal="left" vertical="center" wrapText="1"/>
    </xf>
    <xf numFmtId="2" fontId="7" fillId="0" borderId="0" xfId="1" applyNumberFormat="1" applyFont="1" applyFill="1" applyBorder="1" applyAlignment="1" applyProtection="1">
      <alignment horizontal="left" vertical="center" wrapText="1"/>
    </xf>
    <xf numFmtId="2" fontId="28" fillId="0" borderId="0" xfId="1" applyNumberFormat="1" applyFont="1" applyFill="1" applyBorder="1" applyAlignment="1" applyProtection="1">
      <alignment horizontal="left" vertical="center" shrinkToFit="1"/>
    </xf>
    <xf numFmtId="0" fontId="6" fillId="0" borderId="1" xfId="1" applyFont="1" applyBorder="1" applyAlignment="1" applyProtection="1">
      <alignment horizontal="center" vertical="center" wrapText="1"/>
    </xf>
    <xf numFmtId="2" fontId="6" fillId="0" borderId="1" xfId="1" applyNumberFormat="1" applyFont="1" applyBorder="1" applyAlignment="1" applyProtection="1">
      <alignment horizontal="left" vertical="center" wrapText="1"/>
    </xf>
    <xf numFmtId="2" fontId="7" fillId="0" borderId="1" xfId="1" applyNumberFormat="1" applyFont="1" applyBorder="1" applyAlignment="1" applyProtection="1">
      <alignment horizontal="left" vertical="center" wrapText="1"/>
    </xf>
    <xf numFmtId="2" fontId="28" fillId="0" borderId="1" xfId="1" applyNumberFormat="1" applyFont="1" applyBorder="1" applyAlignment="1" applyProtection="1">
      <alignment horizontal="left" vertical="center" shrinkToFit="1"/>
    </xf>
    <xf numFmtId="0" fontId="26" fillId="0" borderId="1" xfId="1" applyFont="1" applyBorder="1" applyAlignment="1" applyProtection="1">
      <alignment horizontal="center" vertical="center" wrapText="1"/>
    </xf>
    <xf numFmtId="2" fontId="26" fillId="0" borderId="1" xfId="1" applyNumberFormat="1" applyFont="1" applyBorder="1" applyAlignment="1" applyProtection="1">
      <alignment horizontal="left" vertical="center" wrapText="1"/>
    </xf>
    <xf numFmtId="2" fontId="1" fillId="0" borderId="1" xfId="4" applyNumberFormat="1" applyBorder="1" applyAlignment="1" applyProtection="1">
      <alignment horizontal="center" vertical="center"/>
    </xf>
    <xf numFmtId="2" fontId="5" fillId="0" borderId="1" xfId="1" applyNumberFormat="1" applyFont="1" applyBorder="1" applyAlignment="1" applyProtection="1">
      <alignment horizontal="left" vertical="center" wrapText="1"/>
    </xf>
    <xf numFmtId="2" fontId="1" fillId="0" borderId="1" xfId="4" applyNumberFormat="1" applyBorder="1" applyAlignment="1" applyProtection="1">
      <alignment horizontal="left" vertical="center" shrinkToFit="1"/>
    </xf>
    <xf numFmtId="0" fontId="5" fillId="0" borderId="1" xfId="1" applyFont="1" applyBorder="1" applyAlignment="1" applyProtection="1">
      <alignment horizontal="center" vertical="center" wrapText="1"/>
    </xf>
    <xf numFmtId="2" fontId="15" fillId="0" borderId="0" xfId="1" applyNumberFormat="1" applyFont="1" applyFill="1" applyBorder="1" applyAlignment="1" applyProtection="1">
      <alignment horizontal="center" vertical="center"/>
    </xf>
    <xf numFmtId="165" fontId="26" fillId="0" borderId="1" xfId="1" applyNumberFormat="1" applyFont="1" applyBorder="1" applyAlignment="1" applyProtection="1">
      <alignment horizontal="center" vertical="center" wrapText="1"/>
    </xf>
    <xf numFmtId="0" fontId="3" fillId="0" borderId="0" xfId="1" applyFont="1" applyFill="1" applyBorder="1" applyAlignment="1" applyProtection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>
      <alignment vertical="center"/>
    </xf>
    <xf numFmtId="14" fontId="0" fillId="0" borderId="8" xfId="0" applyNumberForma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2 2" xfId="4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www.wps.cn/officeDocument/2020/cellImage" Target="NUL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ownloads\ProductionPlanning%20(47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Report"/>
    </sheetNames>
    <sheetDataSet>
      <sheetData sheetId="0"/>
      <sheetData sheetId="1">
        <row r="3">
          <cell r="A3">
            <v>1201</v>
          </cell>
          <cell r="B3">
            <v>0</v>
          </cell>
          <cell r="C3">
            <v>68254</v>
          </cell>
        </row>
        <row r="4">
          <cell r="A4">
            <v>1202</v>
          </cell>
          <cell r="B4">
            <v>0</v>
          </cell>
          <cell r="C4">
            <v>16640</v>
          </cell>
        </row>
        <row r="5">
          <cell r="A5">
            <v>1203</v>
          </cell>
          <cell r="B5">
            <v>0</v>
          </cell>
          <cell r="C5">
            <v>10</v>
          </cell>
        </row>
        <row r="6">
          <cell r="A6">
            <v>1206</v>
          </cell>
          <cell r="B6">
            <v>8668</v>
          </cell>
          <cell r="C6">
            <v>0</v>
          </cell>
        </row>
        <row r="7">
          <cell r="A7">
            <v>1207</v>
          </cell>
          <cell r="B7">
            <v>12234</v>
          </cell>
          <cell r="C7">
            <v>0</v>
          </cell>
        </row>
        <row r="8">
          <cell r="A8">
            <v>1208</v>
          </cell>
          <cell r="B8">
            <v>0</v>
          </cell>
          <cell r="C8">
            <v>5487</v>
          </cell>
        </row>
        <row r="9">
          <cell r="A9">
            <v>1211</v>
          </cell>
          <cell r="B9">
            <v>0</v>
          </cell>
          <cell r="C9">
            <v>845</v>
          </cell>
        </row>
        <row r="10">
          <cell r="A10">
            <v>1302</v>
          </cell>
          <cell r="B10">
            <v>216</v>
          </cell>
          <cell r="C10">
            <v>0</v>
          </cell>
        </row>
        <row r="11">
          <cell r="A11">
            <v>1303</v>
          </cell>
          <cell r="B11">
            <v>0</v>
          </cell>
          <cell r="C11">
            <v>118</v>
          </cell>
        </row>
        <row r="12">
          <cell r="A12">
            <v>2202</v>
          </cell>
          <cell r="B12">
            <v>0</v>
          </cell>
          <cell r="C12">
            <v>30</v>
          </cell>
        </row>
        <row r="13">
          <cell r="A13">
            <v>2204</v>
          </cell>
          <cell r="B13">
            <v>0</v>
          </cell>
          <cell r="C13">
            <v>5</v>
          </cell>
        </row>
        <row r="14">
          <cell r="A14">
            <v>2205</v>
          </cell>
          <cell r="B14">
            <v>0</v>
          </cell>
          <cell r="C14">
            <v>0</v>
          </cell>
        </row>
        <row r="15">
          <cell r="A15">
            <v>2210</v>
          </cell>
          <cell r="B15">
            <v>0</v>
          </cell>
          <cell r="C15">
            <v>4280</v>
          </cell>
        </row>
        <row r="16">
          <cell r="A16">
            <v>2302</v>
          </cell>
          <cell r="B16">
            <v>0</v>
          </cell>
          <cell r="C16">
            <v>12378</v>
          </cell>
        </row>
        <row r="17">
          <cell r="A17">
            <v>2303</v>
          </cell>
          <cell r="B17">
            <v>0</v>
          </cell>
          <cell r="C17">
            <v>8619</v>
          </cell>
        </row>
        <row r="18">
          <cell r="A18">
            <v>2305</v>
          </cell>
          <cell r="B18">
            <v>0</v>
          </cell>
          <cell r="C18">
            <v>2079</v>
          </cell>
        </row>
        <row r="19">
          <cell r="A19">
            <v>2311</v>
          </cell>
          <cell r="B19">
            <v>0</v>
          </cell>
          <cell r="C19">
            <v>49</v>
          </cell>
        </row>
        <row r="20">
          <cell r="A20">
            <v>2313</v>
          </cell>
          <cell r="B20">
            <v>0</v>
          </cell>
          <cell r="C20">
            <v>4280</v>
          </cell>
        </row>
        <row r="21">
          <cell r="A21">
            <v>2314</v>
          </cell>
          <cell r="B21">
            <v>0</v>
          </cell>
          <cell r="C21">
            <v>1356</v>
          </cell>
        </row>
        <row r="22">
          <cell r="A22">
            <v>2315</v>
          </cell>
          <cell r="B22">
            <v>0</v>
          </cell>
          <cell r="C22">
            <v>12378</v>
          </cell>
        </row>
        <row r="23">
          <cell r="A23">
            <v>2316</v>
          </cell>
          <cell r="B23">
            <v>0</v>
          </cell>
          <cell r="C23">
            <v>8619</v>
          </cell>
        </row>
        <row r="24">
          <cell r="A24">
            <v>2317</v>
          </cell>
          <cell r="B24">
            <v>0</v>
          </cell>
          <cell r="C24">
            <v>2079</v>
          </cell>
        </row>
        <row r="25">
          <cell r="A25">
            <v>2318</v>
          </cell>
          <cell r="B25">
            <v>0</v>
          </cell>
          <cell r="C25">
            <v>49</v>
          </cell>
        </row>
        <row r="26">
          <cell r="A26">
            <v>2321</v>
          </cell>
          <cell r="B26">
            <v>0</v>
          </cell>
          <cell r="C26">
            <v>7310</v>
          </cell>
        </row>
        <row r="27">
          <cell r="A27">
            <v>2322</v>
          </cell>
          <cell r="B27">
            <v>0</v>
          </cell>
          <cell r="C27">
            <v>1356</v>
          </cell>
        </row>
        <row r="28">
          <cell r="A28">
            <v>3201</v>
          </cell>
          <cell r="B28">
            <v>0</v>
          </cell>
          <cell r="C28">
            <v>208</v>
          </cell>
        </row>
        <row r="29">
          <cell r="A29">
            <v>3202</v>
          </cell>
          <cell r="B29">
            <v>0</v>
          </cell>
          <cell r="C29">
            <v>4243</v>
          </cell>
        </row>
        <row r="30">
          <cell r="A30">
            <v>3203</v>
          </cell>
          <cell r="B30">
            <v>0</v>
          </cell>
          <cell r="C30">
            <v>152</v>
          </cell>
        </row>
        <row r="31">
          <cell r="A31">
            <v>3301</v>
          </cell>
          <cell r="B31">
            <v>0</v>
          </cell>
          <cell r="C31">
            <v>6873</v>
          </cell>
        </row>
        <row r="32">
          <cell r="A32">
            <v>3302</v>
          </cell>
          <cell r="B32">
            <v>0</v>
          </cell>
          <cell r="C32">
            <v>11203</v>
          </cell>
        </row>
        <row r="33">
          <cell r="A33">
            <v>3310</v>
          </cell>
          <cell r="B33">
            <v>0</v>
          </cell>
          <cell r="C33">
            <v>979</v>
          </cell>
        </row>
        <row r="34">
          <cell r="A34">
            <v>3311</v>
          </cell>
          <cell r="B34">
            <v>0</v>
          </cell>
          <cell r="C34">
            <v>280</v>
          </cell>
        </row>
        <row r="35">
          <cell r="A35">
            <v>3402</v>
          </cell>
          <cell r="B35">
            <v>0</v>
          </cell>
          <cell r="C35">
            <v>60</v>
          </cell>
        </row>
        <row r="36">
          <cell r="A36">
            <v>4203</v>
          </cell>
          <cell r="B36">
            <v>0</v>
          </cell>
          <cell r="C36">
            <v>-3</v>
          </cell>
        </row>
        <row r="37">
          <cell r="A37">
            <v>4204</v>
          </cell>
          <cell r="B37">
            <v>0</v>
          </cell>
          <cell r="C37">
            <v>300</v>
          </cell>
        </row>
        <row r="38">
          <cell r="A38">
            <v>5304</v>
          </cell>
          <cell r="B38">
            <v>0</v>
          </cell>
          <cell r="C38">
            <v>180</v>
          </cell>
        </row>
        <row r="39">
          <cell r="A39">
            <v>5307</v>
          </cell>
          <cell r="B39">
            <v>0</v>
          </cell>
          <cell r="C39">
            <v>28</v>
          </cell>
        </row>
        <row r="40">
          <cell r="A40">
            <v>6301</v>
          </cell>
          <cell r="B40">
            <v>0</v>
          </cell>
          <cell r="C40">
            <v>20</v>
          </cell>
        </row>
        <row r="41">
          <cell r="A41">
            <v>6302</v>
          </cell>
          <cell r="B41">
            <v>0</v>
          </cell>
          <cell r="C41">
            <v>-8</v>
          </cell>
        </row>
        <row r="42">
          <cell r="A42">
            <v>6303</v>
          </cell>
          <cell r="B42">
            <v>0</v>
          </cell>
          <cell r="C42">
            <v>20</v>
          </cell>
        </row>
        <row r="43">
          <cell r="A43">
            <v>7103</v>
          </cell>
          <cell r="B43">
            <v>0</v>
          </cell>
          <cell r="C43">
            <v>60</v>
          </cell>
        </row>
        <row r="44">
          <cell r="A44">
            <v>7104</v>
          </cell>
          <cell r="B44">
            <v>0</v>
          </cell>
          <cell r="C44">
            <v>1536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K57"/>
  <sheetViews>
    <sheetView workbookViewId="0">
      <pane ySplit="1" topLeftCell="A2" activePane="bottomLeft" state="frozen"/>
      <selection activeCell="Q3" sqref="Q3"/>
      <selection pane="bottomLeft" activeCell="G14" sqref="G14"/>
    </sheetView>
  </sheetViews>
  <sheetFormatPr defaultRowHeight="15"/>
  <cols>
    <col min="1" max="1" width="33.28515625" style="28" customWidth="1"/>
    <col min="2" max="2" width="16" style="28" customWidth="1"/>
    <col min="3" max="3" width="11.28515625" style="28" bestFit="1" customWidth="1"/>
    <col min="4" max="4" width="29" style="28" bestFit="1" customWidth="1"/>
    <col min="5" max="5" width="11.5703125" style="28" bestFit="1" customWidth="1"/>
    <col min="6" max="6" width="10.42578125" style="28" bestFit="1" customWidth="1"/>
    <col min="7" max="7" width="13.5703125" style="28" bestFit="1" customWidth="1"/>
    <col min="8" max="8" width="19.5703125" style="28" customWidth="1"/>
    <col min="9" max="9" width="16" style="28" bestFit="1" customWidth="1"/>
    <col min="10" max="10" width="12.5703125" style="28" bestFit="1" customWidth="1"/>
    <col min="11" max="16384" width="9.140625" style="28"/>
  </cols>
  <sheetData>
    <row r="1" spans="1:10" ht="35.25" customHeight="1">
      <c r="A1" s="80" t="s">
        <v>82</v>
      </c>
      <c r="B1" s="80" t="s">
        <v>83</v>
      </c>
      <c r="C1" s="81" t="s">
        <v>84</v>
      </c>
      <c r="D1" s="80"/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</row>
    <row r="2" spans="1:10">
      <c r="A2" s="29"/>
      <c r="B2" s="29"/>
      <c r="C2" s="29"/>
      <c r="D2" s="29"/>
      <c r="E2" s="29"/>
      <c r="F2" s="29"/>
      <c r="G2" s="29"/>
      <c r="H2" s="29"/>
      <c r="I2" s="29"/>
      <c r="J2" s="29"/>
    </row>
    <row r="3" spans="1:10">
      <c r="A3" s="29" t="s">
        <v>91</v>
      </c>
      <c r="B3" s="29" t="s">
        <v>92</v>
      </c>
      <c r="C3" s="30">
        <v>42</v>
      </c>
      <c r="D3" s="29" t="s">
        <v>93</v>
      </c>
      <c r="E3" s="29"/>
      <c r="F3" s="29"/>
      <c r="G3" s="30"/>
      <c r="H3" s="29"/>
      <c r="I3" s="29"/>
      <c r="J3" s="29"/>
    </row>
    <row r="4" spans="1:10">
      <c r="A4" s="29" t="s">
        <v>94</v>
      </c>
      <c r="B4" s="29"/>
      <c r="C4" s="30">
        <v>42</v>
      </c>
      <c r="D4" s="29" t="s">
        <v>93</v>
      </c>
      <c r="E4" s="29"/>
      <c r="F4" s="29"/>
      <c r="G4" s="30"/>
      <c r="H4" s="29"/>
      <c r="I4" s="29"/>
      <c r="J4" s="29"/>
    </row>
    <row r="5" spans="1:10">
      <c r="A5" s="29" t="s">
        <v>95</v>
      </c>
      <c r="B5" s="29" t="s">
        <v>92</v>
      </c>
      <c r="C5" s="30">
        <v>2</v>
      </c>
      <c r="D5" s="29" t="s">
        <v>96</v>
      </c>
      <c r="E5" s="29"/>
      <c r="F5" s="29"/>
      <c r="G5" s="30"/>
      <c r="H5" s="29"/>
      <c r="I5" s="29"/>
      <c r="J5" s="29"/>
    </row>
    <row r="6" spans="1:10">
      <c r="A6" s="29"/>
      <c r="B6" s="29"/>
      <c r="C6" s="30">
        <v>144</v>
      </c>
      <c r="D6" s="29" t="s">
        <v>97</v>
      </c>
      <c r="E6" s="29"/>
      <c r="F6" s="29"/>
      <c r="G6" s="30"/>
      <c r="H6" s="29"/>
      <c r="I6" s="29"/>
      <c r="J6" s="29"/>
    </row>
    <row r="7" spans="1:10">
      <c r="A7" s="29"/>
      <c r="B7" s="29"/>
      <c r="C7" s="30">
        <v>288</v>
      </c>
      <c r="D7" s="29" t="s">
        <v>98</v>
      </c>
      <c r="E7" s="29"/>
      <c r="F7" s="29"/>
      <c r="G7" s="30"/>
      <c r="H7" s="29"/>
      <c r="I7" s="29"/>
      <c r="J7" s="29"/>
    </row>
    <row r="8" spans="1:10" ht="32.25" customHeight="1">
      <c r="A8" s="78" t="s">
        <v>99</v>
      </c>
      <c r="B8" s="79" t="s">
        <v>100</v>
      </c>
      <c r="C8" s="30">
        <v>1</v>
      </c>
      <c r="D8" s="29" t="s">
        <v>101</v>
      </c>
      <c r="E8" s="29"/>
      <c r="F8" s="29"/>
      <c r="I8" s="29"/>
      <c r="J8" s="29"/>
    </row>
    <row r="9" spans="1:10">
      <c r="A9" s="29"/>
      <c r="B9" s="29"/>
      <c r="C9" s="30">
        <v>120</v>
      </c>
      <c r="D9" s="29" t="s">
        <v>97</v>
      </c>
      <c r="E9" s="29"/>
      <c r="F9" s="29"/>
      <c r="G9" s="30"/>
      <c r="H9" s="29"/>
      <c r="I9" s="29"/>
      <c r="J9" s="29"/>
    </row>
    <row r="10" spans="1:10">
      <c r="A10" s="29" t="s">
        <v>99</v>
      </c>
      <c r="B10" s="29"/>
      <c r="C10" s="30">
        <v>1</v>
      </c>
      <c r="D10" s="29"/>
      <c r="E10" s="29"/>
      <c r="F10" s="29"/>
      <c r="G10" s="30"/>
      <c r="H10" s="29"/>
      <c r="I10" s="29"/>
      <c r="J10" s="29"/>
    </row>
    <row r="11" spans="1:10">
      <c r="A11" s="29"/>
      <c r="B11" s="29"/>
      <c r="C11" s="30">
        <v>80</v>
      </c>
      <c r="D11" s="29" t="s">
        <v>97</v>
      </c>
      <c r="E11" s="29"/>
      <c r="F11" s="29"/>
      <c r="G11" s="30"/>
      <c r="H11" s="29"/>
      <c r="I11" s="29"/>
      <c r="J11" s="29"/>
    </row>
    <row r="12" spans="1:10">
      <c r="A12" s="29" t="s">
        <v>102</v>
      </c>
      <c r="B12" s="29" t="s">
        <v>103</v>
      </c>
      <c r="C12" s="30">
        <v>18</v>
      </c>
      <c r="D12" s="29" t="s">
        <v>104</v>
      </c>
      <c r="E12" s="29"/>
      <c r="F12" s="29"/>
      <c r="G12" s="30"/>
      <c r="H12" s="29"/>
      <c r="I12" s="29"/>
      <c r="J12" s="29"/>
    </row>
    <row r="13" spans="1:10">
      <c r="A13" s="29"/>
      <c r="B13" s="29"/>
      <c r="C13" s="30"/>
      <c r="D13" s="29"/>
      <c r="E13" s="29"/>
      <c r="F13" s="29"/>
      <c r="G13" s="30"/>
      <c r="H13" s="29"/>
      <c r="I13" s="29"/>
      <c r="J13" s="29"/>
    </row>
    <row r="14" spans="1:10">
      <c r="A14" s="29" t="s">
        <v>105</v>
      </c>
      <c r="B14" s="29" t="s">
        <v>106</v>
      </c>
      <c r="C14" s="30">
        <v>48</v>
      </c>
      <c r="D14" s="29" t="s">
        <v>104</v>
      </c>
      <c r="E14" s="29"/>
      <c r="F14" s="29"/>
      <c r="G14" s="30"/>
      <c r="H14" s="29"/>
      <c r="I14" s="29"/>
      <c r="J14" s="29"/>
    </row>
    <row r="15" spans="1:10">
      <c r="A15" s="29"/>
      <c r="B15" s="29"/>
      <c r="C15" s="29"/>
      <c r="D15" s="29"/>
      <c r="E15" s="29"/>
      <c r="F15" s="29"/>
      <c r="G15" s="30"/>
      <c r="H15" s="29"/>
      <c r="I15" s="29"/>
      <c r="J15" s="29"/>
    </row>
    <row r="16" spans="1:10">
      <c r="A16" s="31" t="s">
        <v>107</v>
      </c>
      <c r="B16" s="29"/>
      <c r="C16" s="29"/>
      <c r="D16" s="29"/>
      <c r="E16" s="30"/>
      <c r="F16" s="29"/>
      <c r="G16" s="30"/>
      <c r="H16" s="29"/>
      <c r="I16" s="29"/>
      <c r="J16" s="29"/>
    </row>
    <row r="17" spans="1:11">
      <c r="A17" s="32" t="s">
        <v>108</v>
      </c>
      <c r="B17" s="29"/>
      <c r="C17" s="30">
        <v>2</v>
      </c>
      <c r="D17" s="33" t="s">
        <v>96</v>
      </c>
      <c r="E17" s="30"/>
      <c r="F17" s="29"/>
      <c r="G17" s="30"/>
      <c r="H17" s="29"/>
      <c r="I17" s="29"/>
      <c r="J17" s="29"/>
    </row>
    <row r="18" spans="1:11">
      <c r="A18" s="32" t="s">
        <v>109</v>
      </c>
      <c r="B18" s="29"/>
      <c r="C18" s="30">
        <v>2</v>
      </c>
      <c r="D18" s="33" t="s">
        <v>96</v>
      </c>
      <c r="E18" s="30"/>
      <c r="F18" s="29"/>
      <c r="G18" s="30"/>
      <c r="H18" s="29"/>
      <c r="I18" s="29"/>
      <c r="J18" s="29"/>
    </row>
    <row r="19" spans="1:11">
      <c r="A19" s="77" t="s">
        <v>110</v>
      </c>
      <c r="B19" s="29"/>
      <c r="C19" s="30">
        <v>1</v>
      </c>
      <c r="D19" s="33" t="s">
        <v>96</v>
      </c>
      <c r="E19" s="30"/>
      <c r="F19" s="29"/>
      <c r="G19" s="30"/>
      <c r="H19" s="29"/>
      <c r="I19" s="29"/>
      <c r="J19" s="29"/>
    </row>
    <row r="20" spans="1:11">
      <c r="A20" s="32" t="s">
        <v>111</v>
      </c>
      <c r="B20" s="29"/>
      <c r="C20" s="30">
        <v>2</v>
      </c>
      <c r="D20" s="33" t="s">
        <v>96</v>
      </c>
      <c r="E20" s="30"/>
      <c r="F20" s="29"/>
      <c r="G20" s="30"/>
      <c r="H20" s="29"/>
      <c r="I20" s="29"/>
      <c r="J20" s="29"/>
    </row>
    <row r="21" spans="1:11">
      <c r="A21" s="29"/>
      <c r="B21" s="29"/>
      <c r="C21" s="30"/>
      <c r="D21" s="29"/>
      <c r="E21" s="30"/>
      <c r="F21" s="29"/>
      <c r="G21" s="30"/>
      <c r="H21" s="30"/>
      <c r="I21" s="30"/>
      <c r="J21" s="30"/>
      <c r="K21" s="34"/>
    </row>
    <row r="22" spans="1:11">
      <c r="A22" s="35" t="s">
        <v>112</v>
      </c>
      <c r="B22" s="29"/>
      <c r="C22" s="30"/>
      <c r="D22" s="29"/>
      <c r="E22" s="30"/>
      <c r="F22" s="29"/>
      <c r="G22" s="30"/>
      <c r="H22" s="30"/>
      <c r="I22" s="30"/>
      <c r="J22" s="30"/>
      <c r="K22" s="34"/>
    </row>
    <row r="23" spans="1:11">
      <c r="A23" s="32" t="s">
        <v>113</v>
      </c>
      <c r="B23" s="33" t="s">
        <v>114</v>
      </c>
      <c r="C23" s="30">
        <v>2</v>
      </c>
      <c r="D23" s="33" t="s">
        <v>96</v>
      </c>
      <c r="E23" s="30"/>
      <c r="F23" s="29"/>
      <c r="G23" s="30"/>
      <c r="H23" s="30"/>
      <c r="I23" s="30"/>
      <c r="J23" s="30"/>
      <c r="K23" s="34"/>
    </row>
    <row r="24" spans="1:11">
      <c r="A24" s="32" t="s">
        <v>115</v>
      </c>
      <c r="B24" s="33" t="s">
        <v>116</v>
      </c>
      <c r="C24" s="30">
        <v>2</v>
      </c>
      <c r="D24" s="33" t="s">
        <v>96</v>
      </c>
      <c r="E24" s="30"/>
      <c r="F24" s="29"/>
      <c r="G24" s="30"/>
      <c r="H24" s="30"/>
      <c r="I24" s="30"/>
      <c r="J24" s="30"/>
      <c r="K24" s="34"/>
    </row>
    <row r="25" spans="1:11">
      <c r="A25" s="32" t="s">
        <v>117</v>
      </c>
      <c r="B25" s="33" t="s">
        <v>116</v>
      </c>
      <c r="C25" s="30">
        <v>2</v>
      </c>
      <c r="D25" s="33" t="s">
        <v>96</v>
      </c>
      <c r="E25" s="30"/>
      <c r="F25" s="29"/>
      <c r="G25" s="30"/>
      <c r="H25" s="30"/>
      <c r="I25" s="30"/>
      <c r="J25" s="30"/>
      <c r="K25" s="34"/>
    </row>
    <row r="26" spans="1:11">
      <c r="A26" s="32" t="s">
        <v>118</v>
      </c>
      <c r="B26" s="33" t="s">
        <v>116</v>
      </c>
      <c r="C26" s="30">
        <v>1</v>
      </c>
      <c r="D26" s="33" t="s">
        <v>96</v>
      </c>
      <c r="E26" s="30"/>
      <c r="F26" s="29"/>
      <c r="G26" s="30"/>
      <c r="H26" s="30"/>
      <c r="I26" s="30"/>
      <c r="J26" s="30"/>
      <c r="K26" s="34"/>
    </row>
    <row r="27" spans="1:11">
      <c r="A27" s="32" t="s">
        <v>119</v>
      </c>
      <c r="B27" s="33" t="s">
        <v>116</v>
      </c>
      <c r="C27" s="30">
        <v>1</v>
      </c>
      <c r="D27" s="33" t="s">
        <v>96</v>
      </c>
      <c r="E27" s="30"/>
      <c r="F27" s="29"/>
      <c r="G27" s="30"/>
      <c r="H27" s="30"/>
      <c r="I27" s="30"/>
      <c r="J27" s="30"/>
      <c r="K27" s="34"/>
    </row>
    <row r="28" spans="1:11">
      <c r="A28" s="29"/>
      <c r="B28" s="29"/>
      <c r="C28" s="30"/>
      <c r="D28" s="29"/>
      <c r="E28" s="30"/>
      <c r="F28" s="29"/>
      <c r="G28" s="30"/>
      <c r="H28" s="30"/>
      <c r="I28" s="30"/>
      <c r="J28" s="30"/>
      <c r="K28" s="34"/>
    </row>
    <row r="29" spans="1:11">
      <c r="A29" s="32" t="s">
        <v>120</v>
      </c>
      <c r="B29" s="33" t="s">
        <v>121</v>
      </c>
      <c r="C29" s="30">
        <v>1</v>
      </c>
      <c r="D29" s="33" t="s">
        <v>122</v>
      </c>
      <c r="E29" s="30"/>
      <c r="F29" s="29"/>
      <c r="G29" s="30"/>
      <c r="H29" s="30"/>
      <c r="I29" s="30"/>
      <c r="J29" s="30"/>
      <c r="K29" s="34"/>
    </row>
    <row r="30" spans="1:11">
      <c r="A30" s="29"/>
      <c r="B30" s="29"/>
      <c r="C30" s="30">
        <v>36</v>
      </c>
      <c r="D30" s="33" t="s">
        <v>104</v>
      </c>
      <c r="E30" s="30"/>
      <c r="F30" s="29"/>
      <c r="G30" s="30"/>
      <c r="H30" s="30"/>
      <c r="I30" s="30"/>
      <c r="J30" s="30"/>
      <c r="K30" s="34"/>
    </row>
    <row r="31" spans="1:11">
      <c r="A31" s="32" t="s">
        <v>123</v>
      </c>
      <c r="B31" s="33" t="s">
        <v>124</v>
      </c>
      <c r="C31" s="30">
        <v>1</v>
      </c>
      <c r="D31" s="33" t="s">
        <v>122</v>
      </c>
      <c r="E31" s="30"/>
      <c r="F31" s="29"/>
      <c r="G31" s="30"/>
      <c r="H31" s="30"/>
      <c r="I31" s="30"/>
      <c r="J31" s="30"/>
      <c r="K31" s="34"/>
    </row>
    <row r="32" spans="1:11">
      <c r="A32" s="29"/>
      <c r="B32" s="29"/>
      <c r="C32" s="30"/>
      <c r="D32" s="29"/>
      <c r="E32" s="30"/>
      <c r="F32" s="29"/>
      <c r="G32" s="30"/>
      <c r="H32" s="30"/>
      <c r="I32" s="30"/>
      <c r="J32" s="30"/>
      <c r="K32" s="34"/>
    </row>
    <row r="33" spans="1:11">
      <c r="A33" s="33" t="s">
        <v>125</v>
      </c>
      <c r="B33" s="33" t="s">
        <v>126</v>
      </c>
      <c r="C33" s="30">
        <v>1</v>
      </c>
      <c r="D33" s="33" t="s">
        <v>122</v>
      </c>
      <c r="E33" s="30"/>
      <c r="F33" s="29"/>
      <c r="G33" s="29"/>
      <c r="H33" s="30"/>
      <c r="I33" s="30"/>
      <c r="J33" s="30"/>
      <c r="K33" s="34"/>
    </row>
    <row r="34" spans="1:11">
      <c r="A34" s="33"/>
      <c r="B34" s="33"/>
      <c r="C34" s="30">
        <v>16</v>
      </c>
      <c r="D34" s="33" t="s">
        <v>104</v>
      </c>
      <c r="E34" s="30">
        <v>300</v>
      </c>
      <c r="F34" s="29" t="s">
        <v>127</v>
      </c>
      <c r="G34" s="29"/>
      <c r="H34" s="30"/>
      <c r="I34" s="30"/>
      <c r="J34" s="30"/>
      <c r="K34" s="34"/>
    </row>
    <row r="35" spans="1:11">
      <c r="A35" s="33" t="s">
        <v>128</v>
      </c>
      <c r="B35" s="33" t="s">
        <v>126</v>
      </c>
      <c r="C35" s="30">
        <v>1</v>
      </c>
      <c r="D35" s="33" t="s">
        <v>122</v>
      </c>
      <c r="E35" s="30"/>
      <c r="F35" s="29"/>
      <c r="G35" s="29"/>
      <c r="H35" s="30"/>
      <c r="I35" s="30"/>
      <c r="J35" s="30"/>
      <c r="K35" s="34"/>
    </row>
    <row r="36" spans="1:11">
      <c r="A36" s="33"/>
      <c r="B36" s="33" t="s">
        <v>126</v>
      </c>
      <c r="C36" s="30">
        <v>16</v>
      </c>
      <c r="D36" s="33" t="s">
        <v>104</v>
      </c>
      <c r="E36" s="30">
        <v>300</v>
      </c>
      <c r="F36" s="29" t="s">
        <v>127</v>
      </c>
      <c r="G36" s="29"/>
      <c r="H36" s="30"/>
      <c r="I36" s="30"/>
      <c r="J36" s="30"/>
      <c r="K36" s="34"/>
    </row>
    <row r="37" spans="1:11">
      <c r="A37" s="29"/>
      <c r="B37" s="29"/>
      <c r="C37" s="29"/>
      <c r="D37" s="29"/>
      <c r="E37" s="30"/>
      <c r="F37" s="29"/>
      <c r="G37" s="29"/>
      <c r="H37" s="30"/>
      <c r="I37" s="30"/>
      <c r="J37" s="30"/>
      <c r="K37" s="34"/>
    </row>
    <row r="38" spans="1:11">
      <c r="A38" s="29" t="s">
        <v>129</v>
      </c>
      <c r="B38" s="29" t="s">
        <v>130</v>
      </c>
      <c r="C38" s="30">
        <v>20</v>
      </c>
      <c r="D38" s="29" t="s">
        <v>131</v>
      </c>
      <c r="E38" s="30">
        <v>1944</v>
      </c>
      <c r="F38" s="29" t="s">
        <v>132</v>
      </c>
      <c r="G38" s="29"/>
      <c r="H38" s="30">
        <v>17</v>
      </c>
      <c r="I38" s="30" t="s">
        <v>133</v>
      </c>
      <c r="J38" s="30">
        <v>120</v>
      </c>
      <c r="K38" s="34"/>
    </row>
    <row r="39" spans="1:11">
      <c r="A39" s="29"/>
      <c r="B39" s="29"/>
      <c r="C39" s="30"/>
      <c r="D39" s="29"/>
      <c r="E39" s="30"/>
      <c r="F39" s="29"/>
      <c r="G39" s="29"/>
      <c r="H39" s="30"/>
      <c r="I39" s="30"/>
      <c r="J39" s="30"/>
      <c r="K39" s="34"/>
    </row>
    <row r="40" spans="1:11">
      <c r="A40" s="29"/>
      <c r="B40" s="29"/>
      <c r="C40" s="30"/>
      <c r="D40" s="29"/>
      <c r="E40" s="30"/>
      <c r="F40" s="29"/>
      <c r="G40" s="29"/>
      <c r="H40" s="30"/>
      <c r="I40" s="30"/>
      <c r="J40" s="30"/>
      <c r="K40" s="34"/>
    </row>
    <row r="41" spans="1:11">
      <c r="A41" s="29"/>
      <c r="B41" s="29"/>
      <c r="C41" s="30"/>
      <c r="D41" s="29"/>
      <c r="E41" s="30"/>
      <c r="F41" s="29"/>
      <c r="G41" s="29"/>
      <c r="H41" s="30"/>
      <c r="I41" s="30"/>
      <c r="J41" s="30"/>
      <c r="K41" s="34"/>
    </row>
    <row r="42" spans="1:11">
      <c r="A42" s="29" t="s">
        <v>134</v>
      </c>
      <c r="B42" s="29" t="s">
        <v>130</v>
      </c>
      <c r="C42" s="30">
        <v>30</v>
      </c>
      <c r="D42" s="29" t="s">
        <v>131</v>
      </c>
      <c r="E42" s="30">
        <v>5020</v>
      </c>
      <c r="F42" s="29" t="s">
        <v>135</v>
      </c>
      <c r="G42" s="29"/>
      <c r="H42" s="30">
        <f>800/500*60+23</f>
        <v>119</v>
      </c>
      <c r="I42" s="30" t="s">
        <v>136</v>
      </c>
      <c r="J42" s="30">
        <f>E42/24</f>
        <v>209.16666666666666</v>
      </c>
      <c r="K42" s="34"/>
    </row>
    <row r="43" spans="1:11">
      <c r="A43" s="29"/>
      <c r="B43" s="29"/>
      <c r="C43" s="29"/>
      <c r="D43" s="29"/>
      <c r="E43" s="30">
        <v>9758</v>
      </c>
      <c r="F43" s="29" t="s">
        <v>135</v>
      </c>
      <c r="G43" s="29"/>
      <c r="H43" s="30">
        <f>180/500*60+23</f>
        <v>44.599999999999994</v>
      </c>
      <c r="I43" s="30" t="s">
        <v>137</v>
      </c>
      <c r="J43" s="30">
        <f t="shared" ref="J43:J44" si="0">E43/24</f>
        <v>406.58333333333331</v>
      </c>
      <c r="K43" s="34"/>
    </row>
    <row r="44" spans="1:11">
      <c r="A44" s="29"/>
      <c r="B44" s="29"/>
      <c r="C44" s="29"/>
      <c r="D44" s="29"/>
      <c r="E44" s="30">
        <v>1534</v>
      </c>
      <c r="F44" s="29" t="s">
        <v>135</v>
      </c>
      <c r="G44" s="29"/>
      <c r="H44" s="30">
        <f>135/500*60+23</f>
        <v>39.200000000000003</v>
      </c>
      <c r="I44" s="30" t="s">
        <v>138</v>
      </c>
      <c r="J44" s="30">
        <f t="shared" si="0"/>
        <v>63.916666666666664</v>
      </c>
      <c r="K44" s="34"/>
    </row>
    <row r="45" spans="1:11">
      <c r="A45" s="29"/>
      <c r="B45" s="29"/>
      <c r="C45" s="29"/>
      <c r="D45" s="29"/>
      <c r="E45" s="30"/>
      <c r="F45" s="29"/>
      <c r="G45" s="29"/>
      <c r="H45" s="30"/>
      <c r="I45" s="30"/>
      <c r="J45" s="30"/>
      <c r="K45" s="34"/>
    </row>
    <row r="46" spans="1:11">
      <c r="A46" s="29" t="s">
        <v>139</v>
      </c>
      <c r="B46" s="29" t="s">
        <v>130</v>
      </c>
      <c r="C46" s="30">
        <v>12</v>
      </c>
      <c r="D46" s="29" t="s">
        <v>140</v>
      </c>
      <c r="E46" s="30"/>
      <c r="F46" s="29"/>
      <c r="G46" s="29"/>
      <c r="H46" s="30"/>
      <c r="I46" s="30"/>
      <c r="J46" s="30"/>
      <c r="K46" s="34"/>
    </row>
    <row r="47" spans="1:11">
      <c r="A47" s="29" t="s">
        <v>141</v>
      </c>
      <c r="B47" s="29" t="s">
        <v>130</v>
      </c>
      <c r="C47" s="30">
        <v>4</v>
      </c>
      <c r="D47" s="29" t="s">
        <v>142</v>
      </c>
      <c r="E47" s="30"/>
      <c r="F47" s="29"/>
      <c r="G47" s="29"/>
      <c r="H47" s="30"/>
      <c r="I47" s="30"/>
      <c r="J47" s="30"/>
      <c r="K47" s="34"/>
    </row>
    <row r="48" spans="1:11">
      <c r="A48" s="29" t="s">
        <v>143</v>
      </c>
      <c r="B48" s="29" t="s">
        <v>130</v>
      </c>
      <c r="C48" s="30">
        <v>4</v>
      </c>
      <c r="D48" s="29" t="s">
        <v>142</v>
      </c>
      <c r="E48" s="30"/>
      <c r="F48" s="29"/>
      <c r="G48" s="29"/>
      <c r="H48" s="30"/>
      <c r="I48" s="30"/>
      <c r="J48" s="30"/>
      <c r="K48" s="34"/>
    </row>
    <row r="49" spans="1:11">
      <c r="A49" s="29" t="s">
        <v>144</v>
      </c>
      <c r="B49" s="29" t="s">
        <v>130</v>
      </c>
      <c r="C49" s="30">
        <v>4</v>
      </c>
      <c r="D49" s="29" t="s">
        <v>142</v>
      </c>
      <c r="E49" s="30"/>
      <c r="F49" s="29"/>
      <c r="G49" s="29"/>
      <c r="H49" s="30"/>
      <c r="I49" s="30"/>
      <c r="J49" s="30"/>
      <c r="K49" s="34"/>
    </row>
    <row r="50" spans="1:11">
      <c r="A50" s="29" t="s">
        <v>145</v>
      </c>
      <c r="B50" s="29" t="s">
        <v>146</v>
      </c>
      <c r="C50" s="30">
        <v>4</v>
      </c>
      <c r="D50" s="29" t="s">
        <v>147</v>
      </c>
      <c r="E50" s="29"/>
      <c r="F50" s="29"/>
      <c r="G50" s="29"/>
      <c r="H50" s="30"/>
      <c r="I50" s="30"/>
      <c r="J50" s="30"/>
      <c r="K50" s="34"/>
    </row>
    <row r="51" spans="1:11">
      <c r="A51" s="29"/>
      <c r="B51" s="29"/>
      <c r="C51" s="29"/>
      <c r="D51" s="29"/>
      <c r="E51" s="29"/>
      <c r="F51" s="29"/>
      <c r="G51" s="29"/>
      <c r="H51" s="30"/>
      <c r="I51" s="30"/>
      <c r="J51" s="30"/>
      <c r="K51" s="34"/>
    </row>
    <row r="52" spans="1:11">
      <c r="A52" s="29" t="s">
        <v>141</v>
      </c>
      <c r="B52" s="29" t="s">
        <v>148</v>
      </c>
      <c r="C52" s="30">
        <v>2</v>
      </c>
      <c r="D52" s="29" t="s">
        <v>140</v>
      </c>
      <c r="E52" s="29"/>
      <c r="F52" s="29"/>
      <c r="G52" s="30"/>
      <c r="H52" s="30"/>
      <c r="I52" s="30"/>
      <c r="J52" s="30"/>
      <c r="K52" s="34"/>
    </row>
    <row r="53" spans="1:11">
      <c r="A53" s="29" t="s">
        <v>143</v>
      </c>
      <c r="B53" s="29" t="s">
        <v>148</v>
      </c>
      <c r="C53" s="30">
        <v>4</v>
      </c>
      <c r="D53" s="29" t="s">
        <v>140</v>
      </c>
      <c r="E53" s="29"/>
      <c r="F53" s="29"/>
      <c r="G53" s="30"/>
      <c r="H53" s="30"/>
      <c r="I53" s="30"/>
      <c r="J53" s="30"/>
      <c r="K53" s="34"/>
    </row>
    <row r="54" spans="1:11">
      <c r="A54" s="29" t="s">
        <v>144</v>
      </c>
      <c r="B54" s="29" t="s">
        <v>148</v>
      </c>
      <c r="C54" s="30">
        <v>4</v>
      </c>
      <c r="D54" s="29" t="s">
        <v>140</v>
      </c>
      <c r="E54" s="29"/>
      <c r="F54" s="29"/>
      <c r="G54" s="30"/>
      <c r="H54" s="30"/>
      <c r="I54" s="30"/>
      <c r="J54" s="30"/>
      <c r="K54" s="34"/>
    </row>
    <row r="55" spans="1:11">
      <c r="H55" s="34"/>
      <c r="I55" s="34"/>
      <c r="J55" s="34"/>
      <c r="K55" s="34"/>
    </row>
    <row r="56" spans="1:11">
      <c r="H56" s="34"/>
      <c r="I56" s="34"/>
      <c r="J56" s="34"/>
      <c r="K56" s="34"/>
    </row>
    <row r="57" spans="1:11">
      <c r="H57" s="34"/>
      <c r="I57" s="34"/>
      <c r="J57" s="34"/>
      <c r="K57" s="34"/>
    </row>
  </sheetData>
  <autoFilter ref="A1:H36"/>
  <pageMargins left="0.35" right="0.27" top="0.23" bottom="0.26" header="0.31496062992125984" footer="0.31496062992125984"/>
  <pageSetup scale="7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X1048575"/>
  <sheetViews>
    <sheetView zoomScale="85" zoomScaleNormal="85" workbookViewId="0">
      <selection activeCell="G70" sqref="G70"/>
    </sheetView>
  </sheetViews>
  <sheetFormatPr defaultColWidth="10.28515625" defaultRowHeight="15"/>
  <cols>
    <col min="1" max="1" width="7.140625" style="1" customWidth="1"/>
    <col min="2" max="2" width="18.5703125" style="1" customWidth="1"/>
    <col min="3" max="3" width="4.28515625" style="1" bestFit="1" customWidth="1"/>
    <col min="4" max="4" width="11.7109375" style="1" bestFit="1" customWidth="1"/>
    <col min="5" max="5" width="3.140625" style="1" bestFit="1" customWidth="1"/>
    <col min="6" max="6" width="5.28515625" style="1" bestFit="1" customWidth="1"/>
    <col min="7" max="7" width="15.42578125" style="1" customWidth="1"/>
    <col min="8" max="8" width="10.5703125" style="1" customWidth="1"/>
    <col min="9" max="9" width="8.28515625" style="1" customWidth="1"/>
    <col min="10" max="10" width="13" style="1" customWidth="1"/>
    <col min="11" max="11" width="10.5703125" style="1" bestFit="1" customWidth="1"/>
    <col min="12" max="12" width="13.85546875" style="1" bestFit="1" customWidth="1"/>
    <col min="13" max="13" width="8.7109375" style="1" customWidth="1"/>
    <col min="14" max="14" width="11.140625" style="1" customWidth="1"/>
    <col min="15" max="15" width="9" style="1" customWidth="1"/>
    <col min="16" max="16" width="10.5703125" style="1" bestFit="1" customWidth="1"/>
    <col min="17" max="17" width="16.42578125" style="1" customWidth="1"/>
    <col min="18" max="18" width="12.85546875" style="1" bestFit="1" customWidth="1"/>
    <col min="19" max="20" width="10.5703125" style="1" bestFit="1" customWidth="1"/>
    <col min="21" max="21" width="12.42578125" style="1" bestFit="1" customWidth="1"/>
    <col min="22" max="22" width="16.42578125" style="1" customWidth="1"/>
    <col min="23" max="23" width="17.85546875" style="1" customWidth="1"/>
    <col min="24" max="24" width="10.5703125" style="1" bestFit="1" customWidth="1"/>
    <col min="25" max="16384" width="10.28515625" style="1"/>
  </cols>
  <sheetData>
    <row r="1" spans="1:24" s="48" customFormat="1" ht="48">
      <c r="A1" s="63" t="s">
        <v>77</v>
      </c>
      <c r="B1" s="64" t="s">
        <v>177</v>
      </c>
      <c r="C1" s="63" t="s">
        <v>178</v>
      </c>
      <c r="D1" s="63" t="s">
        <v>179</v>
      </c>
      <c r="E1" s="63" t="s">
        <v>180</v>
      </c>
      <c r="F1" s="65" t="s">
        <v>181</v>
      </c>
      <c r="G1" s="63" t="s">
        <v>182</v>
      </c>
      <c r="H1" s="63" t="s">
        <v>183</v>
      </c>
      <c r="I1" s="63" t="s">
        <v>86</v>
      </c>
      <c r="J1" s="64" t="s">
        <v>78</v>
      </c>
      <c r="K1" s="64" t="s">
        <v>30</v>
      </c>
      <c r="L1" s="64" t="s">
        <v>31</v>
      </c>
      <c r="M1" s="64" t="s">
        <v>64</v>
      </c>
      <c r="N1" s="66" t="s">
        <v>32</v>
      </c>
      <c r="O1" s="66" t="s">
        <v>76</v>
      </c>
      <c r="P1" s="66" t="s">
        <v>33</v>
      </c>
      <c r="Q1" s="66" t="s">
        <v>184</v>
      </c>
      <c r="R1" s="66" t="s">
        <v>35</v>
      </c>
      <c r="S1" s="66" t="s">
        <v>65</v>
      </c>
      <c r="T1" s="66" t="s">
        <v>37</v>
      </c>
      <c r="U1" s="67" t="s">
        <v>68</v>
      </c>
      <c r="V1" s="68" t="s">
        <v>69</v>
      </c>
      <c r="W1" s="68" t="s">
        <v>70</v>
      </c>
      <c r="X1" s="68" t="s">
        <v>73</v>
      </c>
    </row>
    <row r="2" spans="1:24" s="71" customFormat="1" ht="30" customHeight="1">
      <c r="A2" s="116">
        <v>1</v>
      </c>
      <c r="B2" s="111" t="s">
        <v>209</v>
      </c>
      <c r="C2" s="116">
        <v>1</v>
      </c>
      <c r="D2" s="116">
        <v>50</v>
      </c>
      <c r="E2" s="116">
        <v>2</v>
      </c>
      <c r="F2" s="112">
        <v>2201</v>
      </c>
      <c r="G2" s="111" t="s">
        <v>210</v>
      </c>
      <c r="H2" s="112">
        <v>10000</v>
      </c>
      <c r="I2" s="128" t="s">
        <v>189</v>
      </c>
      <c r="J2" s="111" t="s">
        <v>211</v>
      </c>
      <c r="K2" s="111">
        <v>700</v>
      </c>
      <c r="L2" s="129">
        <f>H2*1.005/K2+3</f>
        <v>17.357142857142854</v>
      </c>
      <c r="M2" s="117">
        <v>1</v>
      </c>
      <c r="N2" s="130">
        <f>60/L2*M2</f>
        <v>3.4567901234567908</v>
      </c>
      <c r="O2" s="131">
        <f>N2*22.5</f>
        <v>77.7777777777778</v>
      </c>
      <c r="P2" s="120">
        <v>0.8</v>
      </c>
      <c r="Q2" s="122">
        <f t="shared" ref="Q2:Q33" si="0">O2*P2</f>
        <v>62.222222222222243</v>
      </c>
      <c r="R2" s="122">
        <f>L2/P2</f>
        <v>21.696428571428566</v>
      </c>
      <c r="S2" s="121">
        <v>2</v>
      </c>
      <c r="T2" s="122">
        <f>Q2*S2</f>
        <v>124.44444444444449</v>
      </c>
      <c r="U2" s="70">
        <f>VLOOKUP(F2,'PENDING PO'!A12:B87,2,0)</f>
        <v>0</v>
      </c>
      <c r="V2" s="72">
        <f t="shared" ref="V2:V33" si="1">U2/T2</f>
        <v>0</v>
      </c>
      <c r="W2" s="75">
        <f t="shared" ref="W2:W33" si="2">U2*R2</f>
        <v>0</v>
      </c>
      <c r="X2" s="70">
        <f>M2*S2*21*60</f>
        <v>2520</v>
      </c>
    </row>
    <row r="3" spans="1:24" s="71" customFormat="1" ht="30" customHeight="1">
      <c r="A3" s="116">
        <v>2</v>
      </c>
      <c r="B3" s="111" t="s">
        <v>213</v>
      </c>
      <c r="C3" s="116">
        <v>2</v>
      </c>
      <c r="D3" s="116">
        <v>50</v>
      </c>
      <c r="E3" s="116">
        <v>2</v>
      </c>
      <c r="F3" s="112">
        <v>2202</v>
      </c>
      <c r="G3" s="111" t="s">
        <v>210</v>
      </c>
      <c r="H3" s="112">
        <v>2000</v>
      </c>
      <c r="I3" s="128" t="s">
        <v>189</v>
      </c>
      <c r="J3" s="111" t="s">
        <v>202</v>
      </c>
      <c r="K3" s="111">
        <v>700</v>
      </c>
      <c r="L3" s="129">
        <f>H3*1.005/K3+0.5</f>
        <v>3.371428571428571</v>
      </c>
      <c r="M3" s="117">
        <v>1</v>
      </c>
      <c r="N3" s="130">
        <f>60/L3*M3</f>
        <v>17.796610169491526</v>
      </c>
      <c r="O3" s="131">
        <f>N3*22.5</f>
        <v>400.42372881355931</v>
      </c>
      <c r="P3" s="120">
        <v>0.85</v>
      </c>
      <c r="Q3" s="122">
        <f t="shared" si="0"/>
        <v>340.36016949152543</v>
      </c>
      <c r="R3" s="122">
        <f>L3/P3</f>
        <v>3.9663865546218484</v>
      </c>
      <c r="S3" s="121">
        <v>4</v>
      </c>
      <c r="T3" s="122">
        <f>Q3*S3</f>
        <v>1361.4406779661017</v>
      </c>
      <c r="U3" s="70">
        <f>VLOOKUP(F3,'PENDING PO'!A13:B88,2,0)</f>
        <v>30</v>
      </c>
      <c r="V3" s="72">
        <f t="shared" si="1"/>
        <v>2.2035480859010272E-2</v>
      </c>
      <c r="W3" s="75">
        <f t="shared" si="2"/>
        <v>118.99159663865545</v>
      </c>
      <c r="X3" s="70"/>
    </row>
    <row r="4" spans="1:24" s="71" customFormat="1" ht="30" customHeight="1">
      <c r="A4" s="116">
        <v>3</v>
      </c>
      <c r="B4" s="111" t="s">
        <v>209</v>
      </c>
      <c r="C4" s="116">
        <v>3</v>
      </c>
      <c r="D4" s="116">
        <v>50</v>
      </c>
      <c r="E4" s="116">
        <v>2</v>
      </c>
      <c r="F4" s="112">
        <v>2203</v>
      </c>
      <c r="G4" s="113" t="s">
        <v>62</v>
      </c>
      <c r="H4" s="112">
        <v>17900</v>
      </c>
      <c r="I4" s="132" t="s">
        <v>3</v>
      </c>
      <c r="J4" s="111" t="s">
        <v>212</v>
      </c>
      <c r="K4" s="111">
        <v>600</v>
      </c>
      <c r="L4" s="129">
        <f>H4*1.005/K4+3</f>
        <v>32.982499999999995</v>
      </c>
      <c r="M4" s="117">
        <v>1</v>
      </c>
      <c r="N4" s="130">
        <f>60/L4*M4</f>
        <v>1.8191465170923977</v>
      </c>
      <c r="O4" s="131">
        <f>N4*21</f>
        <v>38.202076858940352</v>
      </c>
      <c r="P4" s="120">
        <v>0.85</v>
      </c>
      <c r="Q4" s="122">
        <f t="shared" si="0"/>
        <v>32.471765330099295</v>
      </c>
      <c r="R4" s="122">
        <f>L4/P4</f>
        <v>38.802941176470583</v>
      </c>
      <c r="S4" s="121">
        <v>12</v>
      </c>
      <c r="T4" s="122">
        <f>Q4*S4</f>
        <v>389.66118396119157</v>
      </c>
      <c r="U4" s="70">
        <f>VLOOKUP(F4,'PENDING PO'!A15:B89,2,0)</f>
        <v>0</v>
      </c>
      <c r="V4" s="72">
        <f t="shared" si="1"/>
        <v>0</v>
      </c>
      <c r="W4" s="75">
        <f t="shared" si="2"/>
        <v>0</v>
      </c>
      <c r="X4" s="70">
        <f>M4*S4*20*60</f>
        <v>14400</v>
      </c>
    </row>
    <row r="5" spans="1:24" s="71" customFormat="1" ht="30" customHeight="1">
      <c r="A5" s="116">
        <v>4</v>
      </c>
      <c r="B5" s="113">
        <v>1881</v>
      </c>
      <c r="C5" s="116">
        <v>4</v>
      </c>
      <c r="D5" s="139">
        <v>34.833333333333336</v>
      </c>
      <c r="E5" s="132"/>
      <c r="F5" s="113">
        <v>2204</v>
      </c>
      <c r="G5" s="113" t="s">
        <v>161</v>
      </c>
      <c r="H5" s="113">
        <v>24400</v>
      </c>
      <c r="I5" s="132" t="s">
        <v>3</v>
      </c>
      <c r="J5" s="113" t="s">
        <v>80</v>
      </c>
      <c r="K5" s="113">
        <v>500</v>
      </c>
      <c r="L5" s="129">
        <f>H5*1.005/K5+3</f>
        <v>52.04399999999999</v>
      </c>
      <c r="M5" s="113">
        <v>1</v>
      </c>
      <c r="N5" s="130">
        <f>60/L5*M5</f>
        <v>1.1528706479133044</v>
      </c>
      <c r="O5" s="133">
        <f>N5*21</f>
        <v>24.210283606179392</v>
      </c>
      <c r="P5" s="120">
        <v>0.85</v>
      </c>
      <c r="Q5" s="122">
        <f t="shared" si="0"/>
        <v>20.578741065252483</v>
      </c>
      <c r="R5" s="122">
        <f>L5/P5</f>
        <v>61.228235294117638</v>
      </c>
      <c r="S5" s="121">
        <v>12</v>
      </c>
      <c r="T5" s="122">
        <f>Q5*S5</f>
        <v>246.94489278302979</v>
      </c>
      <c r="U5" s="70">
        <f>VLOOKUP(F5,'PENDING PO'!A16:B92,2,0)</f>
        <v>5</v>
      </c>
      <c r="V5" s="72">
        <f t="shared" si="1"/>
        <v>2.0247432306255832E-2</v>
      </c>
      <c r="W5" s="75">
        <f t="shared" si="2"/>
        <v>306.14117647058822</v>
      </c>
      <c r="X5" s="70"/>
    </row>
    <row r="6" spans="1:24" s="71" customFormat="1" ht="30" customHeight="1">
      <c r="A6" s="116">
        <v>5</v>
      </c>
      <c r="B6" s="113">
        <v>1887</v>
      </c>
      <c r="C6" s="116">
        <v>5</v>
      </c>
      <c r="D6" s="139">
        <v>48.766666666666666</v>
      </c>
      <c r="E6" s="132"/>
      <c r="F6" s="113">
        <v>2205</v>
      </c>
      <c r="G6" s="113" t="s">
        <v>162</v>
      </c>
      <c r="H6" s="113">
        <v>17430</v>
      </c>
      <c r="I6" s="132" t="s">
        <v>3</v>
      </c>
      <c r="J6" s="113" t="s">
        <v>80</v>
      </c>
      <c r="K6" s="113">
        <v>500</v>
      </c>
      <c r="L6" s="129">
        <f>H6*1.005/K6+3</f>
        <v>38.034299999999995</v>
      </c>
      <c r="M6" s="113">
        <v>1</v>
      </c>
      <c r="N6" s="130">
        <f>60/L6*M6</f>
        <v>1.5775234459422156</v>
      </c>
      <c r="O6" s="133">
        <f>N6*21</f>
        <v>33.127992364786529</v>
      </c>
      <c r="P6" s="120">
        <v>0.85</v>
      </c>
      <c r="Q6" s="122">
        <f t="shared" si="0"/>
        <v>28.158793510068548</v>
      </c>
      <c r="R6" s="122">
        <f>L6/P6</f>
        <v>44.746235294117639</v>
      </c>
      <c r="S6" s="121">
        <v>12</v>
      </c>
      <c r="T6" s="122">
        <f>Q6*S6</f>
        <v>337.90552212082258</v>
      </c>
      <c r="U6" s="70">
        <f>VLOOKUP(F6,'PENDING PO'!A17:B93,2,0)</f>
        <v>0</v>
      </c>
      <c r="V6" s="72">
        <f t="shared" si="1"/>
        <v>0</v>
      </c>
      <c r="W6" s="75">
        <f t="shared" si="2"/>
        <v>0</v>
      </c>
      <c r="X6" s="70"/>
    </row>
    <row r="7" spans="1:24" s="71" customFormat="1" ht="30" customHeight="1">
      <c r="A7" s="116">
        <v>6</v>
      </c>
      <c r="B7" s="113">
        <v>2209</v>
      </c>
      <c r="C7" s="116">
        <v>6</v>
      </c>
      <c r="D7" s="139">
        <v>48.766666666666666</v>
      </c>
      <c r="E7" s="132"/>
      <c r="F7" s="113">
        <v>2206</v>
      </c>
      <c r="G7" s="113" t="s">
        <v>151</v>
      </c>
      <c r="H7" s="113">
        <v>10800</v>
      </c>
      <c r="I7" s="132" t="s">
        <v>3</v>
      </c>
      <c r="J7" s="113" t="s">
        <v>79</v>
      </c>
      <c r="K7" s="111">
        <v>700</v>
      </c>
      <c r="L7" s="113">
        <v>24.707999999999995</v>
      </c>
      <c r="M7" s="113">
        <v>1</v>
      </c>
      <c r="N7" s="133">
        <v>4.8567265662943182</v>
      </c>
      <c r="O7" s="133">
        <f>N7*21</f>
        <v>101.99125789218068</v>
      </c>
      <c r="P7" s="120">
        <v>0.85</v>
      </c>
      <c r="Q7" s="122">
        <f t="shared" si="0"/>
        <v>86.692569208353575</v>
      </c>
      <c r="R7" s="122">
        <v>32.943999999999996</v>
      </c>
      <c r="S7" s="121">
        <v>2</v>
      </c>
      <c r="T7" s="122">
        <v>291.40359397765911</v>
      </c>
      <c r="U7" s="70">
        <f>VLOOKUP(F7,'PENDING PO'!A18:B94,2,0)</f>
        <v>0</v>
      </c>
      <c r="V7" s="72">
        <f t="shared" si="1"/>
        <v>0</v>
      </c>
      <c r="W7" s="75">
        <f t="shared" si="2"/>
        <v>0</v>
      </c>
      <c r="X7" s="70"/>
    </row>
    <row r="8" spans="1:24" s="71" customFormat="1" ht="33.75">
      <c r="A8" s="116">
        <v>7</v>
      </c>
      <c r="B8" s="111" t="s">
        <v>12</v>
      </c>
      <c r="C8" s="116">
        <v>7</v>
      </c>
      <c r="D8" s="116">
        <v>27</v>
      </c>
      <c r="E8" s="116">
        <v>2</v>
      </c>
      <c r="F8" s="116">
        <v>2207</v>
      </c>
      <c r="G8" s="113" t="s">
        <v>13</v>
      </c>
      <c r="H8" s="112">
        <v>5000</v>
      </c>
      <c r="I8" s="121" t="s">
        <v>3</v>
      </c>
      <c r="J8" s="111" t="s">
        <v>1</v>
      </c>
      <c r="K8" s="111">
        <v>700</v>
      </c>
      <c r="L8" s="129">
        <f>H8*1.005/K8+0.5</f>
        <v>7.678571428571427</v>
      </c>
      <c r="M8" s="117">
        <v>1</v>
      </c>
      <c r="N8" s="130">
        <f t="shared" ref="N8:N48" si="3">60/L8*M8</f>
        <v>7.8139534883720945</v>
      </c>
      <c r="O8" s="131">
        <f>N8*22.5</f>
        <v>175.81395348837214</v>
      </c>
      <c r="P8" s="120">
        <v>0.85</v>
      </c>
      <c r="Q8" s="122">
        <f t="shared" si="0"/>
        <v>149.44186046511632</v>
      </c>
      <c r="R8" s="122">
        <f t="shared" ref="R8:R48" si="4">L8/P8</f>
        <v>9.0336134453781494</v>
      </c>
      <c r="S8" s="121">
        <v>4</v>
      </c>
      <c r="T8" s="122">
        <f t="shared" ref="T8:T39" si="5">Q8*S8</f>
        <v>597.76744186046528</v>
      </c>
      <c r="U8" s="70">
        <f>VLOOKUP(F8,'PENDING PO'!A19:B95,2,0)</f>
        <v>0</v>
      </c>
      <c r="V8" s="72">
        <f t="shared" si="1"/>
        <v>0</v>
      </c>
      <c r="W8" s="75">
        <f t="shared" si="2"/>
        <v>0</v>
      </c>
      <c r="X8" s="70"/>
    </row>
    <row r="9" spans="1:24" s="71" customFormat="1" ht="30" customHeight="1">
      <c r="A9" s="116">
        <v>8</v>
      </c>
      <c r="B9" s="111" t="s">
        <v>7</v>
      </c>
      <c r="C9" s="116">
        <v>8</v>
      </c>
      <c r="D9" s="116">
        <v>30</v>
      </c>
      <c r="E9" s="116">
        <v>2</v>
      </c>
      <c r="F9" s="116">
        <v>2208</v>
      </c>
      <c r="G9" s="113" t="s">
        <v>8</v>
      </c>
      <c r="H9" s="112">
        <v>5000</v>
      </c>
      <c r="I9" s="121" t="s">
        <v>3</v>
      </c>
      <c r="J9" s="111" t="s">
        <v>207</v>
      </c>
      <c r="K9" s="111">
        <v>700</v>
      </c>
      <c r="L9" s="129">
        <f>H9*1.005/K9+0.5</f>
        <v>7.678571428571427</v>
      </c>
      <c r="M9" s="117">
        <v>1</v>
      </c>
      <c r="N9" s="130">
        <f t="shared" si="3"/>
        <v>7.8139534883720945</v>
      </c>
      <c r="O9" s="131">
        <f>N9*22.5</f>
        <v>175.81395348837214</v>
      </c>
      <c r="P9" s="120">
        <v>0.85</v>
      </c>
      <c r="Q9" s="122">
        <f t="shared" si="0"/>
        <v>149.44186046511632</v>
      </c>
      <c r="R9" s="122">
        <f t="shared" si="4"/>
        <v>9.0336134453781494</v>
      </c>
      <c r="S9" s="121">
        <v>4</v>
      </c>
      <c r="T9" s="122">
        <f t="shared" si="5"/>
        <v>597.76744186046528</v>
      </c>
      <c r="U9" s="70">
        <f>VLOOKUP(F9,'PENDING PO'!A20:B96,2,0)</f>
        <v>0</v>
      </c>
      <c r="V9" s="72">
        <f t="shared" si="1"/>
        <v>0</v>
      </c>
      <c r="W9" s="75">
        <f t="shared" si="2"/>
        <v>0</v>
      </c>
      <c r="X9" s="70"/>
    </row>
    <row r="10" spans="1:24" s="71" customFormat="1" ht="30" customHeight="1">
      <c r="A10" s="116">
        <v>9</v>
      </c>
      <c r="B10" s="111" t="s">
        <v>7</v>
      </c>
      <c r="C10" s="116">
        <v>9</v>
      </c>
      <c r="D10" s="137">
        <v>80</v>
      </c>
      <c r="E10" s="137">
        <v>2</v>
      </c>
      <c r="F10" s="111">
        <v>2209</v>
      </c>
      <c r="G10" s="111" t="s">
        <v>8</v>
      </c>
      <c r="H10" s="111">
        <v>15000</v>
      </c>
      <c r="I10" s="137" t="s">
        <v>3</v>
      </c>
      <c r="J10" s="111" t="s">
        <v>79</v>
      </c>
      <c r="K10" s="111">
        <v>700</v>
      </c>
      <c r="L10" s="129">
        <f>H10*1.005/K10+3</f>
        <v>24.535714285714285</v>
      </c>
      <c r="M10" s="129">
        <v>2</v>
      </c>
      <c r="N10" s="129">
        <f t="shared" si="3"/>
        <v>4.890829694323144</v>
      </c>
      <c r="O10" s="129">
        <f>N10*21</f>
        <v>102.70742358078603</v>
      </c>
      <c r="P10" s="120">
        <v>0.85</v>
      </c>
      <c r="Q10" s="134">
        <f t="shared" si="0"/>
        <v>87.301310043668124</v>
      </c>
      <c r="R10" s="122">
        <f t="shared" si="4"/>
        <v>28.865546218487395</v>
      </c>
      <c r="S10" s="108">
        <v>2</v>
      </c>
      <c r="T10" s="134">
        <f t="shared" si="5"/>
        <v>174.60262008733625</v>
      </c>
      <c r="U10" s="70">
        <f>VLOOKUP(F10,'PENDING PO'!A21:B97,2,0)</f>
        <v>0</v>
      </c>
      <c r="V10" s="72">
        <f t="shared" si="1"/>
        <v>0</v>
      </c>
      <c r="W10" s="75">
        <f t="shared" si="2"/>
        <v>0</v>
      </c>
      <c r="X10" s="70"/>
    </row>
    <row r="11" spans="1:24" s="71" customFormat="1" ht="30" customHeight="1">
      <c r="A11" s="116">
        <v>10</v>
      </c>
      <c r="B11" s="111" t="s">
        <v>7</v>
      </c>
      <c r="C11" s="116">
        <v>10</v>
      </c>
      <c r="D11" s="137">
        <v>35</v>
      </c>
      <c r="E11" s="137">
        <v>2</v>
      </c>
      <c r="F11" s="111">
        <v>2210</v>
      </c>
      <c r="G11" s="111" t="s">
        <v>8</v>
      </c>
      <c r="H11" s="111">
        <v>15000</v>
      </c>
      <c r="I11" s="137" t="s">
        <v>3</v>
      </c>
      <c r="J11" s="111" t="s">
        <v>80</v>
      </c>
      <c r="K11" s="111">
        <v>600</v>
      </c>
      <c r="L11" s="129">
        <f>H11*1.005/K11+3</f>
        <v>28.124999999999996</v>
      </c>
      <c r="M11" s="129">
        <v>1</v>
      </c>
      <c r="N11" s="129">
        <f t="shared" si="3"/>
        <v>2.1333333333333337</v>
      </c>
      <c r="O11" s="129">
        <f>N11*21</f>
        <v>44.800000000000011</v>
      </c>
      <c r="P11" s="120">
        <v>0.85</v>
      </c>
      <c r="Q11" s="134">
        <f t="shared" si="0"/>
        <v>38.080000000000005</v>
      </c>
      <c r="R11" s="122">
        <f t="shared" si="4"/>
        <v>33.088235294117645</v>
      </c>
      <c r="S11" s="108">
        <v>12</v>
      </c>
      <c r="T11" s="134">
        <f t="shared" si="5"/>
        <v>456.96000000000004</v>
      </c>
      <c r="U11" s="70">
        <f>VLOOKUP(F11,'PENDING PO'!A22:B98,2,0)</f>
        <v>4280</v>
      </c>
      <c r="V11" s="72">
        <f t="shared" si="1"/>
        <v>9.3662464985994394</v>
      </c>
      <c r="W11" s="75">
        <f t="shared" si="2"/>
        <v>141617.64705882352</v>
      </c>
      <c r="X11" s="70"/>
    </row>
    <row r="12" spans="1:24" s="71" customFormat="1" ht="39.75" customHeight="1">
      <c r="A12" s="116">
        <v>11</v>
      </c>
      <c r="B12" s="113" t="s">
        <v>235</v>
      </c>
      <c r="C12" s="116">
        <v>11</v>
      </c>
      <c r="D12" s="137">
        <v>50</v>
      </c>
      <c r="E12" s="137">
        <v>2</v>
      </c>
      <c r="F12" s="111">
        <v>2211</v>
      </c>
      <c r="G12" s="113" t="s">
        <v>236</v>
      </c>
      <c r="H12" s="111">
        <v>45490</v>
      </c>
      <c r="I12" s="137"/>
      <c r="J12" s="111" t="s">
        <v>80</v>
      </c>
      <c r="K12" s="111">
        <v>600</v>
      </c>
      <c r="L12" s="129">
        <f>H12*1.005/K12+3</f>
        <v>79.19574999999999</v>
      </c>
      <c r="M12" s="129">
        <v>1</v>
      </c>
      <c r="N12" s="129">
        <f t="shared" si="3"/>
        <v>0.75761641249688283</v>
      </c>
      <c r="O12" s="129">
        <f>N12*21</f>
        <v>15.909944662434539</v>
      </c>
      <c r="P12" s="120">
        <v>0.85</v>
      </c>
      <c r="Q12" s="134">
        <f t="shared" si="0"/>
        <v>13.523452963069358</v>
      </c>
      <c r="R12" s="122">
        <f t="shared" si="4"/>
        <v>93.17147058823528</v>
      </c>
      <c r="S12" s="108">
        <v>12</v>
      </c>
      <c r="T12" s="134">
        <f t="shared" si="5"/>
        <v>162.28143555683229</v>
      </c>
      <c r="U12" s="70">
        <f>VLOOKUP(F12,'PENDING PO'!A22:B98,2,0)</f>
        <v>0</v>
      </c>
      <c r="V12" s="72">
        <f t="shared" si="1"/>
        <v>0</v>
      </c>
      <c r="W12" s="75">
        <f t="shared" si="2"/>
        <v>0</v>
      </c>
      <c r="X12" s="70"/>
    </row>
    <row r="13" spans="1:24" s="71" customFormat="1" ht="30" customHeight="1">
      <c r="A13" s="116">
        <v>12</v>
      </c>
      <c r="B13" s="111" t="s">
        <v>217</v>
      </c>
      <c r="C13" s="116">
        <v>12</v>
      </c>
      <c r="D13" s="116">
        <v>70</v>
      </c>
      <c r="E13" s="116">
        <v>3</v>
      </c>
      <c r="F13" s="112">
        <v>2301</v>
      </c>
      <c r="G13" s="111" t="s">
        <v>210</v>
      </c>
      <c r="H13" s="112">
        <v>12000</v>
      </c>
      <c r="I13" s="128" t="s">
        <v>189</v>
      </c>
      <c r="J13" s="111" t="s">
        <v>212</v>
      </c>
      <c r="K13" s="111">
        <v>600</v>
      </c>
      <c r="L13" s="129">
        <f>H13*1.005/K13+3</f>
        <v>23.099999999999998</v>
      </c>
      <c r="M13" s="117">
        <v>1</v>
      </c>
      <c r="N13" s="130">
        <f t="shared" si="3"/>
        <v>2.5974025974025978</v>
      </c>
      <c r="O13" s="131">
        <f>N13*21</f>
        <v>54.545454545454554</v>
      </c>
      <c r="P13" s="120">
        <v>0.8</v>
      </c>
      <c r="Q13" s="122">
        <f t="shared" si="0"/>
        <v>43.636363636363647</v>
      </c>
      <c r="R13" s="122">
        <f t="shared" si="4"/>
        <v>28.874999999999996</v>
      </c>
      <c r="S13" s="121">
        <v>12</v>
      </c>
      <c r="T13" s="122">
        <f t="shared" si="5"/>
        <v>523.63636363636374</v>
      </c>
      <c r="U13" s="70">
        <f>VLOOKUP(F13,'PENDING PO'!A23:B99,2,0)</f>
        <v>0</v>
      </c>
      <c r="V13" s="72">
        <f t="shared" si="1"/>
        <v>0</v>
      </c>
      <c r="W13" s="75">
        <f t="shared" si="2"/>
        <v>0</v>
      </c>
      <c r="X13" s="70"/>
    </row>
    <row r="14" spans="1:24" s="71" customFormat="1" ht="30" customHeight="1">
      <c r="A14" s="116">
        <v>13</v>
      </c>
      <c r="B14" s="111" t="s">
        <v>216</v>
      </c>
      <c r="C14" s="116">
        <v>13</v>
      </c>
      <c r="D14" s="116">
        <v>70</v>
      </c>
      <c r="E14" s="116">
        <v>3</v>
      </c>
      <c r="F14" s="112">
        <v>2302</v>
      </c>
      <c r="G14" s="111" t="s">
        <v>210</v>
      </c>
      <c r="H14" s="112">
        <v>7000</v>
      </c>
      <c r="I14" s="128" t="s">
        <v>189</v>
      </c>
      <c r="J14" s="111" t="s">
        <v>211</v>
      </c>
      <c r="K14" s="111">
        <v>700</v>
      </c>
      <c r="L14" s="129">
        <f>H14*1.005/K14+3</f>
        <v>13.049999999999999</v>
      </c>
      <c r="M14" s="117">
        <v>1</v>
      </c>
      <c r="N14" s="130">
        <f t="shared" si="3"/>
        <v>4.597701149425288</v>
      </c>
      <c r="O14" s="131">
        <f>N14*22.5</f>
        <v>103.44827586206898</v>
      </c>
      <c r="P14" s="120">
        <v>0.75</v>
      </c>
      <c r="Q14" s="122">
        <f t="shared" si="0"/>
        <v>77.586206896551744</v>
      </c>
      <c r="R14" s="122">
        <f t="shared" si="4"/>
        <v>17.399999999999999</v>
      </c>
      <c r="S14" s="121">
        <v>2</v>
      </c>
      <c r="T14" s="122">
        <f t="shared" si="5"/>
        <v>155.17241379310349</v>
      </c>
      <c r="U14" s="70">
        <f>VLOOKUP(F14,'PENDING PO'!A24:B100,2,0)</f>
        <v>12378</v>
      </c>
      <c r="V14" s="72">
        <f t="shared" si="1"/>
        <v>79.769333333333307</v>
      </c>
      <c r="W14" s="75">
        <f t="shared" si="2"/>
        <v>215377.19999999998</v>
      </c>
      <c r="X14" s="70"/>
    </row>
    <row r="15" spans="1:24" s="71" customFormat="1" ht="30" customHeight="1">
      <c r="A15" s="116">
        <v>14</v>
      </c>
      <c r="B15" s="111" t="s">
        <v>215</v>
      </c>
      <c r="C15" s="116">
        <v>14</v>
      </c>
      <c r="D15" s="116">
        <v>70</v>
      </c>
      <c r="E15" s="116">
        <v>3</v>
      </c>
      <c r="F15" s="112">
        <v>2303</v>
      </c>
      <c r="G15" s="111" t="s">
        <v>210</v>
      </c>
      <c r="H15" s="112">
        <v>1500</v>
      </c>
      <c r="I15" s="128" t="s">
        <v>189</v>
      </c>
      <c r="J15" s="111" t="s">
        <v>202</v>
      </c>
      <c r="K15" s="111">
        <v>700</v>
      </c>
      <c r="L15" s="129">
        <f>H15*1.005/K15+0.5</f>
        <v>2.653571428571428</v>
      </c>
      <c r="M15" s="117">
        <v>1</v>
      </c>
      <c r="N15" s="130">
        <f t="shared" si="3"/>
        <v>22.611036339165551</v>
      </c>
      <c r="O15" s="131">
        <f>N15*22.5</f>
        <v>508.74831763122489</v>
      </c>
      <c r="P15" s="120">
        <v>0.85</v>
      </c>
      <c r="Q15" s="122">
        <f t="shared" si="0"/>
        <v>432.43606998654116</v>
      </c>
      <c r="R15" s="122">
        <f t="shared" si="4"/>
        <v>3.1218487394957979</v>
      </c>
      <c r="S15" s="121">
        <v>4</v>
      </c>
      <c r="T15" s="122">
        <f t="shared" si="5"/>
        <v>1729.7442799461646</v>
      </c>
      <c r="U15" s="70">
        <f>VLOOKUP(F15,'PENDING PO'!A27:B101,2,0)</f>
        <v>8619</v>
      </c>
      <c r="V15" s="72">
        <f t="shared" si="1"/>
        <v>4.9828174603174595</v>
      </c>
      <c r="W15" s="75">
        <f t="shared" si="2"/>
        <v>26907.214285714283</v>
      </c>
      <c r="X15" s="70"/>
    </row>
    <row r="16" spans="1:24" s="71" customFormat="1" ht="30" customHeight="1">
      <c r="A16" s="116">
        <v>15</v>
      </c>
      <c r="B16" s="111" t="s">
        <v>214</v>
      </c>
      <c r="C16" s="116">
        <v>15</v>
      </c>
      <c r="D16" s="116">
        <v>70</v>
      </c>
      <c r="E16" s="116">
        <v>3</v>
      </c>
      <c r="F16" s="112">
        <v>2304</v>
      </c>
      <c r="G16" s="111" t="s">
        <v>210</v>
      </c>
      <c r="H16" s="112">
        <v>500</v>
      </c>
      <c r="I16" s="128" t="s">
        <v>189</v>
      </c>
      <c r="J16" s="113" t="s">
        <v>4</v>
      </c>
      <c r="K16" s="111">
        <v>180</v>
      </c>
      <c r="L16" s="129">
        <f>H16*1.005/K16+3</f>
        <v>5.7916666666666661</v>
      </c>
      <c r="M16" s="117">
        <v>3</v>
      </c>
      <c r="N16" s="130">
        <f t="shared" si="3"/>
        <v>31.079136690647488</v>
      </c>
      <c r="O16" s="131">
        <f>N16*20</f>
        <v>621.58273381294975</v>
      </c>
      <c r="P16" s="120">
        <v>0.65</v>
      </c>
      <c r="Q16" s="122">
        <f t="shared" si="0"/>
        <v>404.02877697841734</v>
      </c>
      <c r="R16" s="122">
        <f t="shared" si="4"/>
        <v>8.9102564102564088</v>
      </c>
      <c r="S16" s="121">
        <v>4</v>
      </c>
      <c r="T16" s="122">
        <f t="shared" si="5"/>
        <v>1616.1151079136694</v>
      </c>
      <c r="U16" s="70">
        <f>VLOOKUP(F16,'PENDING PO'!A28:B101,2,0)</f>
        <v>0</v>
      </c>
      <c r="V16" s="72">
        <f t="shared" si="1"/>
        <v>0</v>
      </c>
      <c r="W16" s="75">
        <f t="shared" si="2"/>
        <v>0</v>
      </c>
      <c r="X16" s="70"/>
    </row>
    <row r="17" spans="1:24" s="71" customFormat="1" ht="30" customHeight="1">
      <c r="A17" s="116">
        <v>16</v>
      </c>
      <c r="B17" s="111" t="s">
        <v>217</v>
      </c>
      <c r="C17" s="116">
        <v>16</v>
      </c>
      <c r="D17" s="116">
        <v>70</v>
      </c>
      <c r="E17" s="116">
        <v>3</v>
      </c>
      <c r="F17" s="112">
        <v>2305</v>
      </c>
      <c r="G17" s="111" t="s">
        <v>210</v>
      </c>
      <c r="H17" s="112">
        <v>10000</v>
      </c>
      <c r="I17" s="128" t="s">
        <v>189</v>
      </c>
      <c r="J17" s="111" t="s">
        <v>212</v>
      </c>
      <c r="K17" s="111">
        <v>600</v>
      </c>
      <c r="L17" s="129">
        <f>H17*1.005/K17+3</f>
        <v>19.749999999999996</v>
      </c>
      <c r="M17" s="117">
        <v>1</v>
      </c>
      <c r="N17" s="130">
        <f t="shared" si="3"/>
        <v>3.0379746835443044</v>
      </c>
      <c r="O17" s="131">
        <f>N17*21</f>
        <v>63.797468354430393</v>
      </c>
      <c r="P17" s="120">
        <v>0.75</v>
      </c>
      <c r="Q17" s="122">
        <f t="shared" si="0"/>
        <v>47.848101265822791</v>
      </c>
      <c r="R17" s="122">
        <f t="shared" si="4"/>
        <v>26.333333333333329</v>
      </c>
      <c r="S17" s="121">
        <v>12</v>
      </c>
      <c r="T17" s="122">
        <f t="shared" si="5"/>
        <v>574.17721518987355</v>
      </c>
      <c r="U17" s="70">
        <f>VLOOKUP(F17,'PENDING PO'!A29:B101,2,0)</f>
        <v>2079</v>
      </c>
      <c r="V17" s="72">
        <f t="shared" si="1"/>
        <v>3.6208333333333327</v>
      </c>
      <c r="W17" s="75">
        <f t="shared" si="2"/>
        <v>54746.999999999993</v>
      </c>
      <c r="X17" s="70"/>
    </row>
    <row r="18" spans="1:24" s="71" customFormat="1" ht="30" customHeight="1">
      <c r="A18" s="116">
        <v>17</v>
      </c>
      <c r="B18" s="111" t="s">
        <v>218</v>
      </c>
      <c r="C18" s="116">
        <v>17</v>
      </c>
      <c r="D18" s="116">
        <v>90</v>
      </c>
      <c r="E18" s="116">
        <v>3</v>
      </c>
      <c r="F18" s="112">
        <v>2306</v>
      </c>
      <c r="G18" s="111" t="s">
        <v>6</v>
      </c>
      <c r="H18" s="112">
        <v>1500</v>
      </c>
      <c r="I18" s="128" t="s">
        <v>3</v>
      </c>
      <c r="J18" s="111" t="s">
        <v>202</v>
      </c>
      <c r="K18" s="111">
        <v>700</v>
      </c>
      <c r="L18" s="129">
        <f>H18*1.005/K18+0.5</f>
        <v>2.653571428571428</v>
      </c>
      <c r="M18" s="117">
        <v>1</v>
      </c>
      <c r="N18" s="130">
        <f t="shared" si="3"/>
        <v>22.611036339165551</v>
      </c>
      <c r="O18" s="131">
        <f>N18*22.5</f>
        <v>508.74831763122489</v>
      </c>
      <c r="P18" s="120">
        <v>0.85</v>
      </c>
      <c r="Q18" s="122">
        <f t="shared" si="0"/>
        <v>432.43606998654116</v>
      </c>
      <c r="R18" s="122">
        <f t="shared" si="4"/>
        <v>3.1218487394957979</v>
      </c>
      <c r="S18" s="121">
        <v>4</v>
      </c>
      <c r="T18" s="122">
        <f t="shared" si="5"/>
        <v>1729.7442799461646</v>
      </c>
      <c r="U18" s="70">
        <f>VLOOKUP(F18,'PENDING PO'!A30:B101,2,0)</f>
        <v>0</v>
      </c>
      <c r="V18" s="72">
        <f t="shared" si="1"/>
        <v>0</v>
      </c>
      <c r="W18" s="75">
        <f t="shared" si="2"/>
        <v>0</v>
      </c>
      <c r="X18" s="70"/>
    </row>
    <row r="19" spans="1:24" s="71" customFormat="1" ht="30" customHeight="1">
      <c r="A19" s="116">
        <v>18</v>
      </c>
      <c r="B19" s="111" t="s">
        <v>5</v>
      </c>
      <c r="C19" s="116">
        <v>18</v>
      </c>
      <c r="D19" s="116">
        <v>70</v>
      </c>
      <c r="E19" s="116">
        <v>3</v>
      </c>
      <c r="F19" s="112">
        <v>2307</v>
      </c>
      <c r="G19" s="111" t="s">
        <v>63</v>
      </c>
      <c r="H19" s="112">
        <v>11470</v>
      </c>
      <c r="I19" s="128" t="s">
        <v>3</v>
      </c>
      <c r="J19" s="111" t="s">
        <v>212</v>
      </c>
      <c r="K19" s="111">
        <v>600</v>
      </c>
      <c r="L19" s="129">
        <f t="shared" ref="L19:L35" si="6">H19*1.005/K19+3</f>
        <v>22.212249999999997</v>
      </c>
      <c r="M19" s="117">
        <v>1</v>
      </c>
      <c r="N19" s="130">
        <f t="shared" si="3"/>
        <v>2.7012121689608213</v>
      </c>
      <c r="O19" s="131">
        <f>N19*21</f>
        <v>56.725455548177244</v>
      </c>
      <c r="P19" s="120">
        <v>0.8</v>
      </c>
      <c r="Q19" s="122">
        <f t="shared" si="0"/>
        <v>45.380364438541797</v>
      </c>
      <c r="R19" s="122">
        <f t="shared" si="4"/>
        <v>27.765312499999997</v>
      </c>
      <c r="S19" s="121">
        <v>12</v>
      </c>
      <c r="T19" s="122">
        <f t="shared" si="5"/>
        <v>544.56437326250159</v>
      </c>
      <c r="U19" s="70">
        <f>VLOOKUP(F19,'PENDING PO'!A31:B101,2,0)</f>
        <v>0</v>
      </c>
      <c r="V19" s="72">
        <f t="shared" si="1"/>
        <v>0</v>
      </c>
      <c r="W19" s="75">
        <f t="shared" si="2"/>
        <v>0</v>
      </c>
      <c r="X19" s="70"/>
    </row>
    <row r="20" spans="1:24" s="71" customFormat="1" ht="30" customHeight="1">
      <c r="A20" s="116">
        <v>19</v>
      </c>
      <c r="B20" s="111" t="s">
        <v>219</v>
      </c>
      <c r="C20" s="116">
        <v>19</v>
      </c>
      <c r="D20" s="116">
        <v>135</v>
      </c>
      <c r="E20" s="116">
        <v>3</v>
      </c>
      <c r="F20" s="112">
        <v>2310</v>
      </c>
      <c r="G20" s="111" t="s">
        <v>210</v>
      </c>
      <c r="H20" s="112">
        <v>5000</v>
      </c>
      <c r="I20" s="128" t="s">
        <v>189</v>
      </c>
      <c r="J20" s="111" t="s">
        <v>212</v>
      </c>
      <c r="K20" s="111">
        <v>600</v>
      </c>
      <c r="L20" s="129">
        <f t="shared" si="6"/>
        <v>11.374999999999998</v>
      </c>
      <c r="M20" s="117">
        <v>1</v>
      </c>
      <c r="N20" s="130">
        <f t="shared" si="3"/>
        <v>5.2747252747252755</v>
      </c>
      <c r="O20" s="131">
        <f>N20*21</f>
        <v>110.76923076923079</v>
      </c>
      <c r="P20" s="120">
        <v>0.7</v>
      </c>
      <c r="Q20" s="122">
        <f t="shared" si="0"/>
        <v>77.538461538461547</v>
      </c>
      <c r="R20" s="122">
        <f t="shared" si="4"/>
        <v>16.25</v>
      </c>
      <c r="S20" s="121">
        <v>12</v>
      </c>
      <c r="T20" s="122">
        <f t="shared" si="5"/>
        <v>930.46153846153857</v>
      </c>
      <c r="U20" s="70">
        <f>VLOOKUP(F20,'PENDING PO'!A32:B101,2,0)</f>
        <v>0</v>
      </c>
      <c r="V20" s="72">
        <f t="shared" si="1"/>
        <v>0</v>
      </c>
      <c r="W20" s="75">
        <f t="shared" si="2"/>
        <v>0</v>
      </c>
      <c r="X20" s="70"/>
    </row>
    <row r="21" spans="1:24" s="71" customFormat="1" ht="30" customHeight="1">
      <c r="A21" s="116">
        <v>20</v>
      </c>
      <c r="B21" s="111" t="s">
        <v>220</v>
      </c>
      <c r="C21" s="116">
        <v>20</v>
      </c>
      <c r="D21" s="116">
        <v>135</v>
      </c>
      <c r="E21" s="116">
        <v>3</v>
      </c>
      <c r="F21" s="112">
        <v>2311</v>
      </c>
      <c r="G21" s="111" t="s">
        <v>210</v>
      </c>
      <c r="H21" s="112">
        <v>1000</v>
      </c>
      <c r="I21" s="128" t="s">
        <v>189</v>
      </c>
      <c r="J21" s="111" t="s">
        <v>207</v>
      </c>
      <c r="K21" s="111">
        <v>700</v>
      </c>
      <c r="L21" s="129">
        <f t="shared" si="6"/>
        <v>4.4357142857142851</v>
      </c>
      <c r="M21" s="117">
        <v>1</v>
      </c>
      <c r="N21" s="130">
        <f t="shared" si="3"/>
        <v>13.52657004830918</v>
      </c>
      <c r="O21" s="131">
        <f t="shared" ref="O21:O27" si="7">N21*22.5</f>
        <v>304.34782608695656</v>
      </c>
      <c r="P21" s="120">
        <v>0.85</v>
      </c>
      <c r="Q21" s="122">
        <f t="shared" si="0"/>
        <v>258.69565217391306</v>
      </c>
      <c r="R21" s="122">
        <f t="shared" si="4"/>
        <v>5.2184873949579824</v>
      </c>
      <c r="S21" s="121">
        <v>4</v>
      </c>
      <c r="T21" s="122">
        <f t="shared" si="5"/>
        <v>1034.7826086956522</v>
      </c>
      <c r="U21" s="70">
        <f>VLOOKUP(F21,'PENDING PO'!A33:B101,2,0)</f>
        <v>49</v>
      </c>
      <c r="V21" s="72">
        <f t="shared" si="1"/>
        <v>4.7352941176470584E-2</v>
      </c>
      <c r="W21" s="75">
        <f t="shared" si="2"/>
        <v>255.70588235294113</v>
      </c>
      <c r="X21" s="70"/>
    </row>
    <row r="22" spans="1:24" s="71" customFormat="1" ht="30" customHeight="1">
      <c r="A22" s="116">
        <v>21</v>
      </c>
      <c r="B22" s="111">
        <v>1106</v>
      </c>
      <c r="C22" s="116">
        <v>21</v>
      </c>
      <c r="D22" s="137">
        <v>73.149999999999991</v>
      </c>
      <c r="E22" s="137"/>
      <c r="F22" s="111">
        <v>2313</v>
      </c>
      <c r="G22" s="111" t="s">
        <v>152</v>
      </c>
      <c r="H22" s="111">
        <v>3000</v>
      </c>
      <c r="I22" s="137" t="s">
        <v>3</v>
      </c>
      <c r="J22" s="111" t="s">
        <v>75</v>
      </c>
      <c r="K22" s="111">
        <v>700</v>
      </c>
      <c r="L22" s="111">
        <f t="shared" si="6"/>
        <v>7.3071428571428561</v>
      </c>
      <c r="M22" s="111">
        <v>1</v>
      </c>
      <c r="N22" s="135">
        <f t="shared" si="3"/>
        <v>8.2111436950146643</v>
      </c>
      <c r="O22" s="131">
        <f t="shared" si="7"/>
        <v>184.75073313782994</v>
      </c>
      <c r="P22" s="120">
        <v>0.85</v>
      </c>
      <c r="Q22" s="122">
        <f t="shared" si="0"/>
        <v>157.03812316715545</v>
      </c>
      <c r="R22" s="122">
        <f t="shared" si="4"/>
        <v>8.5966386554621845</v>
      </c>
      <c r="S22" s="121">
        <v>4</v>
      </c>
      <c r="T22" s="122">
        <f t="shared" si="5"/>
        <v>628.15249266862179</v>
      </c>
      <c r="U22" s="70">
        <f>VLOOKUP(F22,'PENDING PO'!A34:B101,2,0)</f>
        <v>4280</v>
      </c>
      <c r="V22" s="72">
        <f t="shared" si="1"/>
        <v>6.8136321195144713</v>
      </c>
      <c r="W22" s="75">
        <f t="shared" si="2"/>
        <v>36793.613445378149</v>
      </c>
      <c r="X22" s="70"/>
    </row>
    <row r="23" spans="1:24" s="71" customFormat="1" ht="30" customHeight="1">
      <c r="A23" s="116">
        <v>22</v>
      </c>
      <c r="B23" s="111">
        <v>1107</v>
      </c>
      <c r="C23" s="116">
        <v>22</v>
      </c>
      <c r="D23" s="137">
        <v>155.078</v>
      </c>
      <c r="E23" s="137"/>
      <c r="F23" s="111">
        <v>2314</v>
      </c>
      <c r="G23" s="111" t="s">
        <v>153</v>
      </c>
      <c r="H23" s="111">
        <v>1500</v>
      </c>
      <c r="I23" s="137" t="s">
        <v>3</v>
      </c>
      <c r="J23" s="111" t="s">
        <v>75</v>
      </c>
      <c r="K23" s="111">
        <v>700</v>
      </c>
      <c r="L23" s="111">
        <f t="shared" si="6"/>
        <v>5.1535714285714285</v>
      </c>
      <c r="M23" s="111">
        <v>1</v>
      </c>
      <c r="N23" s="135">
        <f t="shared" si="3"/>
        <v>11.642411642411643</v>
      </c>
      <c r="O23" s="131">
        <f t="shared" si="7"/>
        <v>261.95426195426199</v>
      </c>
      <c r="P23" s="120">
        <v>0.85</v>
      </c>
      <c r="Q23" s="122">
        <f t="shared" si="0"/>
        <v>222.66112266112268</v>
      </c>
      <c r="R23" s="122">
        <f t="shared" si="4"/>
        <v>6.0630252100840334</v>
      </c>
      <c r="S23" s="121">
        <v>4</v>
      </c>
      <c r="T23" s="122">
        <f t="shared" si="5"/>
        <v>890.6444906444907</v>
      </c>
      <c r="U23" s="70">
        <f>VLOOKUP(F23,'PENDING PO'!A35:B101,2,0)</f>
        <v>1356</v>
      </c>
      <c r="V23" s="72">
        <f t="shared" si="1"/>
        <v>1.5224929971988794</v>
      </c>
      <c r="W23" s="75">
        <f t="shared" si="2"/>
        <v>8221.4621848739498</v>
      </c>
      <c r="X23" s="70"/>
    </row>
    <row r="24" spans="1:24" s="71" customFormat="1" ht="30" customHeight="1">
      <c r="A24" s="116">
        <v>23</v>
      </c>
      <c r="B24" s="111">
        <v>2853</v>
      </c>
      <c r="C24" s="116">
        <v>23</v>
      </c>
      <c r="D24" s="137">
        <v>73.149999999999991</v>
      </c>
      <c r="E24" s="137"/>
      <c r="F24" s="111">
        <v>2315</v>
      </c>
      <c r="G24" s="111" t="s">
        <v>154</v>
      </c>
      <c r="H24" s="111">
        <v>3000</v>
      </c>
      <c r="I24" s="137" t="s">
        <v>3</v>
      </c>
      <c r="J24" s="111" t="s">
        <v>75</v>
      </c>
      <c r="K24" s="111">
        <v>700</v>
      </c>
      <c r="L24" s="111">
        <f t="shared" si="6"/>
        <v>7.3071428571428561</v>
      </c>
      <c r="M24" s="111">
        <v>1</v>
      </c>
      <c r="N24" s="135">
        <f t="shared" si="3"/>
        <v>8.2111436950146643</v>
      </c>
      <c r="O24" s="131">
        <f t="shared" si="7"/>
        <v>184.75073313782994</v>
      </c>
      <c r="P24" s="120">
        <v>0.85</v>
      </c>
      <c r="Q24" s="122">
        <f t="shared" si="0"/>
        <v>157.03812316715545</v>
      </c>
      <c r="R24" s="122">
        <f t="shared" si="4"/>
        <v>8.5966386554621845</v>
      </c>
      <c r="S24" s="121">
        <v>4</v>
      </c>
      <c r="T24" s="122">
        <f t="shared" si="5"/>
        <v>628.15249266862179</v>
      </c>
      <c r="U24" s="70">
        <f>VLOOKUP(F24,'PENDING PO'!A36:B101,2,0)</f>
        <v>12378</v>
      </c>
      <c r="V24" s="72">
        <f t="shared" si="1"/>
        <v>19.705406162464982</v>
      </c>
      <c r="W24" s="75">
        <f t="shared" si="2"/>
        <v>106409.19327731091</v>
      </c>
      <c r="X24" s="70"/>
    </row>
    <row r="25" spans="1:24" s="71" customFormat="1" ht="30" customHeight="1">
      <c r="A25" s="116">
        <v>24</v>
      </c>
      <c r="B25" s="111">
        <v>2851</v>
      </c>
      <c r="C25" s="116">
        <v>24</v>
      </c>
      <c r="D25" s="137">
        <v>146.29999999999998</v>
      </c>
      <c r="E25" s="137"/>
      <c r="F25" s="111">
        <v>2316</v>
      </c>
      <c r="G25" s="111" t="s">
        <v>155</v>
      </c>
      <c r="H25" s="111">
        <v>1500</v>
      </c>
      <c r="I25" s="137" t="s">
        <v>3</v>
      </c>
      <c r="J25" s="111" t="s">
        <v>75</v>
      </c>
      <c r="K25" s="111">
        <v>700</v>
      </c>
      <c r="L25" s="111">
        <f t="shared" si="6"/>
        <v>5.1535714285714285</v>
      </c>
      <c r="M25" s="111">
        <v>1</v>
      </c>
      <c r="N25" s="135">
        <f t="shared" si="3"/>
        <v>11.642411642411643</v>
      </c>
      <c r="O25" s="131">
        <f t="shared" si="7"/>
        <v>261.95426195426199</v>
      </c>
      <c r="P25" s="120">
        <v>0.85</v>
      </c>
      <c r="Q25" s="122">
        <f t="shared" si="0"/>
        <v>222.66112266112268</v>
      </c>
      <c r="R25" s="122">
        <f t="shared" si="4"/>
        <v>6.0630252100840334</v>
      </c>
      <c r="S25" s="121">
        <v>4</v>
      </c>
      <c r="T25" s="122">
        <f t="shared" si="5"/>
        <v>890.6444906444907</v>
      </c>
      <c r="U25" s="70">
        <f>VLOOKUP(F25,'PENDING PO'!A37:B101,2,0)</f>
        <v>8619</v>
      </c>
      <c r="V25" s="72">
        <f t="shared" si="1"/>
        <v>9.6772619047619042</v>
      </c>
      <c r="W25" s="75">
        <f t="shared" si="2"/>
        <v>52257.214285714283</v>
      </c>
      <c r="X25" s="70"/>
    </row>
    <row r="26" spans="1:24" s="71" customFormat="1" ht="30" customHeight="1">
      <c r="A26" s="116">
        <v>25</v>
      </c>
      <c r="B26" s="111">
        <v>1380</v>
      </c>
      <c r="C26" s="116">
        <v>25</v>
      </c>
      <c r="D26" s="137">
        <v>292.59999999999997</v>
      </c>
      <c r="E26" s="137"/>
      <c r="F26" s="111">
        <v>2317</v>
      </c>
      <c r="G26" s="111" t="s">
        <v>156</v>
      </c>
      <c r="H26" s="111">
        <v>1000</v>
      </c>
      <c r="I26" s="137" t="s">
        <v>3</v>
      </c>
      <c r="J26" s="111" t="s">
        <v>75</v>
      </c>
      <c r="K26" s="111">
        <v>600</v>
      </c>
      <c r="L26" s="111">
        <f t="shared" si="6"/>
        <v>4.6749999999999998</v>
      </c>
      <c r="M26" s="111">
        <v>1</v>
      </c>
      <c r="N26" s="135">
        <f t="shared" si="3"/>
        <v>12.834224598930481</v>
      </c>
      <c r="O26" s="131">
        <f t="shared" si="7"/>
        <v>288.77005347593581</v>
      </c>
      <c r="P26" s="120">
        <v>0.85</v>
      </c>
      <c r="Q26" s="122">
        <f t="shared" si="0"/>
        <v>245.45454545454544</v>
      </c>
      <c r="R26" s="122">
        <f t="shared" si="4"/>
        <v>5.5</v>
      </c>
      <c r="S26" s="121">
        <v>4</v>
      </c>
      <c r="T26" s="122">
        <f t="shared" si="5"/>
        <v>981.81818181818176</v>
      </c>
      <c r="U26" s="70">
        <f>VLOOKUP(F26,'PENDING PO'!A38:B101,2,0)</f>
        <v>2079</v>
      </c>
      <c r="V26" s="72">
        <f t="shared" si="1"/>
        <v>2.1175000000000002</v>
      </c>
      <c r="W26" s="75">
        <f t="shared" si="2"/>
        <v>11434.5</v>
      </c>
      <c r="X26" s="70"/>
    </row>
    <row r="27" spans="1:24" s="71" customFormat="1" ht="30" customHeight="1">
      <c r="A27" s="116">
        <v>26</v>
      </c>
      <c r="B27" s="111">
        <v>1377</v>
      </c>
      <c r="C27" s="116">
        <v>26</v>
      </c>
      <c r="D27" s="137">
        <v>174.16666666666666</v>
      </c>
      <c r="E27" s="137"/>
      <c r="F27" s="111">
        <v>2318</v>
      </c>
      <c r="G27" s="111" t="s">
        <v>157</v>
      </c>
      <c r="H27" s="111">
        <v>1500</v>
      </c>
      <c r="I27" s="137" t="s">
        <v>3</v>
      </c>
      <c r="J27" s="111" t="s">
        <v>75</v>
      </c>
      <c r="K27" s="111">
        <v>600</v>
      </c>
      <c r="L27" s="111">
        <f t="shared" si="6"/>
        <v>5.5124999999999993</v>
      </c>
      <c r="M27" s="111">
        <v>1</v>
      </c>
      <c r="N27" s="135">
        <f t="shared" si="3"/>
        <v>10.8843537414966</v>
      </c>
      <c r="O27" s="131">
        <f t="shared" si="7"/>
        <v>244.89795918367349</v>
      </c>
      <c r="P27" s="120">
        <v>0.85</v>
      </c>
      <c r="Q27" s="122">
        <f t="shared" si="0"/>
        <v>208.16326530612247</v>
      </c>
      <c r="R27" s="122">
        <f t="shared" si="4"/>
        <v>6.485294117647058</v>
      </c>
      <c r="S27" s="121">
        <v>4</v>
      </c>
      <c r="T27" s="122">
        <f t="shared" si="5"/>
        <v>832.65306122448987</v>
      </c>
      <c r="U27" s="70">
        <f>VLOOKUP(F27,'PENDING PO'!A39:B101,2,0)</f>
        <v>49</v>
      </c>
      <c r="V27" s="72">
        <f t="shared" si="1"/>
        <v>5.8848039215686272E-2</v>
      </c>
      <c r="W27" s="75">
        <f t="shared" si="2"/>
        <v>317.77941176470586</v>
      </c>
      <c r="X27" s="70"/>
    </row>
    <row r="28" spans="1:24" s="71" customFormat="1" ht="30" customHeight="1">
      <c r="A28" s="116">
        <v>27</v>
      </c>
      <c r="B28" s="111">
        <v>2855</v>
      </c>
      <c r="C28" s="116">
        <v>27</v>
      </c>
      <c r="D28" s="137">
        <v>73.149999999999991</v>
      </c>
      <c r="E28" s="137"/>
      <c r="F28" s="111">
        <v>2319</v>
      </c>
      <c r="G28" s="111" t="s">
        <v>158</v>
      </c>
      <c r="H28" s="111">
        <v>6500</v>
      </c>
      <c r="I28" s="137" t="s">
        <v>3</v>
      </c>
      <c r="J28" s="111" t="s">
        <v>79</v>
      </c>
      <c r="K28" s="111">
        <v>700</v>
      </c>
      <c r="L28" s="111">
        <f t="shared" si="6"/>
        <v>12.332142857142856</v>
      </c>
      <c r="M28" s="111">
        <v>1</v>
      </c>
      <c r="N28" s="135">
        <f t="shared" si="3"/>
        <v>4.8653344917463084</v>
      </c>
      <c r="O28" s="135">
        <f>N28*21</f>
        <v>102.17202432667247</v>
      </c>
      <c r="P28" s="120">
        <v>0.75</v>
      </c>
      <c r="Q28" s="122">
        <f t="shared" si="0"/>
        <v>76.629018245004346</v>
      </c>
      <c r="R28" s="122">
        <f t="shared" si="4"/>
        <v>16.44285714285714</v>
      </c>
      <c r="S28" s="121">
        <v>2</v>
      </c>
      <c r="T28" s="122">
        <f t="shared" si="5"/>
        <v>153.25803649000869</v>
      </c>
      <c r="U28" s="70">
        <f>VLOOKUP(F28,'PENDING PO'!A40:B101,2,0)</f>
        <v>0</v>
      </c>
      <c r="V28" s="72">
        <f t="shared" si="1"/>
        <v>0</v>
      </c>
      <c r="W28" s="75">
        <f t="shared" si="2"/>
        <v>0</v>
      </c>
      <c r="X28" s="70"/>
    </row>
    <row r="29" spans="1:24" s="71" customFormat="1" ht="30" customHeight="1">
      <c r="A29" s="116">
        <v>28</v>
      </c>
      <c r="B29" s="111" t="s">
        <v>170</v>
      </c>
      <c r="C29" s="116">
        <v>28</v>
      </c>
      <c r="D29" s="137">
        <v>135</v>
      </c>
      <c r="E29" s="137">
        <v>3</v>
      </c>
      <c r="F29" s="111">
        <v>2320</v>
      </c>
      <c r="G29" s="111" t="s">
        <v>155</v>
      </c>
      <c r="H29" s="111">
        <v>1000</v>
      </c>
      <c r="I29" s="137" t="s">
        <v>3</v>
      </c>
      <c r="J29" s="111" t="s">
        <v>75</v>
      </c>
      <c r="K29" s="111">
        <v>700</v>
      </c>
      <c r="L29" s="111">
        <f t="shared" si="6"/>
        <v>4.4357142857142851</v>
      </c>
      <c r="M29" s="111">
        <v>1</v>
      </c>
      <c r="N29" s="135">
        <f t="shared" si="3"/>
        <v>13.52657004830918</v>
      </c>
      <c r="O29" s="131">
        <f>N29*22.5</f>
        <v>304.34782608695656</v>
      </c>
      <c r="P29" s="120">
        <v>0.85</v>
      </c>
      <c r="Q29" s="122">
        <f t="shared" si="0"/>
        <v>258.69565217391306</v>
      </c>
      <c r="R29" s="122">
        <f t="shared" si="4"/>
        <v>5.2184873949579824</v>
      </c>
      <c r="S29" s="121">
        <v>4</v>
      </c>
      <c r="T29" s="122">
        <f t="shared" si="5"/>
        <v>1034.7826086956522</v>
      </c>
      <c r="U29" s="70">
        <f>VLOOKUP(F29,'PENDING PO'!A41:B102,2,0)</f>
        <v>0</v>
      </c>
      <c r="V29" s="72">
        <f t="shared" si="1"/>
        <v>0</v>
      </c>
      <c r="W29" s="75">
        <f t="shared" si="2"/>
        <v>0</v>
      </c>
      <c r="X29" s="70"/>
    </row>
    <row r="30" spans="1:24" s="71" customFormat="1" ht="30" customHeight="1">
      <c r="A30" s="116">
        <v>29</v>
      </c>
      <c r="B30" s="111">
        <v>2852</v>
      </c>
      <c r="C30" s="116">
        <v>29</v>
      </c>
      <c r="D30" s="137">
        <v>87.083333333333329</v>
      </c>
      <c r="E30" s="137"/>
      <c r="F30" s="111">
        <v>2321</v>
      </c>
      <c r="G30" s="111" t="s">
        <v>175</v>
      </c>
      <c r="H30" s="111">
        <v>1500</v>
      </c>
      <c r="I30" s="137" t="s">
        <v>3</v>
      </c>
      <c r="J30" s="111" t="s">
        <v>75</v>
      </c>
      <c r="K30" s="111">
        <v>700</v>
      </c>
      <c r="L30" s="111">
        <f t="shared" si="6"/>
        <v>5.1535714285714285</v>
      </c>
      <c r="M30" s="111">
        <v>1</v>
      </c>
      <c r="N30" s="135">
        <f t="shared" si="3"/>
        <v>11.642411642411643</v>
      </c>
      <c r="O30" s="131">
        <f>N30*22.5</f>
        <v>261.95426195426199</v>
      </c>
      <c r="P30" s="120">
        <v>0.85</v>
      </c>
      <c r="Q30" s="122">
        <f t="shared" si="0"/>
        <v>222.66112266112268</v>
      </c>
      <c r="R30" s="122">
        <f t="shared" si="4"/>
        <v>6.0630252100840334</v>
      </c>
      <c r="S30" s="121">
        <v>4</v>
      </c>
      <c r="T30" s="122">
        <f t="shared" si="5"/>
        <v>890.6444906444907</v>
      </c>
      <c r="U30" s="70">
        <f>VLOOKUP(F30,'PENDING PO'!A42:B103,2,0)</f>
        <v>7310</v>
      </c>
      <c r="V30" s="72">
        <f t="shared" si="1"/>
        <v>8.2075396825396822</v>
      </c>
      <c r="W30" s="75">
        <f t="shared" si="2"/>
        <v>44320.714285714283</v>
      </c>
      <c r="X30" s="70"/>
    </row>
    <row r="31" spans="1:24" s="71" customFormat="1" ht="30" customHeight="1">
      <c r="A31" s="116">
        <v>30</v>
      </c>
      <c r="B31" s="111">
        <v>2854</v>
      </c>
      <c r="C31" s="116">
        <v>30</v>
      </c>
      <c r="D31" s="137">
        <v>52.249999999999993</v>
      </c>
      <c r="E31" s="137"/>
      <c r="F31" s="111">
        <v>2322</v>
      </c>
      <c r="G31" s="111" t="s">
        <v>175</v>
      </c>
      <c r="H31" s="111">
        <v>3000</v>
      </c>
      <c r="I31" s="137" t="s">
        <v>3</v>
      </c>
      <c r="J31" s="111" t="s">
        <v>75</v>
      </c>
      <c r="K31" s="111">
        <v>700</v>
      </c>
      <c r="L31" s="111">
        <f t="shared" si="6"/>
        <v>7.3071428571428561</v>
      </c>
      <c r="M31" s="111">
        <v>1</v>
      </c>
      <c r="N31" s="135">
        <f t="shared" si="3"/>
        <v>8.2111436950146643</v>
      </c>
      <c r="O31" s="131">
        <f>N31*22.5</f>
        <v>184.75073313782994</v>
      </c>
      <c r="P31" s="120">
        <v>0.85</v>
      </c>
      <c r="Q31" s="122">
        <f t="shared" si="0"/>
        <v>157.03812316715545</v>
      </c>
      <c r="R31" s="122">
        <f t="shared" si="4"/>
        <v>8.5966386554621845</v>
      </c>
      <c r="S31" s="121">
        <v>4</v>
      </c>
      <c r="T31" s="122">
        <f t="shared" si="5"/>
        <v>628.15249266862179</v>
      </c>
      <c r="U31" s="70">
        <f>VLOOKUP(F31,'PENDING PO'!A43:B104,2,0)</f>
        <v>1356</v>
      </c>
      <c r="V31" s="72">
        <f t="shared" si="1"/>
        <v>2.1587114845938373</v>
      </c>
      <c r="W31" s="75">
        <f t="shared" si="2"/>
        <v>11657.042016806723</v>
      </c>
      <c r="X31" s="70"/>
    </row>
    <row r="32" spans="1:24" s="71" customFormat="1" ht="30" customHeight="1">
      <c r="A32" s="116">
        <v>31</v>
      </c>
      <c r="B32" s="111" t="s">
        <v>171</v>
      </c>
      <c r="C32" s="116">
        <v>31</v>
      </c>
      <c r="D32" s="137">
        <v>135</v>
      </c>
      <c r="E32" s="137">
        <v>3</v>
      </c>
      <c r="F32" s="111">
        <v>2323</v>
      </c>
      <c r="G32" s="111" t="s">
        <v>175</v>
      </c>
      <c r="H32" s="111">
        <v>1500</v>
      </c>
      <c r="I32" s="137" t="s">
        <v>3</v>
      </c>
      <c r="J32" s="111" t="s">
        <v>75</v>
      </c>
      <c r="K32" s="111">
        <v>700</v>
      </c>
      <c r="L32" s="111">
        <f t="shared" si="6"/>
        <v>5.1535714285714285</v>
      </c>
      <c r="M32" s="111">
        <v>1</v>
      </c>
      <c r="N32" s="135">
        <f t="shared" si="3"/>
        <v>11.642411642411643</v>
      </c>
      <c r="O32" s="136">
        <f>N32*21</f>
        <v>244.49064449064451</v>
      </c>
      <c r="P32" s="120">
        <v>0.85</v>
      </c>
      <c r="Q32" s="134">
        <f t="shared" si="0"/>
        <v>207.81704781704784</v>
      </c>
      <c r="R32" s="122">
        <f t="shared" si="4"/>
        <v>6.0630252100840334</v>
      </c>
      <c r="S32" s="108">
        <v>4</v>
      </c>
      <c r="T32" s="134">
        <f t="shared" si="5"/>
        <v>831.26819126819134</v>
      </c>
      <c r="U32" s="70">
        <f>VLOOKUP(F32,'PENDING PO'!A44:B105,2,0)</f>
        <v>0</v>
      </c>
      <c r="V32" s="72">
        <f t="shared" si="1"/>
        <v>0</v>
      </c>
      <c r="W32" s="75">
        <f t="shared" si="2"/>
        <v>0</v>
      </c>
      <c r="X32" s="70"/>
    </row>
    <row r="33" spans="1:24" s="71" customFormat="1" ht="30" customHeight="1">
      <c r="A33" s="116">
        <v>32</v>
      </c>
      <c r="B33" s="111" t="s">
        <v>172</v>
      </c>
      <c r="C33" s="116">
        <v>32</v>
      </c>
      <c r="D33" s="137">
        <v>70</v>
      </c>
      <c r="E33" s="137">
        <v>3</v>
      </c>
      <c r="F33" s="111">
        <v>2324</v>
      </c>
      <c r="G33" s="111" t="s">
        <v>175</v>
      </c>
      <c r="H33" s="111">
        <v>3000</v>
      </c>
      <c r="I33" s="137" t="s">
        <v>3</v>
      </c>
      <c r="J33" s="111" t="s">
        <v>75</v>
      </c>
      <c r="K33" s="111">
        <v>700</v>
      </c>
      <c r="L33" s="111">
        <f t="shared" si="6"/>
        <v>7.3071428571428561</v>
      </c>
      <c r="M33" s="111">
        <v>1</v>
      </c>
      <c r="N33" s="135">
        <f t="shared" si="3"/>
        <v>8.2111436950146643</v>
      </c>
      <c r="O33" s="136">
        <f>N33*21</f>
        <v>172.43401759530795</v>
      </c>
      <c r="P33" s="120">
        <v>0.85</v>
      </c>
      <c r="Q33" s="134">
        <f t="shared" si="0"/>
        <v>146.56891495601175</v>
      </c>
      <c r="R33" s="122">
        <f t="shared" si="4"/>
        <v>8.5966386554621845</v>
      </c>
      <c r="S33" s="108">
        <v>4</v>
      </c>
      <c r="T33" s="134">
        <f t="shared" si="5"/>
        <v>586.27565982404701</v>
      </c>
      <c r="U33" s="70">
        <f>VLOOKUP(F33,'PENDING PO'!A45:B106,2,0)</f>
        <v>0</v>
      </c>
      <c r="V33" s="72">
        <f t="shared" si="1"/>
        <v>0</v>
      </c>
      <c r="W33" s="75">
        <f t="shared" si="2"/>
        <v>0</v>
      </c>
      <c r="X33" s="70"/>
    </row>
    <row r="34" spans="1:24" s="71" customFormat="1" ht="30" customHeight="1">
      <c r="A34" s="116">
        <v>33</v>
      </c>
      <c r="B34" s="111" t="s">
        <v>173</v>
      </c>
      <c r="C34" s="116">
        <v>33</v>
      </c>
      <c r="D34" s="137">
        <v>350</v>
      </c>
      <c r="E34" s="137">
        <v>3</v>
      </c>
      <c r="F34" s="111">
        <v>2325</v>
      </c>
      <c r="G34" s="111" t="s">
        <v>6</v>
      </c>
      <c r="H34" s="111">
        <v>500</v>
      </c>
      <c r="I34" s="137" t="s">
        <v>3</v>
      </c>
      <c r="J34" s="111" t="s">
        <v>75</v>
      </c>
      <c r="K34" s="111">
        <v>500</v>
      </c>
      <c r="L34" s="111">
        <f t="shared" si="6"/>
        <v>4.0049999999999999</v>
      </c>
      <c r="M34" s="111">
        <v>1</v>
      </c>
      <c r="N34" s="135">
        <f t="shared" si="3"/>
        <v>14.981273408239701</v>
      </c>
      <c r="O34" s="136">
        <f>N34*21</f>
        <v>314.60674157303373</v>
      </c>
      <c r="P34" s="120">
        <v>0.85</v>
      </c>
      <c r="Q34" s="134">
        <f t="shared" ref="Q34:Q58" si="8">O34*P34</f>
        <v>267.41573033707868</v>
      </c>
      <c r="R34" s="122">
        <f t="shared" si="4"/>
        <v>4.7117647058823531</v>
      </c>
      <c r="S34" s="108">
        <v>4</v>
      </c>
      <c r="T34" s="134">
        <f t="shared" si="5"/>
        <v>1069.6629213483147</v>
      </c>
      <c r="U34" s="70">
        <f>VLOOKUP(F34,'PENDING PO'!A46:B107,2,0)</f>
        <v>0</v>
      </c>
      <c r="V34" s="72">
        <f t="shared" ref="V34:V58" si="9">U34/T34</f>
        <v>0</v>
      </c>
      <c r="W34" s="75">
        <f t="shared" ref="W34:W58" si="10">U34*R34</f>
        <v>0</v>
      </c>
      <c r="X34" s="70"/>
    </row>
    <row r="35" spans="1:24" s="71" customFormat="1" ht="30" customHeight="1">
      <c r="A35" s="116">
        <v>34</v>
      </c>
      <c r="B35" s="111" t="s">
        <v>172</v>
      </c>
      <c r="C35" s="116">
        <v>34</v>
      </c>
      <c r="D35" s="137">
        <v>70</v>
      </c>
      <c r="E35" s="137">
        <v>3</v>
      </c>
      <c r="F35" s="111">
        <v>2326</v>
      </c>
      <c r="G35" s="111" t="s">
        <v>6</v>
      </c>
      <c r="H35" s="111">
        <v>1500</v>
      </c>
      <c r="I35" s="137" t="s">
        <v>3</v>
      </c>
      <c r="J35" s="111" t="s">
        <v>1</v>
      </c>
      <c r="K35" s="111">
        <v>700</v>
      </c>
      <c r="L35" s="111">
        <f t="shared" si="6"/>
        <v>5.1535714285714285</v>
      </c>
      <c r="M35" s="111">
        <v>1</v>
      </c>
      <c r="N35" s="135">
        <f t="shared" si="3"/>
        <v>11.642411642411643</v>
      </c>
      <c r="O35" s="136">
        <f>N35*21</f>
        <v>244.49064449064451</v>
      </c>
      <c r="P35" s="120">
        <v>0.85</v>
      </c>
      <c r="Q35" s="134">
        <f t="shared" si="8"/>
        <v>207.81704781704784</v>
      </c>
      <c r="R35" s="122">
        <f t="shared" si="4"/>
        <v>6.0630252100840334</v>
      </c>
      <c r="S35" s="108">
        <v>4</v>
      </c>
      <c r="T35" s="134">
        <f t="shared" si="5"/>
        <v>831.26819126819134</v>
      </c>
      <c r="U35" s="70">
        <f>VLOOKUP(F35,'PENDING PO'!A47:B108,2,0)</f>
        <v>0</v>
      </c>
      <c r="V35" s="72">
        <f t="shared" si="9"/>
        <v>0</v>
      </c>
      <c r="W35" s="75">
        <f t="shared" si="10"/>
        <v>0</v>
      </c>
      <c r="X35" s="70"/>
    </row>
    <row r="36" spans="1:24" s="71" customFormat="1" ht="30" customHeight="1">
      <c r="A36" s="116">
        <v>35</v>
      </c>
      <c r="B36" s="111" t="s">
        <v>204</v>
      </c>
      <c r="C36" s="116">
        <v>35</v>
      </c>
      <c r="D36" s="116">
        <v>45</v>
      </c>
      <c r="E36" s="116">
        <v>2</v>
      </c>
      <c r="F36" s="112">
        <v>3201</v>
      </c>
      <c r="G36" s="111" t="s">
        <v>199</v>
      </c>
      <c r="H36" s="112">
        <v>1000</v>
      </c>
      <c r="I36" s="128" t="s">
        <v>189</v>
      </c>
      <c r="J36" s="113" t="s">
        <v>1</v>
      </c>
      <c r="K36" s="111">
        <v>700</v>
      </c>
      <c r="L36" s="129">
        <f>H36*1.005/K36+0.5</f>
        <v>1.9357142857142855</v>
      </c>
      <c r="M36" s="117">
        <v>1</v>
      </c>
      <c r="N36" s="130">
        <f t="shared" si="3"/>
        <v>30.996309963099634</v>
      </c>
      <c r="O36" s="131">
        <f>N36*22.5</f>
        <v>697.41697416974171</v>
      </c>
      <c r="P36" s="120">
        <v>0.85</v>
      </c>
      <c r="Q36" s="122">
        <f t="shared" si="8"/>
        <v>592.80442804428048</v>
      </c>
      <c r="R36" s="122">
        <f t="shared" si="4"/>
        <v>2.2773109243697478</v>
      </c>
      <c r="S36" s="121">
        <v>4</v>
      </c>
      <c r="T36" s="122">
        <f t="shared" si="5"/>
        <v>2371.2177121771219</v>
      </c>
      <c r="U36" s="70">
        <f>VLOOKUP(F36,'PENDING PO'!A48:B109,2,0)</f>
        <v>208</v>
      </c>
      <c r="V36" s="72">
        <f t="shared" si="9"/>
        <v>8.7718643012760653E-2</v>
      </c>
      <c r="W36" s="75">
        <f t="shared" si="10"/>
        <v>473.68067226890753</v>
      </c>
      <c r="X36" s="70"/>
    </row>
    <row r="37" spans="1:24" s="71" customFormat="1" ht="30" customHeight="1">
      <c r="A37" s="116">
        <v>36</v>
      </c>
      <c r="B37" s="111" t="s">
        <v>205</v>
      </c>
      <c r="C37" s="116">
        <v>36</v>
      </c>
      <c r="D37" s="116">
        <v>45</v>
      </c>
      <c r="E37" s="116">
        <v>2</v>
      </c>
      <c r="F37" s="112">
        <v>3202</v>
      </c>
      <c r="G37" s="111" t="s">
        <v>199</v>
      </c>
      <c r="H37" s="112">
        <v>2000</v>
      </c>
      <c r="I37" s="128" t="s">
        <v>189</v>
      </c>
      <c r="J37" s="111" t="s">
        <v>202</v>
      </c>
      <c r="K37" s="111">
        <v>700</v>
      </c>
      <c r="L37" s="129">
        <f>H37*1.005/K37+0.5</f>
        <v>3.371428571428571</v>
      </c>
      <c r="M37" s="117">
        <v>1</v>
      </c>
      <c r="N37" s="130">
        <f t="shared" si="3"/>
        <v>17.796610169491526</v>
      </c>
      <c r="O37" s="131">
        <f>N37*22.5</f>
        <v>400.42372881355931</v>
      </c>
      <c r="P37" s="120">
        <v>0.85</v>
      </c>
      <c r="Q37" s="122">
        <f t="shared" si="8"/>
        <v>340.36016949152543</v>
      </c>
      <c r="R37" s="122">
        <f t="shared" si="4"/>
        <v>3.9663865546218484</v>
      </c>
      <c r="S37" s="121">
        <v>4</v>
      </c>
      <c r="T37" s="122">
        <f t="shared" si="5"/>
        <v>1361.4406779661017</v>
      </c>
      <c r="U37" s="70">
        <f>VLOOKUP(F37,'PENDING PO'!A49:B110,2,0)</f>
        <v>4243</v>
      </c>
      <c r="V37" s="72">
        <f t="shared" si="9"/>
        <v>3.1165515094926861</v>
      </c>
      <c r="W37" s="75">
        <f t="shared" si="10"/>
        <v>16829.378151260502</v>
      </c>
      <c r="X37" s="70"/>
    </row>
    <row r="38" spans="1:24" s="71" customFormat="1" ht="30" customHeight="1">
      <c r="A38" s="116">
        <v>37</v>
      </c>
      <c r="B38" s="111" t="s">
        <v>225</v>
      </c>
      <c r="C38" s="116">
        <v>37</v>
      </c>
      <c r="D38" s="137">
        <v>50</v>
      </c>
      <c r="E38" s="137">
        <v>3</v>
      </c>
      <c r="F38" s="111">
        <v>3203</v>
      </c>
      <c r="G38" s="111" t="s">
        <v>176</v>
      </c>
      <c r="H38" s="111">
        <v>500</v>
      </c>
      <c r="I38" s="137" t="s">
        <v>3</v>
      </c>
      <c r="J38" s="111" t="s">
        <v>200</v>
      </c>
      <c r="K38" s="111">
        <v>180</v>
      </c>
      <c r="L38" s="111">
        <f>H38*1.005/K38+3</f>
        <v>5.7916666666666661</v>
      </c>
      <c r="M38" s="111">
        <v>3</v>
      </c>
      <c r="N38" s="111">
        <f t="shared" si="3"/>
        <v>31.079136690647488</v>
      </c>
      <c r="O38" s="135">
        <f>N38*20</f>
        <v>621.58273381294975</v>
      </c>
      <c r="P38" s="107">
        <v>0.65</v>
      </c>
      <c r="Q38" s="134">
        <f t="shared" si="8"/>
        <v>404.02877697841734</v>
      </c>
      <c r="R38" s="122">
        <f t="shared" si="4"/>
        <v>8.9102564102564088</v>
      </c>
      <c r="S38" s="108">
        <v>4</v>
      </c>
      <c r="T38" s="134">
        <f t="shared" si="5"/>
        <v>1616.1151079136694</v>
      </c>
      <c r="U38" s="70">
        <f>VLOOKUP(F38,'PENDING PO'!A50:B111,2,0)</f>
        <v>152</v>
      </c>
      <c r="V38" s="72">
        <f t="shared" si="9"/>
        <v>9.4052706552706533E-2</v>
      </c>
      <c r="W38" s="75">
        <f t="shared" si="10"/>
        <v>1354.3589743589741</v>
      </c>
      <c r="X38" s="70">
        <f>M38*S38*20*60</f>
        <v>14400</v>
      </c>
    </row>
    <row r="39" spans="1:24" s="71" customFormat="1" ht="30" customHeight="1">
      <c r="A39" s="116">
        <v>38</v>
      </c>
      <c r="B39" s="111" t="s">
        <v>198</v>
      </c>
      <c r="C39" s="116">
        <v>38</v>
      </c>
      <c r="D39" s="116">
        <v>70</v>
      </c>
      <c r="E39" s="116">
        <v>3</v>
      </c>
      <c r="F39" s="112">
        <v>3301</v>
      </c>
      <c r="G39" s="111" t="s">
        <v>199</v>
      </c>
      <c r="H39" s="112">
        <v>500</v>
      </c>
      <c r="I39" s="128" t="s">
        <v>189</v>
      </c>
      <c r="J39" s="111" t="s">
        <v>200</v>
      </c>
      <c r="K39" s="111">
        <v>180</v>
      </c>
      <c r="L39" s="129">
        <f>H39*1.005/K39+3</f>
        <v>5.7916666666666661</v>
      </c>
      <c r="M39" s="117">
        <v>3</v>
      </c>
      <c r="N39" s="130">
        <f t="shared" si="3"/>
        <v>31.079136690647488</v>
      </c>
      <c r="O39" s="131">
        <f>N39*20</f>
        <v>621.58273381294975</v>
      </c>
      <c r="P39" s="120">
        <v>0.65</v>
      </c>
      <c r="Q39" s="122">
        <f t="shared" si="8"/>
        <v>404.02877697841734</v>
      </c>
      <c r="R39" s="122">
        <f t="shared" si="4"/>
        <v>8.9102564102564088</v>
      </c>
      <c r="S39" s="121">
        <v>4</v>
      </c>
      <c r="T39" s="122">
        <f t="shared" si="5"/>
        <v>1616.1151079136694</v>
      </c>
      <c r="U39" s="70">
        <f>VLOOKUP(F39,'PENDING PO'!A51:B112,2,0)</f>
        <v>6873</v>
      </c>
      <c r="V39" s="72">
        <f t="shared" si="9"/>
        <v>4.2527911324786318</v>
      </c>
      <c r="W39" s="75">
        <f t="shared" si="10"/>
        <v>61240.192307692298</v>
      </c>
      <c r="X39" s="70">
        <f>M39*S39*20*60</f>
        <v>14400</v>
      </c>
    </row>
    <row r="40" spans="1:24" s="71" customFormat="1" ht="30" customHeight="1">
      <c r="A40" s="116">
        <v>39</v>
      </c>
      <c r="B40" s="111" t="s">
        <v>201</v>
      </c>
      <c r="C40" s="116">
        <v>39</v>
      </c>
      <c r="D40" s="116">
        <v>70</v>
      </c>
      <c r="E40" s="116">
        <v>3</v>
      </c>
      <c r="F40" s="112">
        <v>3302</v>
      </c>
      <c r="G40" s="111" t="s">
        <v>199</v>
      </c>
      <c r="H40" s="112">
        <v>1500</v>
      </c>
      <c r="I40" s="128" t="s">
        <v>189</v>
      </c>
      <c r="J40" s="111" t="s">
        <v>202</v>
      </c>
      <c r="K40" s="111">
        <v>700</v>
      </c>
      <c r="L40" s="129">
        <f>H40*1.005/K40+0.5</f>
        <v>2.653571428571428</v>
      </c>
      <c r="M40" s="117">
        <v>1</v>
      </c>
      <c r="N40" s="130">
        <f t="shared" si="3"/>
        <v>22.611036339165551</v>
      </c>
      <c r="O40" s="131">
        <f>N40*22.5</f>
        <v>508.74831763122489</v>
      </c>
      <c r="P40" s="120">
        <v>0.85</v>
      </c>
      <c r="Q40" s="122">
        <f t="shared" si="8"/>
        <v>432.43606998654116</v>
      </c>
      <c r="R40" s="122">
        <f t="shared" si="4"/>
        <v>3.1218487394957979</v>
      </c>
      <c r="S40" s="121">
        <v>4</v>
      </c>
      <c r="T40" s="122">
        <f t="shared" ref="T40:T58" si="11">Q40*S40</f>
        <v>1729.7442799461646</v>
      </c>
      <c r="U40" s="70">
        <f>VLOOKUP(F40,'PENDING PO'!A52:B113,2,0)</f>
        <v>11203</v>
      </c>
      <c r="V40" s="72">
        <f t="shared" si="9"/>
        <v>6.4766798941798926</v>
      </c>
      <c r="W40" s="75">
        <f t="shared" si="10"/>
        <v>34974.07142857142</v>
      </c>
      <c r="X40" s="70"/>
    </row>
    <row r="41" spans="1:24" s="71" customFormat="1" ht="30" customHeight="1">
      <c r="A41" s="116">
        <v>40</v>
      </c>
      <c r="B41" s="111" t="s">
        <v>203</v>
      </c>
      <c r="C41" s="116">
        <v>40</v>
      </c>
      <c r="D41" s="116">
        <v>70</v>
      </c>
      <c r="E41" s="116">
        <v>3</v>
      </c>
      <c r="F41" s="112">
        <v>3303</v>
      </c>
      <c r="G41" s="111" t="s">
        <v>199</v>
      </c>
      <c r="H41" s="112">
        <v>1000</v>
      </c>
      <c r="I41" s="128" t="s">
        <v>189</v>
      </c>
      <c r="J41" s="111" t="s">
        <v>202</v>
      </c>
      <c r="K41" s="111">
        <v>700</v>
      </c>
      <c r="L41" s="129">
        <f>H41*1.005/K41+0.5</f>
        <v>1.9357142857142855</v>
      </c>
      <c r="M41" s="117">
        <v>1</v>
      </c>
      <c r="N41" s="130">
        <f t="shared" si="3"/>
        <v>30.996309963099634</v>
      </c>
      <c r="O41" s="131">
        <f>N41*22.5</f>
        <v>697.41697416974171</v>
      </c>
      <c r="P41" s="120">
        <v>0.85</v>
      </c>
      <c r="Q41" s="122">
        <f t="shared" si="8"/>
        <v>592.80442804428048</v>
      </c>
      <c r="R41" s="122">
        <f t="shared" si="4"/>
        <v>2.2773109243697478</v>
      </c>
      <c r="S41" s="121">
        <v>4</v>
      </c>
      <c r="T41" s="122">
        <f t="shared" si="11"/>
        <v>2371.2177121771219</v>
      </c>
      <c r="U41" s="70">
        <f>VLOOKUP(F41,'PENDING PO'!A53:B114,2,0)</f>
        <v>0</v>
      </c>
      <c r="V41" s="72">
        <f t="shared" si="9"/>
        <v>0</v>
      </c>
      <c r="W41" s="75">
        <f t="shared" si="10"/>
        <v>0</v>
      </c>
      <c r="X41" s="70"/>
    </row>
    <row r="42" spans="1:24" s="71" customFormat="1" ht="30" customHeight="1">
      <c r="A42" s="116">
        <v>41</v>
      </c>
      <c r="B42" s="111" t="s">
        <v>174</v>
      </c>
      <c r="C42" s="116">
        <v>41</v>
      </c>
      <c r="D42" s="137">
        <v>135</v>
      </c>
      <c r="E42" s="137">
        <v>3</v>
      </c>
      <c r="F42" s="111">
        <v>3304</v>
      </c>
      <c r="G42" s="111" t="s">
        <v>176</v>
      </c>
      <c r="H42" s="111">
        <v>500</v>
      </c>
      <c r="I42" s="137" t="s">
        <v>3</v>
      </c>
      <c r="J42" s="111" t="s">
        <v>1</v>
      </c>
      <c r="K42" s="111">
        <v>700</v>
      </c>
      <c r="L42" s="111">
        <f>H42*1.005/K42+3</f>
        <v>3.7178571428571425</v>
      </c>
      <c r="M42" s="111">
        <v>1</v>
      </c>
      <c r="N42" s="111">
        <f t="shared" si="3"/>
        <v>16.138328530259368</v>
      </c>
      <c r="O42" s="135">
        <f>N42*21</f>
        <v>338.90489913544673</v>
      </c>
      <c r="P42" s="107">
        <v>0.8</v>
      </c>
      <c r="Q42" s="134">
        <f t="shared" si="8"/>
        <v>271.12391930835742</v>
      </c>
      <c r="R42" s="122">
        <f t="shared" si="4"/>
        <v>4.6473214285714279</v>
      </c>
      <c r="S42" s="108">
        <v>4</v>
      </c>
      <c r="T42" s="134">
        <f t="shared" si="11"/>
        <v>1084.4956772334297</v>
      </c>
      <c r="U42" s="70">
        <f>VLOOKUP(F42,'PENDING PO'!A54:B115,2,0)</f>
        <v>0</v>
      </c>
      <c r="V42" s="72">
        <f t="shared" si="9"/>
        <v>0</v>
      </c>
      <c r="W42" s="75">
        <f t="shared" si="10"/>
        <v>0</v>
      </c>
      <c r="X42" s="70">
        <f>M42*S42*20*60</f>
        <v>4800</v>
      </c>
    </row>
    <row r="43" spans="1:24" s="71" customFormat="1" ht="30" customHeight="1">
      <c r="A43" s="116">
        <v>42</v>
      </c>
      <c r="B43" s="111" t="s">
        <v>206</v>
      </c>
      <c r="C43" s="116">
        <v>42</v>
      </c>
      <c r="D43" s="116">
        <v>135</v>
      </c>
      <c r="E43" s="116">
        <v>3</v>
      </c>
      <c r="F43" s="112">
        <v>3310</v>
      </c>
      <c r="G43" s="111" t="s">
        <v>199</v>
      </c>
      <c r="H43" s="112">
        <v>1000</v>
      </c>
      <c r="I43" s="128" t="s">
        <v>189</v>
      </c>
      <c r="J43" s="111" t="s">
        <v>207</v>
      </c>
      <c r="K43" s="111">
        <v>700</v>
      </c>
      <c r="L43" s="129">
        <f t="shared" ref="L43:L48" si="12">H43*1.005/K43+0.5</f>
        <v>1.9357142857142855</v>
      </c>
      <c r="M43" s="117">
        <v>1</v>
      </c>
      <c r="N43" s="130">
        <f t="shared" si="3"/>
        <v>30.996309963099634</v>
      </c>
      <c r="O43" s="131">
        <f t="shared" ref="O43:O57" si="13">N43*22.5</f>
        <v>697.41697416974171</v>
      </c>
      <c r="P43" s="120">
        <v>0.85</v>
      </c>
      <c r="Q43" s="122">
        <f t="shared" si="8"/>
        <v>592.80442804428048</v>
      </c>
      <c r="R43" s="122">
        <f t="shared" si="4"/>
        <v>2.2773109243697478</v>
      </c>
      <c r="S43" s="121">
        <v>4</v>
      </c>
      <c r="T43" s="122">
        <f t="shared" si="11"/>
        <v>2371.2177121771219</v>
      </c>
      <c r="U43" s="70">
        <f>VLOOKUP(F43,'PENDING PO'!A55:B116,2,0)</f>
        <v>979</v>
      </c>
      <c r="V43" s="72">
        <f t="shared" si="9"/>
        <v>0.41286803610333017</v>
      </c>
      <c r="W43" s="75">
        <f t="shared" si="10"/>
        <v>2229.4873949579833</v>
      </c>
      <c r="X43" s="70"/>
    </row>
    <row r="44" spans="1:24" s="71" customFormat="1" ht="30" customHeight="1">
      <c r="A44" s="116">
        <v>43</v>
      </c>
      <c r="B44" s="111" t="s">
        <v>208</v>
      </c>
      <c r="C44" s="116">
        <v>43</v>
      </c>
      <c r="D44" s="116">
        <v>270</v>
      </c>
      <c r="E44" s="116">
        <v>3</v>
      </c>
      <c r="F44" s="112">
        <v>3311</v>
      </c>
      <c r="G44" s="111" t="s">
        <v>199</v>
      </c>
      <c r="H44" s="112">
        <v>500</v>
      </c>
      <c r="I44" s="128" t="s">
        <v>189</v>
      </c>
      <c r="J44" s="111" t="s">
        <v>207</v>
      </c>
      <c r="K44" s="111">
        <v>600</v>
      </c>
      <c r="L44" s="129">
        <f t="shared" si="12"/>
        <v>1.3374999999999999</v>
      </c>
      <c r="M44" s="117">
        <v>1</v>
      </c>
      <c r="N44" s="130">
        <f t="shared" si="3"/>
        <v>44.859813084112155</v>
      </c>
      <c r="O44" s="131">
        <f t="shared" si="13"/>
        <v>1009.3457943925234</v>
      </c>
      <c r="P44" s="120">
        <v>0.85</v>
      </c>
      <c r="Q44" s="122">
        <f t="shared" si="8"/>
        <v>857.9439252336449</v>
      </c>
      <c r="R44" s="122">
        <f t="shared" si="4"/>
        <v>1.5735294117647058</v>
      </c>
      <c r="S44" s="121">
        <v>4</v>
      </c>
      <c r="T44" s="122">
        <f t="shared" si="11"/>
        <v>3431.7757009345796</v>
      </c>
      <c r="U44" s="70">
        <f>VLOOKUP(F44,'PENDING PO'!A56:B117,2,0)</f>
        <v>280</v>
      </c>
      <c r="V44" s="72">
        <f t="shared" si="9"/>
        <v>8.1590413943355117E-2</v>
      </c>
      <c r="W44" s="75">
        <f t="shared" si="10"/>
        <v>440.58823529411762</v>
      </c>
      <c r="X44" s="70"/>
    </row>
    <row r="45" spans="1:24" s="71" customFormat="1" ht="30" customHeight="1">
      <c r="A45" s="116">
        <v>44</v>
      </c>
      <c r="B45" s="111" t="s">
        <v>2</v>
      </c>
      <c r="C45" s="116">
        <v>44</v>
      </c>
      <c r="D45" s="116">
        <v>90</v>
      </c>
      <c r="E45" s="116">
        <v>4</v>
      </c>
      <c r="F45" s="112">
        <v>3401</v>
      </c>
      <c r="G45" s="111" t="s">
        <v>199</v>
      </c>
      <c r="H45" s="112">
        <v>1000</v>
      </c>
      <c r="I45" s="128" t="s">
        <v>3</v>
      </c>
      <c r="J45" s="113" t="s">
        <v>1</v>
      </c>
      <c r="K45" s="111">
        <v>700</v>
      </c>
      <c r="L45" s="129">
        <f t="shared" si="12"/>
        <v>1.9357142857142855</v>
      </c>
      <c r="M45" s="117">
        <v>1</v>
      </c>
      <c r="N45" s="130">
        <f t="shared" si="3"/>
        <v>30.996309963099634</v>
      </c>
      <c r="O45" s="131">
        <f t="shared" si="13"/>
        <v>697.41697416974171</v>
      </c>
      <c r="P45" s="120">
        <v>0.85</v>
      </c>
      <c r="Q45" s="122">
        <f t="shared" si="8"/>
        <v>592.80442804428048</v>
      </c>
      <c r="R45" s="122">
        <f t="shared" si="4"/>
        <v>2.2773109243697478</v>
      </c>
      <c r="S45" s="121">
        <v>4</v>
      </c>
      <c r="T45" s="122">
        <f t="shared" si="11"/>
        <v>2371.2177121771219</v>
      </c>
      <c r="U45" s="70">
        <f>VLOOKUP(F45,'PENDING PO'!A57:B118,2,0)</f>
        <v>0</v>
      </c>
      <c r="V45" s="72">
        <f t="shared" si="9"/>
        <v>0</v>
      </c>
      <c r="W45" s="75">
        <f t="shared" si="10"/>
        <v>0</v>
      </c>
      <c r="X45" s="70"/>
    </row>
    <row r="46" spans="1:24" s="71" customFormat="1" ht="30" customHeight="1">
      <c r="A46" s="116">
        <v>45</v>
      </c>
      <c r="B46" s="111" t="s">
        <v>2</v>
      </c>
      <c r="C46" s="116">
        <v>45</v>
      </c>
      <c r="D46" s="116">
        <v>90</v>
      </c>
      <c r="E46" s="116">
        <v>4</v>
      </c>
      <c r="F46" s="112">
        <v>3402</v>
      </c>
      <c r="G46" s="111" t="s">
        <v>199</v>
      </c>
      <c r="H46" s="112">
        <v>2000</v>
      </c>
      <c r="I46" s="128" t="s">
        <v>3</v>
      </c>
      <c r="J46" s="111" t="s">
        <v>207</v>
      </c>
      <c r="K46" s="111">
        <v>700</v>
      </c>
      <c r="L46" s="129">
        <f t="shared" si="12"/>
        <v>3.371428571428571</v>
      </c>
      <c r="M46" s="117">
        <v>1</v>
      </c>
      <c r="N46" s="130">
        <f t="shared" si="3"/>
        <v>17.796610169491526</v>
      </c>
      <c r="O46" s="131">
        <f t="shared" si="13"/>
        <v>400.42372881355931</v>
      </c>
      <c r="P46" s="120">
        <v>0.85</v>
      </c>
      <c r="Q46" s="122">
        <f t="shared" si="8"/>
        <v>340.36016949152543</v>
      </c>
      <c r="R46" s="122">
        <f t="shared" si="4"/>
        <v>3.9663865546218484</v>
      </c>
      <c r="S46" s="121">
        <v>4</v>
      </c>
      <c r="T46" s="122">
        <f t="shared" si="11"/>
        <v>1361.4406779661017</v>
      </c>
      <c r="U46" s="70">
        <f>VLOOKUP(F46,'PENDING PO'!A58:B119,2,0)</f>
        <v>60</v>
      </c>
      <c r="V46" s="72">
        <f t="shared" si="9"/>
        <v>4.4070961718020545E-2</v>
      </c>
      <c r="W46" s="75">
        <f t="shared" si="10"/>
        <v>237.9831932773109</v>
      </c>
      <c r="X46" s="70"/>
    </row>
    <row r="47" spans="1:24" s="71" customFormat="1" ht="53.25" customHeight="1">
      <c r="A47" s="116">
        <v>46</v>
      </c>
      <c r="B47" s="111" t="s">
        <v>223</v>
      </c>
      <c r="C47" s="116">
        <v>46</v>
      </c>
      <c r="D47" s="116">
        <v>70</v>
      </c>
      <c r="E47" s="116">
        <v>3</v>
      </c>
      <c r="F47" s="112">
        <v>5301</v>
      </c>
      <c r="G47" s="111" t="s">
        <v>224</v>
      </c>
      <c r="H47" s="112">
        <v>1500</v>
      </c>
      <c r="I47" s="128" t="s">
        <v>189</v>
      </c>
      <c r="J47" s="111" t="s">
        <v>202</v>
      </c>
      <c r="K47" s="111">
        <v>700</v>
      </c>
      <c r="L47" s="129">
        <f t="shared" si="12"/>
        <v>2.653571428571428</v>
      </c>
      <c r="M47" s="117">
        <v>1</v>
      </c>
      <c r="N47" s="130">
        <f t="shared" si="3"/>
        <v>22.611036339165551</v>
      </c>
      <c r="O47" s="131">
        <f t="shared" si="13"/>
        <v>508.74831763122489</v>
      </c>
      <c r="P47" s="120">
        <v>0.85</v>
      </c>
      <c r="Q47" s="122">
        <f t="shared" si="8"/>
        <v>432.43606998654116</v>
      </c>
      <c r="R47" s="122">
        <f t="shared" si="4"/>
        <v>3.1218487394957979</v>
      </c>
      <c r="S47" s="121">
        <v>4</v>
      </c>
      <c r="T47" s="122">
        <f t="shared" si="11"/>
        <v>1729.7442799461646</v>
      </c>
      <c r="U47" s="70">
        <f>VLOOKUP(F47,'PENDING PO'!A59:B120,2,0)</f>
        <v>0</v>
      </c>
      <c r="V47" s="72">
        <f t="shared" si="9"/>
        <v>0</v>
      </c>
      <c r="W47" s="75">
        <f t="shared" si="10"/>
        <v>0</v>
      </c>
      <c r="X47" s="70"/>
    </row>
    <row r="48" spans="1:24" s="71" customFormat="1" ht="53.25" customHeight="1">
      <c r="A48" s="116">
        <v>47</v>
      </c>
      <c r="B48" s="111" t="s">
        <v>223</v>
      </c>
      <c r="C48" s="116">
        <v>47</v>
      </c>
      <c r="D48" s="116">
        <v>135</v>
      </c>
      <c r="E48" s="116">
        <v>3</v>
      </c>
      <c r="F48" s="112">
        <v>5302</v>
      </c>
      <c r="G48" s="111" t="s">
        <v>224</v>
      </c>
      <c r="H48" s="112">
        <v>1000</v>
      </c>
      <c r="I48" s="128" t="s">
        <v>189</v>
      </c>
      <c r="J48" s="111" t="s">
        <v>207</v>
      </c>
      <c r="K48" s="111">
        <v>700</v>
      </c>
      <c r="L48" s="129">
        <f t="shared" si="12"/>
        <v>1.9357142857142855</v>
      </c>
      <c r="M48" s="117">
        <v>1</v>
      </c>
      <c r="N48" s="130">
        <f t="shared" si="3"/>
        <v>30.996309963099634</v>
      </c>
      <c r="O48" s="131">
        <f t="shared" si="13"/>
        <v>697.41697416974171</v>
      </c>
      <c r="P48" s="120">
        <v>0.85</v>
      </c>
      <c r="Q48" s="122">
        <f t="shared" si="8"/>
        <v>592.80442804428048</v>
      </c>
      <c r="R48" s="122">
        <f t="shared" si="4"/>
        <v>2.2773109243697478</v>
      </c>
      <c r="S48" s="121">
        <v>4</v>
      </c>
      <c r="T48" s="122">
        <f t="shared" si="11"/>
        <v>2371.2177121771219</v>
      </c>
      <c r="U48" s="70">
        <f>VLOOKUP(F48,'PENDING PO'!A60:B121,2,0)</f>
        <v>0</v>
      </c>
      <c r="V48" s="72">
        <f t="shared" si="9"/>
        <v>0</v>
      </c>
      <c r="W48" s="75">
        <f t="shared" si="10"/>
        <v>0</v>
      </c>
      <c r="X48" s="70"/>
    </row>
    <row r="49" spans="1:24" s="71" customFormat="1" ht="53.25" customHeight="1">
      <c r="A49" s="116">
        <v>48</v>
      </c>
      <c r="B49" s="111">
        <v>1280</v>
      </c>
      <c r="C49" s="116">
        <v>48</v>
      </c>
      <c r="D49" s="137">
        <v>155.078</v>
      </c>
      <c r="E49" s="137"/>
      <c r="F49" s="111">
        <v>5304</v>
      </c>
      <c r="G49" s="111" t="s">
        <v>159</v>
      </c>
      <c r="H49" s="111">
        <v>1500</v>
      </c>
      <c r="I49" s="137" t="s">
        <v>3</v>
      </c>
      <c r="J49" s="111" t="s">
        <v>75</v>
      </c>
      <c r="K49" s="111">
        <v>700</v>
      </c>
      <c r="L49" s="111">
        <v>6.0149999999999997</v>
      </c>
      <c r="M49" s="111">
        <v>1</v>
      </c>
      <c r="N49" s="135">
        <v>19.950124688279303</v>
      </c>
      <c r="O49" s="131">
        <f t="shared" si="13"/>
        <v>448.87780548628433</v>
      </c>
      <c r="P49" s="120">
        <v>0.85</v>
      </c>
      <c r="Q49" s="122">
        <f t="shared" si="8"/>
        <v>381.54613466334166</v>
      </c>
      <c r="R49" s="122">
        <v>10.025</v>
      </c>
      <c r="S49" s="121">
        <v>4</v>
      </c>
      <c r="T49" s="122">
        <f t="shared" si="11"/>
        <v>1526.1845386533666</v>
      </c>
      <c r="U49" s="70">
        <f>VLOOKUP(F49,'PENDING PO'!A61:B122,2,0)</f>
        <v>180</v>
      </c>
      <c r="V49" s="72">
        <f t="shared" si="9"/>
        <v>0.11794117647058823</v>
      </c>
      <c r="W49" s="75">
        <f t="shared" si="10"/>
        <v>1804.5</v>
      </c>
      <c r="X49" s="70"/>
    </row>
    <row r="50" spans="1:24" s="71" customFormat="1" ht="53.25" customHeight="1">
      <c r="A50" s="116">
        <v>49</v>
      </c>
      <c r="B50" s="111" t="s">
        <v>150</v>
      </c>
      <c r="C50" s="116">
        <v>49</v>
      </c>
      <c r="D50" s="137">
        <v>146.29999999999998</v>
      </c>
      <c r="E50" s="137"/>
      <c r="F50" s="111">
        <v>5306</v>
      </c>
      <c r="G50" s="111" t="s">
        <v>160</v>
      </c>
      <c r="H50" s="111">
        <v>1500</v>
      </c>
      <c r="I50" s="137" t="s">
        <v>3</v>
      </c>
      <c r="J50" s="111" t="s">
        <v>75</v>
      </c>
      <c r="K50" s="111">
        <v>700</v>
      </c>
      <c r="L50" s="111">
        <v>6.0149999999999997</v>
      </c>
      <c r="M50" s="111">
        <v>1</v>
      </c>
      <c r="N50" s="135">
        <v>19.950124688279303</v>
      </c>
      <c r="O50" s="131">
        <f t="shared" si="13"/>
        <v>448.87780548628433</v>
      </c>
      <c r="P50" s="120">
        <v>0.85</v>
      </c>
      <c r="Q50" s="122">
        <f t="shared" si="8"/>
        <v>381.54613466334166</v>
      </c>
      <c r="R50" s="122">
        <v>10.025</v>
      </c>
      <c r="S50" s="121">
        <v>4</v>
      </c>
      <c r="T50" s="122">
        <f t="shared" si="11"/>
        <v>1526.1845386533666</v>
      </c>
      <c r="U50" s="70">
        <f>VLOOKUP(F50,'PENDING PO'!A61:B122,2,0)</f>
        <v>0</v>
      </c>
      <c r="V50" s="72">
        <f t="shared" si="9"/>
        <v>0</v>
      </c>
      <c r="W50" s="75">
        <f t="shared" si="10"/>
        <v>0</v>
      </c>
      <c r="X50" s="70"/>
    </row>
    <row r="51" spans="1:24" s="71" customFormat="1" ht="53.25" customHeight="1">
      <c r="A51" s="116">
        <v>50</v>
      </c>
      <c r="B51" s="113" t="s">
        <v>237</v>
      </c>
      <c r="C51" s="116">
        <v>50</v>
      </c>
      <c r="D51" s="116">
        <v>70</v>
      </c>
      <c r="E51" s="116">
        <v>3</v>
      </c>
      <c r="F51" s="112">
        <v>5307</v>
      </c>
      <c r="G51" s="111" t="s">
        <v>224</v>
      </c>
      <c r="H51" s="111">
        <v>3000</v>
      </c>
      <c r="I51" s="128" t="s">
        <v>189</v>
      </c>
      <c r="J51" s="111" t="s">
        <v>75</v>
      </c>
      <c r="K51" s="111">
        <v>700</v>
      </c>
      <c r="L51" s="129">
        <f t="shared" ref="L51:L56" si="14">H51*1.005/K51+0.5</f>
        <v>4.8071428571428561</v>
      </c>
      <c r="M51" s="117">
        <v>1</v>
      </c>
      <c r="N51" s="130">
        <f t="shared" ref="N51:N58" si="15">60/L51*M51</f>
        <v>12.481426448737002</v>
      </c>
      <c r="O51" s="131">
        <f t="shared" si="13"/>
        <v>280.83209509658252</v>
      </c>
      <c r="P51" s="120">
        <v>0.85</v>
      </c>
      <c r="Q51" s="122">
        <f t="shared" si="8"/>
        <v>238.70728083209514</v>
      </c>
      <c r="R51" s="122">
        <f t="shared" ref="R51:R58" si="16">L51/P51</f>
        <v>5.6554621848739481</v>
      </c>
      <c r="S51" s="121">
        <v>4</v>
      </c>
      <c r="T51" s="122">
        <f t="shared" si="11"/>
        <v>954.82912332838055</v>
      </c>
      <c r="U51" s="70">
        <f>VLOOKUP(F51,'PENDING PO'!A62:B123,2,0)</f>
        <v>28</v>
      </c>
      <c r="V51" s="72">
        <f t="shared" si="9"/>
        <v>2.9324618736383437E-2</v>
      </c>
      <c r="W51" s="75">
        <f t="shared" si="10"/>
        <v>158.35294117647055</v>
      </c>
      <c r="X51" s="70"/>
    </row>
    <row r="52" spans="1:24" s="71" customFormat="1" ht="53.25" customHeight="1">
      <c r="A52" s="116">
        <v>51</v>
      </c>
      <c r="B52" s="111" t="s">
        <v>221</v>
      </c>
      <c r="C52" s="116">
        <v>51</v>
      </c>
      <c r="D52" s="116">
        <v>70</v>
      </c>
      <c r="E52" s="116">
        <v>3</v>
      </c>
      <c r="F52" s="112">
        <v>6301</v>
      </c>
      <c r="G52" s="111" t="s">
        <v>222</v>
      </c>
      <c r="H52" s="112">
        <v>1500</v>
      </c>
      <c r="I52" s="128" t="s">
        <v>189</v>
      </c>
      <c r="J52" s="111" t="s">
        <v>202</v>
      </c>
      <c r="K52" s="111">
        <v>700</v>
      </c>
      <c r="L52" s="129">
        <f t="shared" si="14"/>
        <v>2.653571428571428</v>
      </c>
      <c r="M52" s="117">
        <v>1</v>
      </c>
      <c r="N52" s="130">
        <f t="shared" si="15"/>
        <v>22.611036339165551</v>
      </c>
      <c r="O52" s="131">
        <f t="shared" si="13"/>
        <v>508.74831763122489</v>
      </c>
      <c r="P52" s="120">
        <v>0.85</v>
      </c>
      <c r="Q52" s="122">
        <f t="shared" si="8"/>
        <v>432.43606998654116</v>
      </c>
      <c r="R52" s="122">
        <f t="shared" si="16"/>
        <v>3.1218487394957979</v>
      </c>
      <c r="S52" s="121">
        <v>4</v>
      </c>
      <c r="T52" s="122">
        <f t="shared" si="11"/>
        <v>1729.7442799461646</v>
      </c>
      <c r="U52" s="70">
        <f>VLOOKUP(F52,'PENDING PO'!A63:B124,2,0)</f>
        <v>20</v>
      </c>
      <c r="V52" s="72">
        <f t="shared" si="9"/>
        <v>1.1562402738873325E-2</v>
      </c>
      <c r="W52" s="75">
        <f t="shared" si="10"/>
        <v>62.436974789915958</v>
      </c>
      <c r="X52" s="70"/>
    </row>
    <row r="53" spans="1:24" s="71" customFormat="1" ht="53.25" customHeight="1">
      <c r="A53" s="116">
        <v>52</v>
      </c>
      <c r="B53" s="111" t="s">
        <v>221</v>
      </c>
      <c r="C53" s="116">
        <v>52</v>
      </c>
      <c r="D53" s="116">
        <v>135</v>
      </c>
      <c r="E53" s="116">
        <v>3</v>
      </c>
      <c r="F53" s="112">
        <v>6302</v>
      </c>
      <c r="G53" s="111" t="s">
        <v>222</v>
      </c>
      <c r="H53" s="112">
        <v>1000</v>
      </c>
      <c r="I53" s="128" t="s">
        <v>189</v>
      </c>
      <c r="J53" s="111" t="s">
        <v>207</v>
      </c>
      <c r="K53" s="111">
        <v>700</v>
      </c>
      <c r="L53" s="129">
        <f t="shared" si="14"/>
        <v>1.9357142857142855</v>
      </c>
      <c r="M53" s="117">
        <v>1</v>
      </c>
      <c r="N53" s="130">
        <f t="shared" si="15"/>
        <v>30.996309963099634</v>
      </c>
      <c r="O53" s="131">
        <f t="shared" si="13"/>
        <v>697.41697416974171</v>
      </c>
      <c r="P53" s="120">
        <v>0.85</v>
      </c>
      <c r="Q53" s="122">
        <f t="shared" si="8"/>
        <v>592.80442804428048</v>
      </c>
      <c r="R53" s="122">
        <f t="shared" si="16"/>
        <v>2.2773109243697478</v>
      </c>
      <c r="S53" s="121">
        <v>4</v>
      </c>
      <c r="T53" s="122">
        <f t="shared" si="11"/>
        <v>2371.2177121771219</v>
      </c>
      <c r="U53" s="70">
        <f>VLOOKUP(F53,'PENDING PO'!A64:B125,2,0)</f>
        <v>0</v>
      </c>
      <c r="V53" s="72">
        <f t="shared" si="9"/>
        <v>0</v>
      </c>
      <c r="W53" s="75">
        <f t="shared" si="10"/>
        <v>0</v>
      </c>
      <c r="X53" s="70"/>
    </row>
    <row r="54" spans="1:24" s="71" customFormat="1" ht="53.25" customHeight="1">
      <c r="A54" s="116">
        <v>53</v>
      </c>
      <c r="B54" s="111" t="s">
        <v>221</v>
      </c>
      <c r="C54" s="116">
        <v>53</v>
      </c>
      <c r="D54" s="116">
        <v>270</v>
      </c>
      <c r="E54" s="116">
        <v>3</v>
      </c>
      <c r="F54" s="112">
        <v>6303</v>
      </c>
      <c r="G54" s="111" t="s">
        <v>222</v>
      </c>
      <c r="H54" s="112">
        <v>500</v>
      </c>
      <c r="I54" s="128" t="s">
        <v>189</v>
      </c>
      <c r="J54" s="111" t="s">
        <v>207</v>
      </c>
      <c r="K54" s="111">
        <v>600</v>
      </c>
      <c r="L54" s="129">
        <f t="shared" si="14"/>
        <v>1.3374999999999999</v>
      </c>
      <c r="M54" s="117">
        <v>1</v>
      </c>
      <c r="N54" s="130">
        <f t="shared" si="15"/>
        <v>44.859813084112155</v>
      </c>
      <c r="O54" s="131">
        <f t="shared" si="13"/>
        <v>1009.3457943925234</v>
      </c>
      <c r="P54" s="120">
        <v>0.85</v>
      </c>
      <c r="Q54" s="122">
        <f t="shared" si="8"/>
        <v>857.9439252336449</v>
      </c>
      <c r="R54" s="122">
        <f t="shared" si="16"/>
        <v>1.5735294117647058</v>
      </c>
      <c r="S54" s="121">
        <v>4</v>
      </c>
      <c r="T54" s="122">
        <f t="shared" si="11"/>
        <v>3431.7757009345796</v>
      </c>
      <c r="U54" s="70">
        <f>VLOOKUP(F54,'PENDING PO'!A65:B126,2,0)</f>
        <v>20</v>
      </c>
      <c r="V54" s="72">
        <f t="shared" si="9"/>
        <v>5.8278867102396509E-3</v>
      </c>
      <c r="W54" s="75">
        <f t="shared" si="10"/>
        <v>31.470588235294116</v>
      </c>
      <c r="X54" s="70"/>
    </row>
    <row r="55" spans="1:24" s="71" customFormat="1" ht="53.25" customHeight="1">
      <c r="A55" s="116">
        <v>54</v>
      </c>
      <c r="B55" s="111" t="s">
        <v>9</v>
      </c>
      <c r="C55" s="116">
        <v>54</v>
      </c>
      <c r="D55" s="116">
        <v>70</v>
      </c>
      <c r="E55" s="116">
        <v>3</v>
      </c>
      <c r="F55" s="112">
        <v>6304</v>
      </c>
      <c r="G55" s="111" t="s">
        <v>10</v>
      </c>
      <c r="H55" s="112">
        <v>1500</v>
      </c>
      <c r="I55" s="128" t="s">
        <v>189</v>
      </c>
      <c r="J55" s="111" t="s">
        <v>202</v>
      </c>
      <c r="K55" s="111">
        <v>700</v>
      </c>
      <c r="L55" s="129">
        <f t="shared" si="14"/>
        <v>2.653571428571428</v>
      </c>
      <c r="M55" s="117">
        <v>1</v>
      </c>
      <c r="N55" s="130">
        <f t="shared" si="15"/>
        <v>22.611036339165551</v>
      </c>
      <c r="O55" s="131">
        <f t="shared" si="13"/>
        <v>508.74831763122489</v>
      </c>
      <c r="P55" s="120">
        <v>0.85</v>
      </c>
      <c r="Q55" s="122">
        <f t="shared" si="8"/>
        <v>432.43606998654116</v>
      </c>
      <c r="R55" s="122">
        <f t="shared" si="16"/>
        <v>3.1218487394957979</v>
      </c>
      <c r="S55" s="121">
        <v>4</v>
      </c>
      <c r="T55" s="122">
        <f t="shared" si="11"/>
        <v>1729.7442799461646</v>
      </c>
      <c r="U55" s="70">
        <f>VLOOKUP(F55,'PENDING PO'!A66:B127,2,0)</f>
        <v>0</v>
      </c>
      <c r="V55" s="72">
        <f t="shared" si="9"/>
        <v>0</v>
      </c>
      <c r="W55" s="75">
        <f t="shared" si="10"/>
        <v>0</v>
      </c>
      <c r="X55" s="70"/>
    </row>
    <row r="56" spans="1:24" s="71" customFormat="1" ht="53.25" customHeight="1">
      <c r="A56" s="116">
        <v>55</v>
      </c>
      <c r="B56" s="111" t="s">
        <v>11</v>
      </c>
      <c r="C56" s="116">
        <v>55</v>
      </c>
      <c r="D56" s="116">
        <v>135</v>
      </c>
      <c r="E56" s="116">
        <v>3</v>
      </c>
      <c r="F56" s="112">
        <v>6305</v>
      </c>
      <c r="G56" s="111" t="s">
        <v>10</v>
      </c>
      <c r="H56" s="112">
        <v>1000</v>
      </c>
      <c r="I56" s="128" t="s">
        <v>189</v>
      </c>
      <c r="J56" s="111" t="s">
        <v>207</v>
      </c>
      <c r="K56" s="111">
        <v>700</v>
      </c>
      <c r="L56" s="129">
        <f t="shared" si="14"/>
        <v>1.9357142857142855</v>
      </c>
      <c r="M56" s="117">
        <v>1</v>
      </c>
      <c r="N56" s="130">
        <f t="shared" si="15"/>
        <v>30.996309963099634</v>
      </c>
      <c r="O56" s="131">
        <f t="shared" si="13"/>
        <v>697.41697416974171</v>
      </c>
      <c r="P56" s="120">
        <v>0.85</v>
      </c>
      <c r="Q56" s="122">
        <f t="shared" si="8"/>
        <v>592.80442804428048</v>
      </c>
      <c r="R56" s="122">
        <f t="shared" si="16"/>
        <v>2.2773109243697478</v>
      </c>
      <c r="S56" s="121">
        <v>4</v>
      </c>
      <c r="T56" s="122">
        <f t="shared" si="11"/>
        <v>2371.2177121771219</v>
      </c>
      <c r="U56" s="70">
        <f>VLOOKUP(F56,'PENDING PO'!A67:B128,2,0)</f>
        <v>0</v>
      </c>
      <c r="V56" s="72">
        <f t="shared" si="9"/>
        <v>0</v>
      </c>
      <c r="W56" s="75">
        <f t="shared" si="10"/>
        <v>0</v>
      </c>
      <c r="X56" s="70"/>
    </row>
    <row r="57" spans="1:24" s="71" customFormat="1" ht="22.5">
      <c r="A57" s="116">
        <v>56</v>
      </c>
      <c r="B57" s="111" t="s">
        <v>28</v>
      </c>
      <c r="C57" s="116">
        <v>56</v>
      </c>
      <c r="D57" s="137">
        <v>35</v>
      </c>
      <c r="E57" s="137">
        <v>1</v>
      </c>
      <c r="F57" s="111">
        <v>7101</v>
      </c>
      <c r="G57" s="113" t="s">
        <v>29</v>
      </c>
      <c r="H57" s="112">
        <v>10000</v>
      </c>
      <c r="I57" s="121" t="s">
        <v>3</v>
      </c>
      <c r="J57" s="111" t="s">
        <v>211</v>
      </c>
      <c r="K57" s="111">
        <v>700</v>
      </c>
      <c r="L57" s="129">
        <f>H57*1.005/K57+3</f>
        <v>17.357142857142854</v>
      </c>
      <c r="M57" s="117">
        <v>1</v>
      </c>
      <c r="N57" s="130">
        <f t="shared" si="15"/>
        <v>3.4567901234567908</v>
      </c>
      <c r="O57" s="131">
        <f t="shared" si="13"/>
        <v>77.7777777777778</v>
      </c>
      <c r="P57" s="120">
        <v>0.85</v>
      </c>
      <c r="Q57" s="122">
        <f t="shared" si="8"/>
        <v>66.111111111111128</v>
      </c>
      <c r="R57" s="122">
        <f t="shared" si="16"/>
        <v>20.420168067226889</v>
      </c>
      <c r="S57" s="121">
        <v>2</v>
      </c>
      <c r="T57" s="122">
        <f t="shared" si="11"/>
        <v>132.22222222222226</v>
      </c>
      <c r="U57" s="70">
        <f>VLOOKUP(F57,'PENDING PO'!A68:B129,2,0)</f>
        <v>0</v>
      </c>
      <c r="V57" s="72">
        <f t="shared" si="9"/>
        <v>0</v>
      </c>
      <c r="W57" s="75">
        <f t="shared" si="10"/>
        <v>0</v>
      </c>
      <c r="X57" s="70"/>
    </row>
    <row r="58" spans="1:24" s="71" customFormat="1" ht="33.75">
      <c r="A58" s="116">
        <v>57</v>
      </c>
      <c r="B58" s="111" t="s">
        <v>23</v>
      </c>
      <c r="C58" s="116">
        <v>57</v>
      </c>
      <c r="D58" s="137">
        <v>35</v>
      </c>
      <c r="E58" s="137">
        <v>1</v>
      </c>
      <c r="F58" s="111">
        <v>7104</v>
      </c>
      <c r="G58" s="113" t="s">
        <v>38</v>
      </c>
      <c r="H58" s="112">
        <v>24100</v>
      </c>
      <c r="I58" s="121" t="s">
        <v>3</v>
      </c>
      <c r="J58" s="111" t="s">
        <v>212</v>
      </c>
      <c r="K58" s="111">
        <v>500</v>
      </c>
      <c r="L58" s="129">
        <f>H58*1.005/K58+3</f>
        <v>51.440999999999995</v>
      </c>
      <c r="M58" s="117">
        <v>1</v>
      </c>
      <c r="N58" s="130">
        <f t="shared" si="15"/>
        <v>1.1663847903423341</v>
      </c>
      <c r="O58" s="131">
        <f>N58*21</f>
        <v>24.494080597189015</v>
      </c>
      <c r="P58" s="120">
        <v>0.9</v>
      </c>
      <c r="Q58" s="122">
        <f t="shared" si="8"/>
        <v>22.044672537470113</v>
      </c>
      <c r="R58" s="122">
        <f t="shared" si="16"/>
        <v>57.156666666666659</v>
      </c>
      <c r="S58" s="121">
        <v>12</v>
      </c>
      <c r="T58" s="122">
        <f t="shared" si="11"/>
        <v>264.53607044964133</v>
      </c>
      <c r="U58" s="70">
        <f>VLOOKUP(F58,'PENDING PO'!A70:B131,2,0)</f>
        <v>1536</v>
      </c>
      <c r="V58" s="72">
        <f t="shared" si="9"/>
        <v>5.8063915343915342</v>
      </c>
      <c r="W58" s="75">
        <f t="shared" si="10"/>
        <v>87792.639999999985</v>
      </c>
      <c r="X58" s="70"/>
    </row>
    <row r="59" spans="1:24" s="71" customFormat="1">
      <c r="A59" s="36"/>
      <c r="B59" s="37"/>
      <c r="C59" s="37"/>
      <c r="D59" s="124"/>
      <c r="E59" s="124"/>
      <c r="F59" s="37"/>
      <c r="G59" s="125"/>
      <c r="H59" s="39"/>
      <c r="I59" s="1"/>
      <c r="J59" s="37"/>
      <c r="K59" s="37"/>
      <c r="L59" s="40"/>
      <c r="M59" s="41"/>
      <c r="N59" s="126"/>
      <c r="O59" s="127"/>
      <c r="P59" s="3"/>
      <c r="Q59" s="2"/>
      <c r="R59" s="2"/>
      <c r="S59" s="1"/>
      <c r="T59" s="2"/>
      <c r="V59" s="98"/>
      <c r="W59" s="97"/>
    </row>
    <row r="60" spans="1:24" ht="20.25" customHeight="1">
      <c r="B60" s="37"/>
      <c r="C60" s="37"/>
      <c r="D60" s="124"/>
      <c r="E60" s="124"/>
      <c r="F60" s="37"/>
      <c r="G60" s="38"/>
      <c r="H60" s="39"/>
      <c r="J60" s="37"/>
      <c r="K60" s="37"/>
      <c r="L60" s="40"/>
      <c r="M60" s="41"/>
      <c r="N60" s="42"/>
      <c r="O60" s="43"/>
      <c r="P60" s="3"/>
      <c r="Q60" s="2"/>
      <c r="R60" s="2"/>
      <c r="T60" s="2"/>
      <c r="U60" s="47">
        <f>SUM(U2:U58)</f>
        <v>90649</v>
      </c>
      <c r="V60" s="2"/>
    </row>
    <row r="61" spans="1:24">
      <c r="B61" s="37"/>
      <c r="C61" s="37"/>
      <c r="D61" s="124"/>
      <c r="E61" s="124"/>
      <c r="F61" s="37"/>
      <c r="G61" s="38"/>
      <c r="H61" s="39"/>
      <c r="J61" s="37"/>
      <c r="K61" s="37"/>
      <c r="L61" s="40"/>
      <c r="M61" s="41"/>
      <c r="N61" s="42"/>
      <c r="O61" s="43"/>
      <c r="P61" s="3"/>
      <c r="Q61" s="2"/>
      <c r="R61" s="2"/>
      <c r="T61" s="2"/>
      <c r="V61" s="2"/>
    </row>
    <row r="62" spans="1:24">
      <c r="E62" s="140" t="s">
        <v>71</v>
      </c>
    </row>
    <row r="63" spans="1:24">
      <c r="E63" s="140" t="s">
        <v>72</v>
      </c>
    </row>
    <row r="1048571" spans="20:20" ht="15.75">
      <c r="T1048571" s="17"/>
    </row>
    <row r="1048572" spans="20:20" ht="15.75">
      <c r="T1048572" s="17"/>
    </row>
    <row r="1048573" spans="20:20" ht="15.75">
      <c r="T1048573" s="17"/>
    </row>
    <row r="1048574" spans="20:20" ht="15.75">
      <c r="T1048574" s="17"/>
    </row>
    <row r="1048575" spans="20:20" ht="15.75">
      <c r="T1048575" s="17"/>
    </row>
  </sheetData>
  <sortState ref="A2:X1048575">
    <sortCondition ref="F1:F1048575"/>
  </sortState>
  <pageMargins left="0.51181102362204722" right="0.31496062992125984" top="0.15748031496062992" bottom="0.15748031496062992" header="0.11811023622047245" footer="0.11811023622047245"/>
  <pageSetup paperSize="9" fitToWidth="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3:E12"/>
  <sheetViews>
    <sheetView tabSelected="1" workbookViewId="0">
      <selection activeCell="H15" sqref="H15"/>
    </sheetView>
  </sheetViews>
  <sheetFormatPr defaultRowHeight="15"/>
  <cols>
    <col min="2" max="2" width="15.28515625" style="12" customWidth="1"/>
    <col min="3" max="3" width="14.5703125" customWidth="1"/>
    <col min="4" max="4" width="16" style="12" customWidth="1"/>
    <col min="5" max="5" width="11.42578125" customWidth="1"/>
  </cols>
  <sheetData>
    <row r="3" spans="1:5">
      <c r="A3" s="44"/>
      <c r="B3" s="144" t="s">
        <v>149</v>
      </c>
      <c r="C3" s="145"/>
      <c r="D3" s="146"/>
      <c r="E3" s="44"/>
    </row>
    <row r="4" spans="1:5">
      <c r="B4" s="141"/>
      <c r="C4" s="142"/>
      <c r="D4" s="143">
        <f ca="1">TODAY()</f>
        <v>46237</v>
      </c>
    </row>
    <row r="5" spans="1:5" s="13" customFormat="1" ht="30">
      <c r="A5" s="89"/>
      <c r="B5" s="25" t="s">
        <v>77</v>
      </c>
      <c r="C5" s="26" t="s">
        <v>78</v>
      </c>
      <c r="D5" s="27" t="s">
        <v>69</v>
      </c>
      <c r="E5" s="89"/>
    </row>
    <row r="6" spans="1:5" s="14" customFormat="1" ht="15.75">
      <c r="B6" s="16">
        <v>1</v>
      </c>
      <c r="C6" s="17" t="s">
        <v>4</v>
      </c>
      <c r="D6" s="18">
        <f>'Cycle time-Filaments'!V16+'Cycle time-Filaments'!V38+'Cycle time-Filaments'!V39</f>
        <v>4.3468438390313384</v>
      </c>
    </row>
    <row r="7" spans="1:5" s="14" customFormat="1" ht="15.75">
      <c r="B7" s="16">
        <v>2</v>
      </c>
      <c r="C7" s="17" t="s">
        <v>1</v>
      </c>
      <c r="D7" s="18">
        <f>'Cycle time-Filaments'!V3+'Cycle time-Filaments'!V8+'Cycle time-Filaments'!V15+'Cycle time-Filaments'!V18+'Cycle time-Filaments'!V35+'Cycle time-Filaments'!V36+'Cycle time-Filaments'!V37+'Cycle time-Filaments'!V40+'Cycle time-Filaments'!V41+'Cycle time-Filaments'!V42+'Cycle time-Filaments'!V45+'Cycle time-Filaments'!V47+'Cycle time-Filaments'!V52+'Cycle time-Filaments'!V55</f>
        <v>14.697365390600682</v>
      </c>
    </row>
    <row r="8" spans="1:5" s="14" customFormat="1" ht="15.75">
      <c r="B8" s="16">
        <v>3</v>
      </c>
      <c r="C8" s="17" t="s">
        <v>79</v>
      </c>
      <c r="D8" s="18">
        <f>'Cycle time-Filaments'!V2+'Cycle time-Filaments'!V7+'Cycle time-Filaments'!V10+'Cycle time-Filaments'!V14+'Cycle time-Filaments'!V28+'Cycle time-Filaments'!V57</f>
        <v>79.769333333333307</v>
      </c>
    </row>
    <row r="9" spans="1:5" s="14" customFormat="1" ht="15.75">
      <c r="B9" s="16">
        <v>4</v>
      </c>
      <c r="C9" s="17" t="s">
        <v>75</v>
      </c>
      <c r="D9" s="18">
        <f>'Cycle time-Filaments'!V9+'Cycle time-Filaments'!V21+'Cycle time-Filaments'!V22+'Cycle time-Filaments'!V23+'Cycle time-Filaments'!V24+'Cycle time-Filaments'!V25+'Cycle time-Filaments'!V26+'Cycle time-Filaments'!V27+'Cycle time-Filaments'!V29+'Cycle time-Filaments'!V30+'Cycle time-Filaments'!V31+'Cycle time-Filaments'!V32+'Cycle time-Filaments'!V33+'Cycle time-Filaments'!V34+'Cycle time-Filaments'!V43+'Cycle time-Filaments'!V44+'Cycle time-Filaments'!V46+'Cycle time-Filaments'!V48+'Cycle time-Filaments'!V49+'Cycle time-Filaments'!V50+'Cycle time-Filaments'!V51+'Cycle time-Filaments'!V53+'Cycle time-Filaments'!V54+'Cycle time-Filaments'!V56</f>
        <v>51.000368425147833</v>
      </c>
    </row>
    <row r="10" spans="1:5" s="14" customFormat="1" ht="15.75">
      <c r="B10" s="16">
        <v>4</v>
      </c>
      <c r="C10" s="17" t="s">
        <v>80</v>
      </c>
      <c r="D10" s="18">
        <f>'Cycle time-Filaments'!V4+'Cycle time-Filaments'!V5+'Cycle time-Filaments'!V6+'Cycle time-Filaments'!V11+'Cycle time-Filaments'!V12+'Cycle time-Filaments'!V13+'Cycle time-Filaments'!V17+'Cycle time-Filaments'!V19+'Cycle time-Filaments'!V20+'Cycle time-Filaments'!V58</f>
        <v>18.813718798630561</v>
      </c>
    </row>
    <row r="11" spans="1:5" ht="15.75">
      <c r="B11" s="19">
        <v>5</v>
      </c>
      <c r="C11" s="20" t="s">
        <v>185</v>
      </c>
      <c r="D11" s="21">
        <f>'Cycle time SSP-TXP-PPC'!V28</f>
        <v>27.48694669693732</v>
      </c>
    </row>
    <row r="12" spans="1:5" ht="15.75">
      <c r="B12" s="22">
        <v>6</v>
      </c>
      <c r="C12" s="23" t="s">
        <v>81</v>
      </c>
      <c r="D12" s="24">
        <f>'Cycle time TUBE)'!V10</f>
        <v>0</v>
      </c>
    </row>
  </sheetData>
  <mergeCells count="1">
    <mergeCell ref="B3:D3"/>
  </mergeCells>
  <pageMargins left="0.7" right="0.7" top="0.75" bottom="0.75" header="0.3" footer="0.3"/>
  <pageSetup paperSize="9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A31"/>
  <sheetViews>
    <sheetView zoomScale="80" zoomScaleNormal="80" workbookViewId="0">
      <selection activeCell="P10" sqref="P10"/>
    </sheetView>
  </sheetViews>
  <sheetFormatPr defaultColWidth="10.28515625" defaultRowHeight="15"/>
  <cols>
    <col min="1" max="1" width="4.42578125" style="1" customWidth="1"/>
    <col min="2" max="2" width="12.85546875" style="5" customWidth="1"/>
    <col min="3" max="3" width="5.140625" style="5" bestFit="1" customWidth="1"/>
    <col min="4" max="4" width="8.42578125" style="5" bestFit="1" customWidth="1"/>
    <col min="5" max="5" width="5.140625" style="5" bestFit="1" customWidth="1"/>
    <col min="6" max="6" width="6.5703125" style="5" bestFit="1" customWidth="1"/>
    <col min="7" max="7" width="14.7109375" style="5" customWidth="1"/>
    <col min="8" max="8" width="9.7109375" style="5" customWidth="1"/>
    <col min="9" max="9" width="5.140625" style="5" customWidth="1"/>
    <col min="10" max="10" width="12.5703125" style="5" bestFit="1" customWidth="1"/>
    <col min="11" max="11" width="9.140625" style="5" customWidth="1"/>
    <col min="12" max="12" width="8.5703125" style="5" customWidth="1"/>
    <col min="13" max="13" width="7.7109375" style="5" bestFit="1" customWidth="1"/>
    <col min="14" max="14" width="14.85546875" style="5" bestFit="1" customWidth="1"/>
    <col min="15" max="15" width="10" style="5" customWidth="1"/>
    <col min="16" max="19" width="10.28515625" style="1"/>
    <col min="20" max="20" width="11.42578125" style="1" bestFit="1" customWidth="1"/>
    <col min="21" max="21" width="17.42578125" style="1" bestFit="1" customWidth="1"/>
    <col min="22" max="22" width="11.5703125" style="1" bestFit="1" customWidth="1"/>
    <col min="23" max="23" width="11.42578125" style="1" bestFit="1" customWidth="1"/>
    <col min="24" max="25" width="10.28515625" style="1"/>
    <col min="26" max="26" width="11.42578125" style="1" bestFit="1" customWidth="1"/>
    <col min="27" max="27" width="20.85546875" style="1" bestFit="1" customWidth="1"/>
    <col min="28" max="16384" width="10.28515625" style="1"/>
  </cols>
  <sheetData>
    <row r="1" spans="1:27" s="48" customFormat="1" ht="68.25" customHeight="1">
      <c r="A1" s="63" t="s">
        <v>77</v>
      </c>
      <c r="B1" s="64" t="s">
        <v>177</v>
      </c>
      <c r="C1" s="64" t="s">
        <v>178</v>
      </c>
      <c r="D1" s="64" t="s">
        <v>179</v>
      </c>
      <c r="E1" s="64" t="s">
        <v>180</v>
      </c>
      <c r="F1" s="65" t="s">
        <v>181</v>
      </c>
      <c r="G1" s="64" t="s">
        <v>182</v>
      </c>
      <c r="H1" s="64" t="s">
        <v>183</v>
      </c>
      <c r="I1" s="64" t="s">
        <v>86</v>
      </c>
      <c r="J1" s="64" t="s">
        <v>78</v>
      </c>
      <c r="K1" s="64" t="s">
        <v>30</v>
      </c>
      <c r="L1" s="64" t="s">
        <v>31</v>
      </c>
      <c r="M1" s="64" t="s">
        <v>64</v>
      </c>
      <c r="N1" s="66" t="s">
        <v>32</v>
      </c>
      <c r="O1" s="66" t="s">
        <v>34</v>
      </c>
      <c r="P1" s="66" t="s">
        <v>33</v>
      </c>
      <c r="Q1" s="66" t="s">
        <v>184</v>
      </c>
      <c r="R1" s="66" t="s">
        <v>35</v>
      </c>
      <c r="S1" s="66" t="s">
        <v>65</v>
      </c>
      <c r="T1" s="66" t="s">
        <v>37</v>
      </c>
      <c r="U1" s="67" t="s">
        <v>68</v>
      </c>
      <c r="V1" s="68" t="s">
        <v>69</v>
      </c>
      <c r="W1" s="68" t="s">
        <v>70</v>
      </c>
    </row>
    <row r="2" spans="1:27" s="71" customFormat="1" ht="27" customHeight="1">
      <c r="A2" s="116">
        <v>1</v>
      </c>
      <c r="B2" s="111" t="s">
        <v>187</v>
      </c>
      <c r="C2" s="112">
        <v>60</v>
      </c>
      <c r="D2" s="112">
        <v>20</v>
      </c>
      <c r="E2" s="112">
        <v>2</v>
      </c>
      <c r="F2" s="112">
        <v>1201</v>
      </c>
      <c r="G2" s="111" t="s">
        <v>188</v>
      </c>
      <c r="H2" s="112">
        <v>10000</v>
      </c>
      <c r="I2" s="117" t="s">
        <v>189</v>
      </c>
      <c r="J2" s="111" t="s">
        <v>190</v>
      </c>
      <c r="K2" s="113">
        <v>600</v>
      </c>
      <c r="L2" s="117">
        <f t="shared" ref="L2:L25" si="0">H2*1.005/K2+3</f>
        <v>19.749999999999996</v>
      </c>
      <c r="M2" s="117">
        <v>2</v>
      </c>
      <c r="N2" s="118">
        <f t="shared" ref="N2:N25" si="1">60/L2*M2</f>
        <v>6.0759493670886089</v>
      </c>
      <c r="O2" s="119">
        <f t="shared" ref="O2:O25" si="2">N2*22</f>
        <v>133.6708860759494</v>
      </c>
      <c r="P2" s="120">
        <v>0.8</v>
      </c>
      <c r="Q2" s="121">
        <f t="shared" ref="Q2:Q25" si="3">O2*P2</f>
        <v>106.93670886075952</v>
      </c>
      <c r="R2" s="122">
        <f t="shared" ref="R2:R25" si="4">L2/P2</f>
        <v>24.687499999999993</v>
      </c>
      <c r="S2" s="121">
        <v>30</v>
      </c>
      <c r="T2" s="121">
        <f t="shared" ref="T2:T25" si="5">Q2*S2</f>
        <v>3208.1012658227855</v>
      </c>
      <c r="U2" s="70">
        <f>VLOOKUP(F2,'PENDING PO'!A2:B89,2,0)</f>
        <v>68254</v>
      </c>
      <c r="V2" s="72">
        <f t="shared" ref="V2:V25" si="6">U2/T2</f>
        <v>21.275512941919189</v>
      </c>
      <c r="W2" s="75">
        <f t="shared" ref="W2:W25" si="7">U2*R2</f>
        <v>1685020.6249999995</v>
      </c>
      <c r="Y2" s="71">
        <f>24*60</f>
        <v>1440</v>
      </c>
    </row>
    <row r="3" spans="1:27" s="71" customFormat="1" ht="27" customHeight="1">
      <c r="A3" s="116">
        <v>2</v>
      </c>
      <c r="B3" s="111" t="s">
        <v>191</v>
      </c>
      <c r="C3" s="112">
        <v>60</v>
      </c>
      <c r="D3" s="112">
        <v>20</v>
      </c>
      <c r="E3" s="112">
        <v>2</v>
      </c>
      <c r="F3" s="112">
        <v>1202</v>
      </c>
      <c r="G3" s="113" t="s">
        <v>36</v>
      </c>
      <c r="H3" s="112">
        <v>9177</v>
      </c>
      <c r="I3" s="117" t="s">
        <v>189</v>
      </c>
      <c r="J3" s="111" t="s">
        <v>190</v>
      </c>
      <c r="K3" s="113">
        <v>600</v>
      </c>
      <c r="L3" s="117">
        <f t="shared" si="0"/>
        <v>18.371474999999997</v>
      </c>
      <c r="M3" s="117">
        <v>2</v>
      </c>
      <c r="N3" s="118">
        <f t="shared" si="1"/>
        <v>6.531865296607922</v>
      </c>
      <c r="O3" s="119">
        <f t="shared" si="2"/>
        <v>143.70103652537429</v>
      </c>
      <c r="P3" s="120">
        <v>0.8</v>
      </c>
      <c r="Q3" s="121">
        <f t="shared" si="3"/>
        <v>114.96082922029944</v>
      </c>
      <c r="R3" s="122">
        <f t="shared" si="4"/>
        <v>22.964343749999994</v>
      </c>
      <c r="S3" s="121">
        <v>30</v>
      </c>
      <c r="T3" s="121">
        <f t="shared" si="5"/>
        <v>3448.8248766089832</v>
      </c>
      <c r="U3" s="70">
        <f>VLOOKUP(F3,'PENDING PO'!A3:B92,2,0)</f>
        <v>16640</v>
      </c>
      <c r="V3" s="72">
        <f t="shared" si="6"/>
        <v>4.8248318181818171</v>
      </c>
      <c r="W3" s="75">
        <f t="shared" si="7"/>
        <v>382126.67999999988</v>
      </c>
      <c r="Y3" s="71">
        <f>Y2/19.75</f>
        <v>72.911392405063296</v>
      </c>
      <c r="Z3" s="71">
        <f>Y3*2</f>
        <v>145.82278481012659</v>
      </c>
    </row>
    <row r="4" spans="1:27" s="71" customFormat="1" ht="27" customHeight="1">
      <c r="A4" s="116">
        <v>3</v>
      </c>
      <c r="B4" s="111" t="s">
        <v>195</v>
      </c>
      <c r="C4" s="112">
        <v>50</v>
      </c>
      <c r="D4" s="112">
        <v>60</v>
      </c>
      <c r="E4" s="112">
        <v>2</v>
      </c>
      <c r="F4" s="112">
        <v>1203</v>
      </c>
      <c r="G4" s="111" t="s">
        <v>193</v>
      </c>
      <c r="H4" s="112">
        <v>2000</v>
      </c>
      <c r="I4" s="117" t="s">
        <v>189</v>
      </c>
      <c r="J4" s="111" t="s">
        <v>190</v>
      </c>
      <c r="K4" s="111">
        <v>500</v>
      </c>
      <c r="L4" s="117">
        <f t="shared" si="0"/>
        <v>7.02</v>
      </c>
      <c r="M4" s="117">
        <v>2</v>
      </c>
      <c r="N4" s="118">
        <f t="shared" si="1"/>
        <v>17.094017094017094</v>
      </c>
      <c r="O4" s="119">
        <f t="shared" si="2"/>
        <v>376.06837606837604</v>
      </c>
      <c r="P4" s="120">
        <v>0.65</v>
      </c>
      <c r="Q4" s="121">
        <f t="shared" si="3"/>
        <v>244.44444444444443</v>
      </c>
      <c r="R4" s="122">
        <f t="shared" si="4"/>
        <v>10.799999999999999</v>
      </c>
      <c r="S4" s="121">
        <v>30</v>
      </c>
      <c r="T4" s="121">
        <f t="shared" si="5"/>
        <v>7333.333333333333</v>
      </c>
      <c r="U4" s="70">
        <f>VLOOKUP(F4,'PENDING PO'!A4:B93,2,0)</f>
        <v>10</v>
      </c>
      <c r="V4" s="72">
        <f t="shared" si="6"/>
        <v>1.3636363636363637E-3</v>
      </c>
      <c r="W4" s="75">
        <f t="shared" si="7"/>
        <v>107.99999999999999</v>
      </c>
      <c r="Z4" s="71">
        <f>Z3*30</f>
        <v>4374.683544303798</v>
      </c>
      <c r="AA4" s="90"/>
    </row>
    <row r="5" spans="1:27" s="71" customFormat="1" ht="27" customHeight="1">
      <c r="A5" s="116">
        <v>4</v>
      </c>
      <c r="B5" s="113" t="s">
        <v>14</v>
      </c>
      <c r="C5" s="113">
        <v>60</v>
      </c>
      <c r="D5" s="113">
        <v>20</v>
      </c>
      <c r="E5" s="113">
        <v>2</v>
      </c>
      <c r="F5" s="113">
        <v>1208</v>
      </c>
      <c r="G5" s="113" t="s">
        <v>15</v>
      </c>
      <c r="H5" s="113">
        <v>5000</v>
      </c>
      <c r="I5" s="113" t="s">
        <v>3</v>
      </c>
      <c r="J5" s="113" t="s">
        <v>190</v>
      </c>
      <c r="K5" s="113">
        <v>600</v>
      </c>
      <c r="L5" s="117">
        <f t="shared" si="0"/>
        <v>11.374999999999998</v>
      </c>
      <c r="M5" s="117">
        <v>2</v>
      </c>
      <c r="N5" s="118">
        <f t="shared" si="1"/>
        <v>10.549450549450551</v>
      </c>
      <c r="O5" s="119">
        <f t="shared" si="2"/>
        <v>232.08791208791212</v>
      </c>
      <c r="P5" s="120">
        <v>0.75</v>
      </c>
      <c r="Q5" s="121">
        <f t="shared" si="3"/>
        <v>174.06593406593407</v>
      </c>
      <c r="R5" s="122">
        <f t="shared" si="4"/>
        <v>15.166666666666664</v>
      </c>
      <c r="S5" s="121">
        <v>30</v>
      </c>
      <c r="T5" s="121">
        <f t="shared" si="5"/>
        <v>5221.9780219780223</v>
      </c>
      <c r="U5" s="70">
        <f>VLOOKUP(F5,'PENDING PO'!A5:B94,2,0)</f>
        <v>5487</v>
      </c>
      <c r="V5" s="72">
        <f t="shared" si="6"/>
        <v>1.0507512626262625</v>
      </c>
      <c r="W5" s="75">
        <f t="shared" si="7"/>
        <v>83219.499999999985</v>
      </c>
      <c r="Z5" s="91">
        <f>Z4/100*80</f>
        <v>3499.7468354430384</v>
      </c>
    </row>
    <row r="6" spans="1:27" s="71" customFormat="1" ht="27" customHeight="1">
      <c r="A6" s="116">
        <v>5</v>
      </c>
      <c r="B6" s="113" t="s">
        <v>233</v>
      </c>
      <c r="C6" s="112">
        <v>60</v>
      </c>
      <c r="D6" s="112">
        <v>20</v>
      </c>
      <c r="E6" s="112">
        <v>2</v>
      </c>
      <c r="F6" s="112">
        <v>1210</v>
      </c>
      <c r="G6" s="111" t="s">
        <v>188</v>
      </c>
      <c r="H6" s="112">
        <v>10000</v>
      </c>
      <c r="I6" s="117" t="s">
        <v>189</v>
      </c>
      <c r="J6" s="111" t="s">
        <v>190</v>
      </c>
      <c r="K6" s="113">
        <v>600</v>
      </c>
      <c r="L6" s="117">
        <f t="shared" si="0"/>
        <v>19.749999999999996</v>
      </c>
      <c r="M6" s="117">
        <v>2</v>
      </c>
      <c r="N6" s="118">
        <f t="shared" si="1"/>
        <v>6.0759493670886089</v>
      </c>
      <c r="O6" s="119">
        <f t="shared" si="2"/>
        <v>133.6708860759494</v>
      </c>
      <c r="P6" s="120">
        <v>0.8</v>
      </c>
      <c r="Q6" s="121">
        <f t="shared" si="3"/>
        <v>106.93670886075952</v>
      </c>
      <c r="R6" s="122">
        <f t="shared" si="4"/>
        <v>24.687499999999993</v>
      </c>
      <c r="S6" s="121">
        <v>30</v>
      </c>
      <c r="T6" s="121">
        <f t="shared" si="5"/>
        <v>3208.1012658227855</v>
      </c>
      <c r="U6" s="70">
        <f>VLOOKUP(F6,'PENDING PO'!A6:B94,2,0)</f>
        <v>0</v>
      </c>
      <c r="V6" s="72">
        <f t="shared" si="6"/>
        <v>0</v>
      </c>
      <c r="W6" s="75">
        <f t="shared" si="7"/>
        <v>0</v>
      </c>
      <c r="Z6" s="91">
        <f>Z5/100*80</f>
        <v>2799.7974683544307</v>
      </c>
    </row>
    <row r="7" spans="1:27" s="71" customFormat="1" ht="27" customHeight="1">
      <c r="A7" s="116">
        <v>6</v>
      </c>
      <c r="B7" s="113" t="s">
        <v>234</v>
      </c>
      <c r="C7" s="112">
        <v>60</v>
      </c>
      <c r="D7" s="112">
        <v>20</v>
      </c>
      <c r="E7" s="112">
        <v>2</v>
      </c>
      <c r="F7" s="112">
        <v>1211</v>
      </c>
      <c r="G7" s="111" t="s">
        <v>188</v>
      </c>
      <c r="H7" s="112">
        <v>10000</v>
      </c>
      <c r="I7" s="117" t="s">
        <v>189</v>
      </c>
      <c r="J7" s="111" t="s">
        <v>190</v>
      </c>
      <c r="K7" s="113">
        <v>600</v>
      </c>
      <c r="L7" s="117">
        <f t="shared" si="0"/>
        <v>19.749999999999996</v>
      </c>
      <c r="M7" s="117">
        <v>2</v>
      </c>
      <c r="N7" s="118">
        <f t="shared" si="1"/>
        <v>6.0759493670886089</v>
      </c>
      <c r="O7" s="119">
        <f t="shared" si="2"/>
        <v>133.6708860759494</v>
      </c>
      <c r="P7" s="120">
        <v>0.8</v>
      </c>
      <c r="Q7" s="121">
        <f t="shared" si="3"/>
        <v>106.93670886075952</v>
      </c>
      <c r="R7" s="122">
        <f t="shared" si="4"/>
        <v>24.687499999999993</v>
      </c>
      <c r="S7" s="121">
        <v>30</v>
      </c>
      <c r="T7" s="121">
        <f t="shared" si="5"/>
        <v>3208.1012658227855</v>
      </c>
      <c r="U7" s="70">
        <f>VLOOKUP(F7,'PENDING PO'!A6:B95,2,0)</f>
        <v>845</v>
      </c>
      <c r="V7" s="72">
        <f t="shared" si="6"/>
        <v>0.26339567550505044</v>
      </c>
      <c r="W7" s="75">
        <f t="shared" si="7"/>
        <v>20860.937499999993</v>
      </c>
    </row>
    <row r="8" spans="1:27" s="71" customFormat="1" ht="27" customHeight="1">
      <c r="A8" s="116">
        <v>7</v>
      </c>
      <c r="B8" s="111" t="s">
        <v>194</v>
      </c>
      <c r="C8" s="112">
        <v>30</v>
      </c>
      <c r="D8" s="112">
        <v>90</v>
      </c>
      <c r="E8" s="112">
        <v>3</v>
      </c>
      <c r="F8" s="112">
        <v>1301</v>
      </c>
      <c r="G8" s="111" t="s">
        <v>193</v>
      </c>
      <c r="H8" s="112">
        <v>1500</v>
      </c>
      <c r="I8" s="117" t="s">
        <v>189</v>
      </c>
      <c r="J8" s="111" t="s">
        <v>190</v>
      </c>
      <c r="K8" s="111">
        <v>500</v>
      </c>
      <c r="L8" s="117">
        <f t="shared" si="0"/>
        <v>6.0149999999999997</v>
      </c>
      <c r="M8" s="117">
        <v>2</v>
      </c>
      <c r="N8" s="118">
        <f t="shared" si="1"/>
        <v>19.950124688279303</v>
      </c>
      <c r="O8" s="119">
        <f t="shared" si="2"/>
        <v>438.90274314214469</v>
      </c>
      <c r="P8" s="120">
        <v>0.6</v>
      </c>
      <c r="Q8" s="121">
        <f t="shared" si="3"/>
        <v>263.34164588528682</v>
      </c>
      <c r="R8" s="122">
        <f t="shared" si="4"/>
        <v>10.025</v>
      </c>
      <c r="S8" s="121">
        <v>30</v>
      </c>
      <c r="T8" s="121">
        <f t="shared" si="5"/>
        <v>7900.249376558605</v>
      </c>
      <c r="U8" s="70">
        <f>VLOOKUP(F8,'PENDING PO'!A7:B96,2,0)</f>
        <v>0</v>
      </c>
      <c r="V8" s="72">
        <f t="shared" si="6"/>
        <v>0</v>
      </c>
      <c r="W8" s="75">
        <f t="shared" si="7"/>
        <v>0</v>
      </c>
    </row>
    <row r="9" spans="1:27" s="71" customFormat="1" ht="27" customHeight="1">
      <c r="A9" s="116">
        <v>8</v>
      </c>
      <c r="B9" s="111" t="s">
        <v>16</v>
      </c>
      <c r="C9" s="112">
        <v>100</v>
      </c>
      <c r="D9" s="112">
        <v>30</v>
      </c>
      <c r="E9" s="112">
        <v>3</v>
      </c>
      <c r="F9" s="112">
        <v>1303</v>
      </c>
      <c r="G9" s="111" t="s">
        <v>193</v>
      </c>
      <c r="H9" s="112">
        <v>5000</v>
      </c>
      <c r="I9" s="117" t="s">
        <v>3</v>
      </c>
      <c r="J9" s="111" t="s">
        <v>190</v>
      </c>
      <c r="K9" s="111">
        <v>600</v>
      </c>
      <c r="L9" s="117">
        <f t="shared" si="0"/>
        <v>11.374999999999998</v>
      </c>
      <c r="M9" s="117">
        <v>2</v>
      </c>
      <c r="N9" s="118">
        <f t="shared" si="1"/>
        <v>10.549450549450551</v>
      </c>
      <c r="O9" s="119">
        <f t="shared" si="2"/>
        <v>232.08791208791212</v>
      </c>
      <c r="P9" s="120">
        <v>0.75</v>
      </c>
      <c r="Q9" s="121">
        <f t="shared" si="3"/>
        <v>174.06593406593407</v>
      </c>
      <c r="R9" s="122">
        <f t="shared" si="4"/>
        <v>15.166666666666664</v>
      </c>
      <c r="S9" s="121">
        <v>30</v>
      </c>
      <c r="T9" s="121">
        <f t="shared" si="5"/>
        <v>5221.9780219780223</v>
      </c>
      <c r="U9" s="70">
        <f>VLOOKUP(F9,'PENDING PO'!A11:B97,2,0)</f>
        <v>118</v>
      </c>
      <c r="V9" s="72">
        <f t="shared" si="6"/>
        <v>2.2596801346801344E-2</v>
      </c>
      <c r="W9" s="75">
        <f t="shared" si="7"/>
        <v>1789.6666666666663</v>
      </c>
    </row>
    <row r="10" spans="1:27" s="71" customFormat="1" ht="27" customHeight="1">
      <c r="A10" s="116">
        <v>9</v>
      </c>
      <c r="B10" s="111" t="s">
        <v>192</v>
      </c>
      <c r="C10" s="113">
        <v>20</v>
      </c>
      <c r="D10" s="113">
        <v>125</v>
      </c>
      <c r="E10" s="113">
        <v>4</v>
      </c>
      <c r="F10" s="113">
        <v>1401</v>
      </c>
      <c r="G10" s="113" t="s">
        <v>193</v>
      </c>
      <c r="H10" s="113">
        <v>1500</v>
      </c>
      <c r="I10" s="113" t="s">
        <v>189</v>
      </c>
      <c r="J10" s="113" t="s">
        <v>190</v>
      </c>
      <c r="K10" s="113">
        <v>500</v>
      </c>
      <c r="L10" s="117">
        <f t="shared" si="0"/>
        <v>6.0149999999999997</v>
      </c>
      <c r="M10" s="117">
        <v>2</v>
      </c>
      <c r="N10" s="118">
        <f t="shared" si="1"/>
        <v>19.950124688279303</v>
      </c>
      <c r="O10" s="119">
        <f t="shared" si="2"/>
        <v>438.90274314214469</v>
      </c>
      <c r="P10" s="120">
        <v>0.6</v>
      </c>
      <c r="Q10" s="121">
        <f t="shared" si="3"/>
        <v>263.34164588528682</v>
      </c>
      <c r="R10" s="122">
        <f t="shared" si="4"/>
        <v>10.025</v>
      </c>
      <c r="S10" s="121">
        <v>30</v>
      </c>
      <c r="T10" s="121">
        <f t="shared" si="5"/>
        <v>7900.249376558605</v>
      </c>
      <c r="U10" s="70">
        <f>VLOOKUP(F10,'PENDING PO'!A12:B98,2,0)</f>
        <v>0</v>
      </c>
      <c r="V10" s="72">
        <f t="shared" si="6"/>
        <v>0</v>
      </c>
      <c r="W10" s="75">
        <f t="shared" si="7"/>
        <v>0</v>
      </c>
    </row>
    <row r="11" spans="1:27" s="71" customFormat="1" ht="27" customHeight="1">
      <c r="A11" s="116">
        <v>10</v>
      </c>
      <c r="B11" s="111" t="s">
        <v>196</v>
      </c>
      <c r="C11" s="112">
        <v>120</v>
      </c>
      <c r="D11" s="112">
        <v>24</v>
      </c>
      <c r="E11" s="112">
        <v>2</v>
      </c>
      <c r="F11" s="112">
        <v>4201</v>
      </c>
      <c r="G11" s="111" t="s">
        <v>197</v>
      </c>
      <c r="H11" s="112">
        <v>5000</v>
      </c>
      <c r="I11" s="117" t="s">
        <v>189</v>
      </c>
      <c r="J11" s="111" t="s">
        <v>190</v>
      </c>
      <c r="K11" s="111">
        <v>600</v>
      </c>
      <c r="L11" s="117">
        <f t="shared" si="0"/>
        <v>11.374999999999998</v>
      </c>
      <c r="M11" s="117">
        <v>2</v>
      </c>
      <c r="N11" s="118">
        <f t="shared" si="1"/>
        <v>10.549450549450551</v>
      </c>
      <c r="O11" s="119">
        <f t="shared" si="2"/>
        <v>232.08791208791212</v>
      </c>
      <c r="P11" s="120">
        <v>0.75</v>
      </c>
      <c r="Q11" s="121">
        <f t="shared" si="3"/>
        <v>174.06593406593407</v>
      </c>
      <c r="R11" s="122">
        <f t="shared" si="4"/>
        <v>15.166666666666664</v>
      </c>
      <c r="S11" s="121">
        <v>30</v>
      </c>
      <c r="T11" s="121">
        <f t="shared" si="5"/>
        <v>5221.9780219780223</v>
      </c>
      <c r="U11" s="70">
        <f>VLOOKUP(F11,'PENDING PO'!A13:B99,2,0)</f>
        <v>0</v>
      </c>
      <c r="V11" s="72">
        <f t="shared" si="6"/>
        <v>0</v>
      </c>
      <c r="W11" s="75">
        <f t="shared" si="7"/>
        <v>0</v>
      </c>
    </row>
    <row r="12" spans="1:27" s="71" customFormat="1" ht="27" customHeight="1">
      <c r="A12" s="116">
        <v>11</v>
      </c>
      <c r="B12" s="111" t="s">
        <v>196</v>
      </c>
      <c r="C12" s="112">
        <v>100</v>
      </c>
      <c r="D12" s="112">
        <v>30</v>
      </c>
      <c r="E12" s="112">
        <v>2</v>
      </c>
      <c r="F12" s="112">
        <v>4202</v>
      </c>
      <c r="G12" s="111" t="s">
        <v>197</v>
      </c>
      <c r="H12" s="112">
        <v>5000</v>
      </c>
      <c r="I12" s="117" t="s">
        <v>189</v>
      </c>
      <c r="J12" s="111" t="s">
        <v>190</v>
      </c>
      <c r="K12" s="111">
        <v>600</v>
      </c>
      <c r="L12" s="117">
        <f t="shared" si="0"/>
        <v>11.374999999999998</v>
      </c>
      <c r="M12" s="117">
        <v>2</v>
      </c>
      <c r="N12" s="118">
        <f t="shared" si="1"/>
        <v>10.549450549450551</v>
      </c>
      <c r="O12" s="119">
        <f t="shared" si="2"/>
        <v>232.08791208791212</v>
      </c>
      <c r="P12" s="120">
        <v>0.75</v>
      </c>
      <c r="Q12" s="121">
        <f t="shared" si="3"/>
        <v>174.06593406593407</v>
      </c>
      <c r="R12" s="122">
        <f t="shared" si="4"/>
        <v>15.166666666666664</v>
      </c>
      <c r="S12" s="121">
        <v>30</v>
      </c>
      <c r="T12" s="121">
        <f t="shared" si="5"/>
        <v>5221.9780219780223</v>
      </c>
      <c r="U12" s="70">
        <f>VLOOKUP(F12,'PENDING PO'!A15:B100,2,0)</f>
        <v>0</v>
      </c>
      <c r="V12" s="72">
        <f t="shared" si="6"/>
        <v>0</v>
      </c>
      <c r="W12" s="75">
        <f t="shared" si="7"/>
        <v>0</v>
      </c>
    </row>
    <row r="13" spans="1:27" s="71" customFormat="1" ht="27" customHeight="1">
      <c r="A13" s="116">
        <v>12</v>
      </c>
      <c r="B13" s="111" t="s">
        <v>196</v>
      </c>
      <c r="C13" s="112">
        <v>75</v>
      </c>
      <c r="D13" s="112">
        <v>40</v>
      </c>
      <c r="E13" s="112">
        <v>2</v>
      </c>
      <c r="F13" s="112">
        <v>4203</v>
      </c>
      <c r="G13" s="111" t="s">
        <v>197</v>
      </c>
      <c r="H13" s="112">
        <v>2000</v>
      </c>
      <c r="I13" s="117" t="s">
        <v>189</v>
      </c>
      <c r="J13" s="111" t="s">
        <v>190</v>
      </c>
      <c r="K13" s="111">
        <v>600</v>
      </c>
      <c r="L13" s="117">
        <f t="shared" si="0"/>
        <v>6.35</v>
      </c>
      <c r="M13" s="117">
        <v>2</v>
      </c>
      <c r="N13" s="118">
        <f t="shared" si="1"/>
        <v>18.897637795275593</v>
      </c>
      <c r="O13" s="119">
        <f t="shared" si="2"/>
        <v>415.74803149606305</v>
      </c>
      <c r="P13" s="120">
        <v>0.65</v>
      </c>
      <c r="Q13" s="121">
        <f t="shared" si="3"/>
        <v>270.236220472441</v>
      </c>
      <c r="R13" s="122">
        <f t="shared" si="4"/>
        <v>9.7692307692307683</v>
      </c>
      <c r="S13" s="121">
        <v>30</v>
      </c>
      <c r="T13" s="121">
        <f t="shared" si="5"/>
        <v>8107.0866141732304</v>
      </c>
      <c r="U13" s="70">
        <f>VLOOKUP(F13,'PENDING PO'!A16:B101,2,0)</f>
        <v>0</v>
      </c>
      <c r="V13" s="72">
        <f t="shared" si="6"/>
        <v>0</v>
      </c>
      <c r="W13" s="75">
        <f t="shared" si="7"/>
        <v>0</v>
      </c>
    </row>
    <row r="14" spans="1:27" s="71" customFormat="1" ht="27" customHeight="1">
      <c r="A14" s="116">
        <v>13</v>
      </c>
      <c r="B14" s="111" t="s">
        <v>196</v>
      </c>
      <c r="C14" s="112">
        <v>50</v>
      </c>
      <c r="D14" s="112">
        <v>60</v>
      </c>
      <c r="E14" s="112">
        <v>2</v>
      </c>
      <c r="F14" s="112">
        <v>4204</v>
      </c>
      <c r="G14" s="111" t="s">
        <v>197</v>
      </c>
      <c r="H14" s="112">
        <v>2000</v>
      </c>
      <c r="I14" s="117" t="s">
        <v>189</v>
      </c>
      <c r="J14" s="111" t="s">
        <v>190</v>
      </c>
      <c r="K14" s="111">
        <v>600</v>
      </c>
      <c r="L14" s="117">
        <f t="shared" si="0"/>
        <v>6.35</v>
      </c>
      <c r="M14" s="117">
        <v>2</v>
      </c>
      <c r="N14" s="118">
        <f t="shared" si="1"/>
        <v>18.897637795275593</v>
      </c>
      <c r="O14" s="119">
        <f t="shared" si="2"/>
        <v>415.74803149606305</v>
      </c>
      <c r="P14" s="120">
        <v>0.65</v>
      </c>
      <c r="Q14" s="121">
        <f t="shared" si="3"/>
        <v>270.236220472441</v>
      </c>
      <c r="R14" s="122">
        <f t="shared" si="4"/>
        <v>9.7692307692307683</v>
      </c>
      <c r="S14" s="121">
        <v>30</v>
      </c>
      <c r="T14" s="121">
        <f t="shared" si="5"/>
        <v>8107.0866141732304</v>
      </c>
      <c r="U14" s="70">
        <f>VLOOKUP(F14,'PENDING PO'!A17:B101,2,0)</f>
        <v>300</v>
      </c>
      <c r="V14" s="72">
        <f t="shared" si="6"/>
        <v>3.7004662004661994E-2</v>
      </c>
      <c r="W14" s="75">
        <f t="shared" si="7"/>
        <v>2930.7692307692305</v>
      </c>
    </row>
    <row r="15" spans="1:27" s="71" customFormat="1" ht="27" customHeight="1">
      <c r="A15" s="116">
        <v>14</v>
      </c>
      <c r="B15" s="111" t="s">
        <v>196</v>
      </c>
      <c r="C15" s="112">
        <v>40</v>
      </c>
      <c r="D15" s="112">
        <v>80</v>
      </c>
      <c r="E15" s="112">
        <v>2</v>
      </c>
      <c r="F15" s="112">
        <v>4206</v>
      </c>
      <c r="G15" s="111" t="s">
        <v>197</v>
      </c>
      <c r="H15" s="112">
        <v>3000</v>
      </c>
      <c r="I15" s="117" t="s">
        <v>189</v>
      </c>
      <c r="J15" s="111" t="s">
        <v>190</v>
      </c>
      <c r="K15" s="111">
        <v>600</v>
      </c>
      <c r="L15" s="117">
        <f t="shared" si="0"/>
        <v>8.0249999999999986</v>
      </c>
      <c r="M15" s="117">
        <v>2</v>
      </c>
      <c r="N15" s="118">
        <f t="shared" si="1"/>
        <v>14.953271028037387</v>
      </c>
      <c r="O15" s="119">
        <f t="shared" si="2"/>
        <v>328.97196261682251</v>
      </c>
      <c r="P15" s="120">
        <v>0.7</v>
      </c>
      <c r="Q15" s="121">
        <f t="shared" si="3"/>
        <v>230.28037383177573</v>
      </c>
      <c r="R15" s="122">
        <f t="shared" si="4"/>
        <v>11.464285714285714</v>
      </c>
      <c r="S15" s="121">
        <v>30</v>
      </c>
      <c r="T15" s="121">
        <f t="shared" si="5"/>
        <v>6908.4112149532721</v>
      </c>
      <c r="U15" s="70">
        <f>VLOOKUP(F15,'PENDING PO'!A18:B101,2,0)</f>
        <v>0</v>
      </c>
      <c r="V15" s="72">
        <f t="shared" si="6"/>
        <v>0</v>
      </c>
      <c r="W15" s="75">
        <f t="shared" si="7"/>
        <v>0</v>
      </c>
    </row>
    <row r="16" spans="1:27" s="71" customFormat="1" ht="27" customHeight="1">
      <c r="A16" s="116">
        <v>15</v>
      </c>
      <c r="B16" s="111" t="s">
        <v>196</v>
      </c>
      <c r="C16" s="112">
        <v>25</v>
      </c>
      <c r="D16" s="112">
        <v>105</v>
      </c>
      <c r="E16" s="112">
        <v>2</v>
      </c>
      <c r="F16" s="112">
        <v>4207</v>
      </c>
      <c r="G16" s="111" t="s">
        <v>197</v>
      </c>
      <c r="H16" s="112">
        <v>1000</v>
      </c>
      <c r="I16" s="117" t="s">
        <v>189</v>
      </c>
      <c r="J16" s="111" t="s">
        <v>190</v>
      </c>
      <c r="K16" s="111">
        <v>500</v>
      </c>
      <c r="L16" s="117">
        <f t="shared" si="0"/>
        <v>5.01</v>
      </c>
      <c r="M16" s="117">
        <v>2</v>
      </c>
      <c r="N16" s="118">
        <f t="shared" si="1"/>
        <v>23.952095808383234</v>
      </c>
      <c r="O16" s="119">
        <f t="shared" si="2"/>
        <v>526.94610778443121</v>
      </c>
      <c r="P16" s="120">
        <v>0.55000000000000004</v>
      </c>
      <c r="Q16" s="121">
        <f t="shared" si="3"/>
        <v>289.82035928143716</v>
      </c>
      <c r="R16" s="122">
        <f t="shared" si="4"/>
        <v>9.1090909090909076</v>
      </c>
      <c r="S16" s="121">
        <v>30</v>
      </c>
      <c r="T16" s="121">
        <f t="shared" si="5"/>
        <v>8694.6107784431151</v>
      </c>
      <c r="U16" s="70">
        <f>VLOOKUP(F16,'PENDING PO'!A19:B101,2,0)</f>
        <v>0</v>
      </c>
      <c r="V16" s="72">
        <f t="shared" si="6"/>
        <v>0</v>
      </c>
      <c r="W16" s="75">
        <f t="shared" si="7"/>
        <v>0</v>
      </c>
    </row>
    <row r="17" spans="1:23" s="71" customFormat="1" ht="27" customHeight="1">
      <c r="A17" s="116">
        <v>16</v>
      </c>
      <c r="B17" s="111" t="s">
        <v>196</v>
      </c>
      <c r="C17" s="112">
        <v>75</v>
      </c>
      <c r="D17" s="112">
        <v>40</v>
      </c>
      <c r="E17" s="112">
        <v>2</v>
      </c>
      <c r="F17" s="112">
        <v>4208</v>
      </c>
      <c r="G17" s="113" t="s">
        <v>39</v>
      </c>
      <c r="H17" s="112">
        <v>5000</v>
      </c>
      <c r="I17" s="117" t="s">
        <v>189</v>
      </c>
      <c r="J17" s="111" t="s">
        <v>190</v>
      </c>
      <c r="K17" s="111">
        <v>500</v>
      </c>
      <c r="L17" s="117">
        <f t="shared" si="0"/>
        <v>13.049999999999999</v>
      </c>
      <c r="M17" s="117">
        <v>2</v>
      </c>
      <c r="N17" s="118">
        <f t="shared" si="1"/>
        <v>9.1954022988505759</v>
      </c>
      <c r="O17" s="119">
        <f t="shared" si="2"/>
        <v>202.29885057471267</v>
      </c>
      <c r="P17" s="120">
        <v>0.75</v>
      </c>
      <c r="Q17" s="121">
        <f t="shared" si="3"/>
        <v>151.72413793103451</v>
      </c>
      <c r="R17" s="122">
        <f t="shared" si="4"/>
        <v>17.399999999999999</v>
      </c>
      <c r="S17" s="121">
        <v>30</v>
      </c>
      <c r="T17" s="121">
        <f t="shared" si="5"/>
        <v>4551.7241379310353</v>
      </c>
      <c r="U17" s="70">
        <f>VLOOKUP(F17,'PENDING PO'!A20:B101,2,0)</f>
        <v>0</v>
      </c>
      <c r="V17" s="72">
        <f t="shared" si="6"/>
        <v>0</v>
      </c>
      <c r="W17" s="75">
        <f t="shared" si="7"/>
        <v>0</v>
      </c>
    </row>
    <row r="18" spans="1:23" s="71" customFormat="1" ht="27" customHeight="1">
      <c r="A18" s="116">
        <v>17</v>
      </c>
      <c r="B18" s="111" t="s">
        <v>196</v>
      </c>
      <c r="C18" s="112">
        <v>120</v>
      </c>
      <c r="D18" s="112">
        <v>24</v>
      </c>
      <c r="E18" s="112">
        <v>2</v>
      </c>
      <c r="F18" s="112">
        <v>4209</v>
      </c>
      <c r="G18" s="113" t="s">
        <v>22</v>
      </c>
      <c r="H18" s="112">
        <v>5000</v>
      </c>
      <c r="I18" s="117" t="s">
        <v>189</v>
      </c>
      <c r="J18" s="111" t="s">
        <v>190</v>
      </c>
      <c r="K18" s="111">
        <v>600</v>
      </c>
      <c r="L18" s="117">
        <f t="shared" si="0"/>
        <v>11.374999999999998</v>
      </c>
      <c r="M18" s="117">
        <v>2</v>
      </c>
      <c r="N18" s="118">
        <f t="shared" si="1"/>
        <v>10.549450549450551</v>
      </c>
      <c r="O18" s="119">
        <f t="shared" si="2"/>
        <v>232.08791208791212</v>
      </c>
      <c r="P18" s="120">
        <v>0.75</v>
      </c>
      <c r="Q18" s="121">
        <f t="shared" si="3"/>
        <v>174.06593406593407</v>
      </c>
      <c r="R18" s="122">
        <f t="shared" si="4"/>
        <v>15.166666666666664</v>
      </c>
      <c r="S18" s="121">
        <v>30</v>
      </c>
      <c r="T18" s="121">
        <f t="shared" si="5"/>
        <v>5221.9780219780223</v>
      </c>
      <c r="U18" s="70">
        <f>VLOOKUP(F18,'PENDING PO'!A21:B101,2,0)</f>
        <v>0</v>
      </c>
      <c r="V18" s="72">
        <f t="shared" si="6"/>
        <v>0</v>
      </c>
      <c r="W18" s="75">
        <f t="shared" si="7"/>
        <v>0</v>
      </c>
    </row>
    <row r="19" spans="1:23" s="71" customFormat="1" ht="27" customHeight="1">
      <c r="A19" s="116">
        <v>18</v>
      </c>
      <c r="B19" s="111" t="s">
        <v>196</v>
      </c>
      <c r="C19" s="112">
        <v>100</v>
      </c>
      <c r="D19" s="112">
        <v>30</v>
      </c>
      <c r="E19" s="112">
        <v>2</v>
      </c>
      <c r="F19" s="112">
        <v>4210</v>
      </c>
      <c r="G19" s="113" t="s">
        <v>22</v>
      </c>
      <c r="H19" s="112">
        <v>5000</v>
      </c>
      <c r="I19" s="117" t="s">
        <v>189</v>
      </c>
      <c r="J19" s="111" t="s">
        <v>190</v>
      </c>
      <c r="K19" s="111">
        <v>600</v>
      </c>
      <c r="L19" s="117">
        <f t="shared" si="0"/>
        <v>11.374999999999998</v>
      </c>
      <c r="M19" s="117">
        <v>2</v>
      </c>
      <c r="N19" s="118">
        <f t="shared" si="1"/>
        <v>10.549450549450551</v>
      </c>
      <c r="O19" s="119">
        <f t="shared" si="2"/>
        <v>232.08791208791212</v>
      </c>
      <c r="P19" s="120">
        <v>0.75</v>
      </c>
      <c r="Q19" s="121">
        <f t="shared" si="3"/>
        <v>174.06593406593407</v>
      </c>
      <c r="R19" s="122">
        <f t="shared" si="4"/>
        <v>15.166666666666664</v>
      </c>
      <c r="S19" s="121">
        <v>30</v>
      </c>
      <c r="T19" s="121">
        <f t="shared" si="5"/>
        <v>5221.9780219780223</v>
      </c>
      <c r="U19" s="70">
        <f>VLOOKUP(F19,'PENDING PO'!A22:B101,2,0)</f>
        <v>0</v>
      </c>
      <c r="V19" s="72">
        <f t="shared" si="6"/>
        <v>0</v>
      </c>
      <c r="W19" s="75">
        <f t="shared" si="7"/>
        <v>0</v>
      </c>
    </row>
    <row r="20" spans="1:23" s="71" customFormat="1" ht="27" customHeight="1">
      <c r="A20" s="116">
        <v>19</v>
      </c>
      <c r="B20" s="111" t="s">
        <v>196</v>
      </c>
      <c r="C20" s="112">
        <v>75</v>
      </c>
      <c r="D20" s="112">
        <v>40</v>
      </c>
      <c r="E20" s="112">
        <v>2</v>
      </c>
      <c r="F20" s="112">
        <v>4211</v>
      </c>
      <c r="G20" s="113" t="s">
        <v>22</v>
      </c>
      <c r="H20" s="112">
        <v>2000</v>
      </c>
      <c r="I20" s="117" t="s">
        <v>189</v>
      </c>
      <c r="J20" s="111" t="s">
        <v>190</v>
      </c>
      <c r="K20" s="111">
        <v>600</v>
      </c>
      <c r="L20" s="117">
        <f t="shared" si="0"/>
        <v>6.35</v>
      </c>
      <c r="M20" s="117">
        <v>2</v>
      </c>
      <c r="N20" s="118">
        <f t="shared" si="1"/>
        <v>18.897637795275593</v>
      </c>
      <c r="O20" s="119">
        <f t="shared" si="2"/>
        <v>415.74803149606305</v>
      </c>
      <c r="P20" s="120">
        <v>0.75</v>
      </c>
      <c r="Q20" s="121">
        <f t="shared" si="3"/>
        <v>311.81102362204729</v>
      </c>
      <c r="R20" s="122">
        <f t="shared" si="4"/>
        <v>8.4666666666666668</v>
      </c>
      <c r="S20" s="121">
        <v>30</v>
      </c>
      <c r="T20" s="121">
        <f t="shared" si="5"/>
        <v>9354.3307086614186</v>
      </c>
      <c r="U20" s="70">
        <f>VLOOKUP(F20,'PENDING PO'!A23:B101,2,0)</f>
        <v>0</v>
      </c>
      <c r="V20" s="72">
        <f t="shared" si="6"/>
        <v>0</v>
      </c>
      <c r="W20" s="75">
        <f t="shared" si="7"/>
        <v>0</v>
      </c>
    </row>
    <row r="21" spans="1:23" s="71" customFormat="1" ht="27" customHeight="1">
      <c r="A21" s="116">
        <v>20</v>
      </c>
      <c r="B21" s="111" t="s">
        <v>196</v>
      </c>
      <c r="C21" s="112">
        <v>30</v>
      </c>
      <c r="D21" s="112">
        <v>90</v>
      </c>
      <c r="E21" s="112">
        <v>3</v>
      </c>
      <c r="F21" s="112">
        <v>4305</v>
      </c>
      <c r="G21" s="111" t="s">
        <v>197</v>
      </c>
      <c r="H21" s="112">
        <v>1500</v>
      </c>
      <c r="I21" s="117" t="s">
        <v>189</v>
      </c>
      <c r="J21" s="111" t="s">
        <v>190</v>
      </c>
      <c r="K21" s="111">
        <v>500</v>
      </c>
      <c r="L21" s="117">
        <f t="shared" si="0"/>
        <v>6.0149999999999997</v>
      </c>
      <c r="M21" s="117">
        <v>2</v>
      </c>
      <c r="N21" s="118">
        <f t="shared" si="1"/>
        <v>19.950124688279303</v>
      </c>
      <c r="O21" s="119">
        <f t="shared" si="2"/>
        <v>438.90274314214469</v>
      </c>
      <c r="P21" s="120">
        <v>0.6</v>
      </c>
      <c r="Q21" s="121">
        <f t="shared" si="3"/>
        <v>263.34164588528682</v>
      </c>
      <c r="R21" s="122">
        <f t="shared" si="4"/>
        <v>10.025</v>
      </c>
      <c r="S21" s="121">
        <v>30</v>
      </c>
      <c r="T21" s="121">
        <f t="shared" si="5"/>
        <v>7900.249376558605</v>
      </c>
      <c r="U21" s="70">
        <f>VLOOKUP(F21,'PENDING PO'!A24:B101,2,0)</f>
        <v>0</v>
      </c>
      <c r="V21" s="72">
        <f t="shared" si="6"/>
        <v>0</v>
      </c>
      <c r="W21" s="75">
        <f t="shared" si="7"/>
        <v>0</v>
      </c>
    </row>
    <row r="22" spans="1:23" s="71" customFormat="1" ht="27" customHeight="1">
      <c r="A22" s="116">
        <v>21</v>
      </c>
      <c r="B22" s="111" t="s">
        <v>25</v>
      </c>
      <c r="C22" s="111">
        <v>160</v>
      </c>
      <c r="D22" s="111">
        <v>17</v>
      </c>
      <c r="E22" s="111">
        <v>1</v>
      </c>
      <c r="F22" s="111">
        <v>7102</v>
      </c>
      <c r="G22" s="113" t="s">
        <v>26</v>
      </c>
      <c r="H22" s="112">
        <v>5000</v>
      </c>
      <c r="I22" s="112" t="s">
        <v>3</v>
      </c>
      <c r="J22" s="111" t="s">
        <v>190</v>
      </c>
      <c r="K22" s="111">
        <v>600</v>
      </c>
      <c r="L22" s="117">
        <f t="shared" si="0"/>
        <v>11.374999999999998</v>
      </c>
      <c r="M22" s="117">
        <v>2</v>
      </c>
      <c r="N22" s="118">
        <f t="shared" si="1"/>
        <v>10.549450549450551</v>
      </c>
      <c r="O22" s="119">
        <f t="shared" si="2"/>
        <v>232.08791208791212</v>
      </c>
      <c r="P22" s="120">
        <v>0.75</v>
      </c>
      <c r="Q22" s="121">
        <f t="shared" si="3"/>
        <v>174.06593406593407</v>
      </c>
      <c r="R22" s="122">
        <f t="shared" si="4"/>
        <v>15.166666666666664</v>
      </c>
      <c r="S22" s="121">
        <v>30</v>
      </c>
      <c r="T22" s="121">
        <f t="shared" si="5"/>
        <v>5221.9780219780223</v>
      </c>
      <c r="U22" s="70">
        <f>VLOOKUP(F22,'PENDING PO'!A27:B101,2,0)</f>
        <v>0</v>
      </c>
      <c r="V22" s="72">
        <f t="shared" si="6"/>
        <v>0</v>
      </c>
      <c r="W22" s="75">
        <f t="shared" si="7"/>
        <v>0</v>
      </c>
    </row>
    <row r="23" spans="1:23" s="71" customFormat="1" ht="27" customHeight="1">
      <c r="A23" s="116">
        <v>22</v>
      </c>
      <c r="B23" s="111" t="s">
        <v>27</v>
      </c>
      <c r="C23" s="111">
        <v>80</v>
      </c>
      <c r="D23" s="111">
        <v>35</v>
      </c>
      <c r="E23" s="111">
        <v>1</v>
      </c>
      <c r="F23" s="111">
        <v>7103</v>
      </c>
      <c r="G23" s="113" t="s">
        <v>24</v>
      </c>
      <c r="H23" s="112">
        <v>5000</v>
      </c>
      <c r="I23" s="112" t="s">
        <v>3</v>
      </c>
      <c r="J23" s="111" t="s">
        <v>190</v>
      </c>
      <c r="K23" s="111">
        <v>600</v>
      </c>
      <c r="L23" s="117">
        <f t="shared" si="0"/>
        <v>11.374999999999998</v>
      </c>
      <c r="M23" s="117">
        <v>2</v>
      </c>
      <c r="N23" s="118">
        <f t="shared" si="1"/>
        <v>10.549450549450551</v>
      </c>
      <c r="O23" s="119">
        <f t="shared" si="2"/>
        <v>232.08791208791212</v>
      </c>
      <c r="P23" s="120">
        <v>0.75</v>
      </c>
      <c r="Q23" s="121">
        <f t="shared" si="3"/>
        <v>174.06593406593407</v>
      </c>
      <c r="R23" s="122">
        <f t="shared" si="4"/>
        <v>15.166666666666664</v>
      </c>
      <c r="S23" s="121">
        <v>30</v>
      </c>
      <c r="T23" s="121">
        <f t="shared" si="5"/>
        <v>5221.9780219780223</v>
      </c>
      <c r="U23" s="70">
        <f>VLOOKUP(F23,'PENDING PO'!A28:B101,2,0)</f>
        <v>60</v>
      </c>
      <c r="V23" s="72">
        <f t="shared" si="6"/>
        <v>1.1489898989898989E-2</v>
      </c>
      <c r="W23" s="75">
        <f t="shared" si="7"/>
        <v>909.99999999999989</v>
      </c>
    </row>
    <row r="24" spans="1:23" s="71" customFormat="1" ht="27" customHeight="1">
      <c r="A24" s="116">
        <v>23</v>
      </c>
      <c r="B24" s="111" t="s">
        <v>19</v>
      </c>
      <c r="C24" s="112">
        <v>150</v>
      </c>
      <c r="D24" s="112">
        <v>18</v>
      </c>
      <c r="E24" s="112">
        <v>2</v>
      </c>
      <c r="F24" s="112">
        <v>7201</v>
      </c>
      <c r="G24" s="123" t="s">
        <v>20</v>
      </c>
      <c r="H24" s="112">
        <v>10000</v>
      </c>
      <c r="I24" s="112" t="s">
        <v>3</v>
      </c>
      <c r="J24" s="111" t="s">
        <v>190</v>
      </c>
      <c r="K24" s="111">
        <v>600</v>
      </c>
      <c r="L24" s="117">
        <f t="shared" si="0"/>
        <v>19.749999999999996</v>
      </c>
      <c r="M24" s="117">
        <v>2</v>
      </c>
      <c r="N24" s="118">
        <f t="shared" si="1"/>
        <v>6.0759493670886089</v>
      </c>
      <c r="O24" s="119">
        <f t="shared" si="2"/>
        <v>133.6708860759494</v>
      </c>
      <c r="P24" s="120">
        <v>0.8</v>
      </c>
      <c r="Q24" s="121">
        <f t="shared" si="3"/>
        <v>106.93670886075952</v>
      </c>
      <c r="R24" s="122">
        <f t="shared" si="4"/>
        <v>24.687499999999993</v>
      </c>
      <c r="S24" s="121">
        <v>30</v>
      </c>
      <c r="T24" s="121">
        <f t="shared" si="5"/>
        <v>3208.1012658227855</v>
      </c>
      <c r="U24" s="70">
        <f>VLOOKUP(F24,'PENDING PO'!A29:B101,2,0)</f>
        <v>0</v>
      </c>
      <c r="V24" s="72">
        <f t="shared" si="6"/>
        <v>0</v>
      </c>
      <c r="W24" s="75">
        <f t="shared" si="7"/>
        <v>0</v>
      </c>
    </row>
    <row r="25" spans="1:23" s="71" customFormat="1" ht="27" customHeight="1">
      <c r="A25" s="116">
        <v>24</v>
      </c>
      <c r="B25" s="111" t="s">
        <v>21</v>
      </c>
      <c r="C25" s="112">
        <v>120</v>
      </c>
      <c r="D25" s="112">
        <v>27</v>
      </c>
      <c r="E25" s="112">
        <v>3</v>
      </c>
      <c r="F25" s="112">
        <v>7301</v>
      </c>
      <c r="G25" s="123" t="s">
        <v>20</v>
      </c>
      <c r="H25" s="112">
        <v>5000</v>
      </c>
      <c r="I25" s="112" t="s">
        <v>3</v>
      </c>
      <c r="J25" s="111" t="s">
        <v>190</v>
      </c>
      <c r="K25" s="111">
        <v>600</v>
      </c>
      <c r="L25" s="117">
        <f t="shared" si="0"/>
        <v>11.374999999999998</v>
      </c>
      <c r="M25" s="117">
        <v>2</v>
      </c>
      <c r="N25" s="118">
        <f t="shared" si="1"/>
        <v>10.549450549450551</v>
      </c>
      <c r="O25" s="119">
        <f t="shared" si="2"/>
        <v>232.08791208791212</v>
      </c>
      <c r="P25" s="120">
        <v>0.75</v>
      </c>
      <c r="Q25" s="121">
        <f t="shared" si="3"/>
        <v>174.06593406593407</v>
      </c>
      <c r="R25" s="122">
        <f t="shared" si="4"/>
        <v>15.166666666666664</v>
      </c>
      <c r="S25" s="121">
        <v>30</v>
      </c>
      <c r="T25" s="121">
        <f t="shared" si="5"/>
        <v>5221.9780219780223</v>
      </c>
      <c r="U25" s="70">
        <f>VLOOKUP(F25,'PENDING PO'!A30:B102,2,0)</f>
        <v>0</v>
      </c>
      <c r="V25" s="72">
        <f t="shared" si="6"/>
        <v>0</v>
      </c>
      <c r="W25" s="75">
        <f t="shared" si="7"/>
        <v>0</v>
      </c>
    </row>
    <row r="26" spans="1:23" s="71" customFormat="1" ht="27" customHeight="1">
      <c r="A26" s="36"/>
      <c r="B26" s="37"/>
      <c r="C26" s="39"/>
      <c r="D26" s="39"/>
      <c r="E26" s="39"/>
      <c r="F26" s="39"/>
      <c r="G26" s="45"/>
      <c r="H26" s="39"/>
      <c r="I26" s="39"/>
      <c r="J26" s="37"/>
      <c r="K26" s="37"/>
      <c r="L26" s="41"/>
      <c r="M26" s="41"/>
      <c r="N26" s="40"/>
      <c r="O26" s="115"/>
      <c r="P26" s="3"/>
      <c r="Q26" s="1"/>
      <c r="R26" s="2"/>
      <c r="S26" s="1"/>
      <c r="T26" s="1"/>
      <c r="V26" s="98"/>
      <c r="W26" s="97"/>
    </row>
    <row r="27" spans="1:23" s="71" customFormat="1" ht="27" customHeight="1">
      <c r="A27" s="92"/>
      <c r="B27" s="93"/>
      <c r="C27" s="94"/>
      <c r="D27" s="94"/>
      <c r="E27" s="94"/>
      <c r="F27" s="94"/>
      <c r="G27" s="95"/>
      <c r="H27" s="94"/>
      <c r="I27" s="94"/>
      <c r="J27" s="93"/>
      <c r="K27" s="93"/>
      <c r="L27" s="93"/>
      <c r="M27" s="93"/>
      <c r="N27" s="93"/>
      <c r="O27" s="94"/>
      <c r="P27" s="90"/>
      <c r="Q27" s="96"/>
      <c r="R27" s="96"/>
      <c r="T27" s="97"/>
      <c r="V27" s="98"/>
      <c r="W27" s="97"/>
    </row>
    <row r="28" spans="1:23" ht="18.75" customHeight="1">
      <c r="A28" s="36"/>
      <c r="B28" s="37"/>
      <c r="C28" s="39"/>
      <c r="D28" s="39"/>
      <c r="E28" s="39"/>
      <c r="F28" s="39"/>
      <c r="G28" s="45"/>
      <c r="H28" s="39"/>
      <c r="I28" s="39"/>
      <c r="J28" s="37"/>
      <c r="K28" s="37"/>
      <c r="L28" s="41"/>
      <c r="M28" s="41"/>
      <c r="N28" s="46"/>
      <c r="O28" s="43"/>
      <c r="P28" s="3"/>
      <c r="U28" s="47">
        <f>SUM(U2:U25)</f>
        <v>91714</v>
      </c>
      <c r="V28" s="138">
        <f>SUM(V2:V25)</f>
        <v>27.48694669693732</v>
      </c>
    </row>
    <row r="29" spans="1:23">
      <c r="W29" s="1">
        <f>SUM(W2:W24)</f>
        <v>2176966.1783974348</v>
      </c>
    </row>
    <row r="30" spans="1:23">
      <c r="D30" s="4" t="s">
        <v>74</v>
      </c>
      <c r="W30" s="1">
        <f>20*2*20*60</f>
        <v>48000</v>
      </c>
    </row>
    <row r="31" spans="1:23">
      <c r="D31" s="4" t="s">
        <v>72</v>
      </c>
      <c r="W31" s="1">
        <f>W29/W30</f>
        <v>45.353462049946557</v>
      </c>
    </row>
  </sheetData>
  <sortState ref="A2:W31">
    <sortCondition ref="F1:F31"/>
  </sortState>
  <pageMargins left="0.51181102362204722" right="0.11811023622047245" top="0.15748031496062992" bottom="0.15748031496062992" header="0.11811023622047245" footer="0.19685039370078741"/>
  <pageSetup paperSize="9" fitToWidth="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93"/>
  <sheetViews>
    <sheetView zoomScaleNormal="100" workbookViewId="0">
      <selection activeCell="E30" sqref="E30"/>
    </sheetView>
  </sheetViews>
  <sheetFormatPr defaultColWidth="10" defaultRowHeight="15"/>
  <cols>
    <col min="1" max="1" width="14.85546875" bestFit="1" customWidth="1"/>
    <col min="2" max="2" width="10.140625" customWidth="1"/>
    <col min="3" max="3" width="23.42578125" customWidth="1"/>
    <col min="4" max="4" width="24.7109375" customWidth="1"/>
  </cols>
  <sheetData>
    <row r="1" spans="1:14" ht="15.75">
      <c r="A1" s="15" t="s">
        <v>66</v>
      </c>
      <c r="B1" s="15" t="s">
        <v>67</v>
      </c>
      <c r="C1" s="49" t="s">
        <v>169</v>
      </c>
      <c r="D1" s="15" t="s">
        <v>163</v>
      </c>
    </row>
    <row r="2" spans="1:14">
      <c r="A2" s="52">
        <v>1201</v>
      </c>
      <c r="B2" s="53">
        <f>VLOOKUP(A2,[1]Sheet2!$A$3:$C$44,3,0)</f>
        <v>68254</v>
      </c>
      <c r="C2" s="59"/>
      <c r="D2" s="60" t="s">
        <v>166</v>
      </c>
    </row>
    <row r="3" spans="1:14">
      <c r="A3" s="52">
        <v>1202</v>
      </c>
      <c r="B3" s="53">
        <f>VLOOKUP(A3,[1]Sheet2!$A$3:$C$44,3,0)</f>
        <v>16640</v>
      </c>
      <c r="C3" s="59"/>
      <c r="D3" s="60" t="s">
        <v>166</v>
      </c>
    </row>
    <row r="4" spans="1:14">
      <c r="A4" s="52">
        <v>1203</v>
      </c>
      <c r="B4" s="53">
        <f>VLOOKUP(A4,[1]Sheet2!$A$3:$C$44,3,0)</f>
        <v>10</v>
      </c>
      <c r="C4" s="59"/>
      <c r="D4" s="60" t="s">
        <v>166</v>
      </c>
    </row>
    <row r="5" spans="1:14">
      <c r="A5" s="50">
        <v>1206</v>
      </c>
      <c r="B5" s="53">
        <f>VLOOKUP(A5,[1]Sheet2!$A$3:$C$44,3,0)</f>
        <v>0</v>
      </c>
      <c r="C5" s="61"/>
      <c r="D5" s="62" t="s">
        <v>165</v>
      </c>
    </row>
    <row r="6" spans="1:14">
      <c r="A6" s="50">
        <v>1207</v>
      </c>
      <c r="B6" s="53">
        <f>VLOOKUP(A6,[1]Sheet2!$A$3:$C$44,3,0)</f>
        <v>0</v>
      </c>
      <c r="C6" s="61"/>
      <c r="D6" s="62" t="s">
        <v>165</v>
      </c>
    </row>
    <row r="7" spans="1:14">
      <c r="A7" s="54">
        <v>1208</v>
      </c>
      <c r="B7" s="53">
        <f>VLOOKUP(A7,[1]Sheet2!$A$3:$C$44,3,0)</f>
        <v>5487</v>
      </c>
      <c r="C7" s="59"/>
      <c r="D7" s="60" t="s">
        <v>166</v>
      </c>
      <c r="N7" s="88"/>
    </row>
    <row r="8" spans="1:14">
      <c r="A8" s="54">
        <v>1210</v>
      </c>
      <c r="B8" s="53"/>
      <c r="C8" s="59"/>
      <c r="D8" s="60" t="s">
        <v>166</v>
      </c>
      <c r="N8" s="88"/>
    </row>
    <row r="9" spans="1:14">
      <c r="A9" s="54">
        <v>1211</v>
      </c>
      <c r="B9" s="53">
        <f>VLOOKUP(A9,[1]Sheet2!$A$3:$C$44,3,0)</f>
        <v>845</v>
      </c>
      <c r="C9" s="59"/>
      <c r="D9" s="60" t="s">
        <v>166</v>
      </c>
      <c r="N9" s="88"/>
    </row>
    <row r="10" spans="1:14">
      <c r="A10" s="50">
        <v>1215</v>
      </c>
      <c r="B10" s="53"/>
      <c r="C10" s="61"/>
      <c r="D10" s="62" t="s">
        <v>165</v>
      </c>
      <c r="N10" s="88"/>
    </row>
    <row r="11" spans="1:14">
      <c r="A11" s="52">
        <v>1301</v>
      </c>
      <c r="B11" s="53"/>
      <c r="C11" s="59"/>
      <c r="D11" s="60" t="s">
        <v>166</v>
      </c>
      <c r="N11" s="88"/>
    </row>
    <row r="12" spans="1:14">
      <c r="A12" s="51">
        <v>1302</v>
      </c>
      <c r="B12" s="53">
        <f>VLOOKUP(A12,[1]Sheet2!$A$3:$C$44,3,0)</f>
        <v>0</v>
      </c>
      <c r="C12" s="61"/>
      <c r="D12" s="62" t="s">
        <v>165</v>
      </c>
      <c r="N12" s="88"/>
    </row>
    <row r="13" spans="1:14">
      <c r="A13" s="52">
        <v>1303</v>
      </c>
      <c r="B13" s="53">
        <f>VLOOKUP(A13,[1]Sheet2!$A$3:$C$44,3,0)</f>
        <v>118</v>
      </c>
      <c r="C13" s="59"/>
      <c r="D13" s="60" t="s">
        <v>166</v>
      </c>
      <c r="N13" s="88"/>
    </row>
    <row r="14" spans="1:14">
      <c r="A14" s="51">
        <v>1304</v>
      </c>
      <c r="B14" s="53"/>
      <c r="C14" s="61"/>
      <c r="D14" s="62" t="s">
        <v>165</v>
      </c>
      <c r="N14" s="88"/>
    </row>
    <row r="15" spans="1:14">
      <c r="A15" s="54">
        <v>1401</v>
      </c>
      <c r="B15" s="53"/>
      <c r="C15" s="59"/>
      <c r="D15" s="60" t="s">
        <v>166</v>
      </c>
      <c r="N15" s="88"/>
    </row>
    <row r="16" spans="1:14">
      <c r="A16" s="55">
        <v>2201</v>
      </c>
      <c r="B16" s="53"/>
      <c r="C16" s="57"/>
      <c r="D16" s="57" t="s">
        <v>164</v>
      </c>
      <c r="N16" s="88"/>
    </row>
    <row r="17" spans="1:14">
      <c r="A17" s="55">
        <v>2202</v>
      </c>
      <c r="B17" s="53">
        <f>VLOOKUP(A17,[1]Sheet2!$A$3:$C$44,3,0)</f>
        <v>30</v>
      </c>
      <c r="C17" s="57"/>
      <c r="D17" s="57" t="s">
        <v>164</v>
      </c>
      <c r="N17" s="88"/>
    </row>
    <row r="18" spans="1:14">
      <c r="A18" s="55">
        <v>2203</v>
      </c>
      <c r="B18" s="53"/>
      <c r="C18" s="57"/>
      <c r="D18" s="57" t="s">
        <v>164</v>
      </c>
      <c r="N18" s="88"/>
    </row>
    <row r="19" spans="1:14">
      <c r="A19" s="56">
        <v>2204</v>
      </c>
      <c r="B19" s="53">
        <f>VLOOKUP(A19,[1]Sheet2!$A$3:$C$44,3,0)</f>
        <v>5</v>
      </c>
      <c r="C19" s="57"/>
      <c r="D19" s="57" t="s">
        <v>164</v>
      </c>
      <c r="N19" s="88"/>
    </row>
    <row r="20" spans="1:14">
      <c r="A20" s="56">
        <v>2205</v>
      </c>
      <c r="B20" s="53">
        <f>VLOOKUP(A20,[1]Sheet2!$A$3:$C$44,3,0)</f>
        <v>0</v>
      </c>
      <c r="C20" s="57"/>
      <c r="D20" s="57" t="s">
        <v>164</v>
      </c>
      <c r="N20" s="88"/>
    </row>
    <row r="21" spans="1:14">
      <c r="A21" s="55">
        <v>2206</v>
      </c>
      <c r="B21" s="53"/>
      <c r="C21" s="57"/>
      <c r="D21" s="57" t="s">
        <v>164</v>
      </c>
      <c r="N21" s="88"/>
    </row>
    <row r="22" spans="1:14">
      <c r="A22" s="55">
        <v>2207</v>
      </c>
      <c r="B22" s="53"/>
      <c r="C22" s="57"/>
      <c r="D22" s="57" t="s">
        <v>164</v>
      </c>
      <c r="N22" s="88"/>
    </row>
    <row r="23" spans="1:14">
      <c r="A23" s="55">
        <v>2208</v>
      </c>
      <c r="B23" s="53"/>
      <c r="C23" s="57"/>
      <c r="D23" s="57" t="s">
        <v>164</v>
      </c>
    </row>
    <row r="24" spans="1:14">
      <c r="A24" s="55">
        <v>2209</v>
      </c>
      <c r="B24" s="53"/>
      <c r="C24" s="57"/>
      <c r="D24" s="57" t="s">
        <v>164</v>
      </c>
    </row>
    <row r="25" spans="1:14">
      <c r="A25" s="55">
        <v>2210</v>
      </c>
      <c r="B25" s="53">
        <f>VLOOKUP(A25,[1]Sheet2!$A$3:$C$44,3,0)</f>
        <v>4280</v>
      </c>
      <c r="C25" s="57"/>
      <c r="D25" s="57" t="s">
        <v>164</v>
      </c>
    </row>
    <row r="26" spans="1:14">
      <c r="A26" s="55">
        <v>2211</v>
      </c>
      <c r="B26" s="53"/>
      <c r="C26" s="57"/>
      <c r="D26" s="57" t="s">
        <v>164</v>
      </c>
    </row>
    <row r="27" spans="1:14">
      <c r="A27" s="55">
        <v>2301</v>
      </c>
      <c r="B27" s="53"/>
      <c r="C27" s="57"/>
      <c r="D27" s="57" t="s">
        <v>164</v>
      </c>
    </row>
    <row r="28" spans="1:14">
      <c r="A28" s="55">
        <v>2302</v>
      </c>
      <c r="B28" s="53">
        <f>VLOOKUP(A28,[1]Sheet2!$A$3:$C$44,3,0)</f>
        <v>12378</v>
      </c>
      <c r="C28" s="57"/>
      <c r="D28" s="57" t="s">
        <v>164</v>
      </c>
    </row>
    <row r="29" spans="1:14">
      <c r="A29" s="55">
        <v>2303</v>
      </c>
      <c r="B29" s="53">
        <f>VLOOKUP(A29,[1]Sheet2!$A$3:$C$44,3,0)</f>
        <v>8619</v>
      </c>
      <c r="C29" s="57"/>
      <c r="D29" s="57" t="s">
        <v>164</v>
      </c>
    </row>
    <row r="30" spans="1:14">
      <c r="A30" s="55">
        <v>2304</v>
      </c>
      <c r="B30" s="53"/>
      <c r="C30" s="57"/>
      <c r="D30" s="57" t="s">
        <v>164</v>
      </c>
    </row>
    <row r="31" spans="1:14">
      <c r="A31" s="55">
        <v>2305</v>
      </c>
      <c r="B31" s="53">
        <f>VLOOKUP(A31,[1]Sheet2!$A$3:$C$44,3,0)</f>
        <v>2079</v>
      </c>
      <c r="C31" s="57"/>
      <c r="D31" s="57" t="s">
        <v>164</v>
      </c>
    </row>
    <row r="32" spans="1:14">
      <c r="A32" s="55">
        <v>2306</v>
      </c>
      <c r="B32" s="53"/>
      <c r="C32" s="57"/>
      <c r="D32" s="57" t="s">
        <v>164</v>
      </c>
    </row>
    <row r="33" spans="1:4">
      <c r="A33" s="55">
        <v>2307</v>
      </c>
      <c r="B33" s="53"/>
      <c r="C33" s="57"/>
      <c r="D33" s="57" t="s">
        <v>164</v>
      </c>
    </row>
    <row r="34" spans="1:4">
      <c r="A34" s="55">
        <v>2310</v>
      </c>
      <c r="B34" s="53"/>
      <c r="C34" s="57"/>
      <c r="D34" s="57" t="s">
        <v>164</v>
      </c>
    </row>
    <row r="35" spans="1:4">
      <c r="A35" s="55">
        <v>2311</v>
      </c>
      <c r="B35" s="53">
        <f>VLOOKUP(A35,[1]Sheet2!$A$3:$C$44,3,0)</f>
        <v>49</v>
      </c>
      <c r="C35" s="57"/>
      <c r="D35" s="57" t="s">
        <v>164</v>
      </c>
    </row>
    <row r="36" spans="1:4">
      <c r="A36" s="56">
        <v>2313</v>
      </c>
      <c r="B36" s="53">
        <f>VLOOKUP(A36,[1]Sheet2!$A$3:$C$44,3,0)</f>
        <v>4280</v>
      </c>
      <c r="C36" s="57"/>
      <c r="D36" s="57" t="s">
        <v>164</v>
      </c>
    </row>
    <row r="37" spans="1:4">
      <c r="A37" s="56">
        <v>2314</v>
      </c>
      <c r="B37" s="53">
        <f>VLOOKUP(A37,[1]Sheet2!$A$3:$C$44,3,0)</f>
        <v>1356</v>
      </c>
      <c r="C37" s="57"/>
      <c r="D37" s="57" t="s">
        <v>164</v>
      </c>
    </row>
    <row r="38" spans="1:4">
      <c r="A38" s="56">
        <v>2315</v>
      </c>
      <c r="B38" s="53">
        <f>VLOOKUP(A38,[1]Sheet2!$A$3:$C$44,3,0)</f>
        <v>12378</v>
      </c>
      <c r="C38" s="57"/>
      <c r="D38" s="57" t="s">
        <v>164</v>
      </c>
    </row>
    <row r="39" spans="1:4">
      <c r="A39" s="56">
        <v>2316</v>
      </c>
      <c r="B39" s="53">
        <f>VLOOKUP(A39,[1]Sheet2!$A$3:$C$44,3,0)</f>
        <v>8619</v>
      </c>
      <c r="C39" s="57"/>
      <c r="D39" s="57" t="s">
        <v>164</v>
      </c>
    </row>
    <row r="40" spans="1:4">
      <c r="A40" s="56">
        <v>2317</v>
      </c>
      <c r="B40" s="53">
        <f>VLOOKUP(A40,[1]Sheet2!$A$3:$C$44,3,0)</f>
        <v>2079</v>
      </c>
      <c r="C40" s="57"/>
      <c r="D40" s="57" t="s">
        <v>164</v>
      </c>
    </row>
    <row r="41" spans="1:4">
      <c r="A41" s="55">
        <v>2318</v>
      </c>
      <c r="B41" s="53">
        <f>VLOOKUP(A41,[1]Sheet2!$A$3:$C$44,3,0)</f>
        <v>49</v>
      </c>
      <c r="C41" s="57"/>
      <c r="D41" s="57" t="s">
        <v>164</v>
      </c>
    </row>
    <row r="42" spans="1:4">
      <c r="A42" s="55">
        <v>2319</v>
      </c>
      <c r="B42" s="53"/>
      <c r="C42" s="57"/>
      <c r="D42" s="57" t="s">
        <v>164</v>
      </c>
    </row>
    <row r="43" spans="1:4">
      <c r="A43" s="55">
        <v>2320</v>
      </c>
      <c r="B43" s="53"/>
      <c r="C43" s="57"/>
      <c r="D43" s="57" t="s">
        <v>164</v>
      </c>
    </row>
    <row r="44" spans="1:4">
      <c r="A44" s="56">
        <v>2321</v>
      </c>
      <c r="B44" s="53">
        <f>VLOOKUP(A44,[1]Sheet2!$A$3:$C$44,3,0)</f>
        <v>7310</v>
      </c>
      <c r="C44" s="57"/>
      <c r="D44" s="57" t="s">
        <v>164</v>
      </c>
    </row>
    <row r="45" spans="1:4">
      <c r="A45" s="56">
        <v>2322</v>
      </c>
      <c r="B45" s="53">
        <f>VLOOKUP(A45,[1]Sheet2!$A$3:$C$44,3,0)</f>
        <v>1356</v>
      </c>
      <c r="C45" s="57"/>
      <c r="D45" s="57" t="s">
        <v>164</v>
      </c>
    </row>
    <row r="46" spans="1:4">
      <c r="A46" s="55">
        <v>2323</v>
      </c>
      <c r="B46" s="53"/>
      <c r="C46" s="57"/>
      <c r="D46" s="57" t="s">
        <v>164</v>
      </c>
    </row>
    <row r="47" spans="1:4">
      <c r="A47" s="55">
        <v>2324</v>
      </c>
      <c r="B47" s="53"/>
      <c r="C47" s="57"/>
      <c r="D47" s="57" t="s">
        <v>164</v>
      </c>
    </row>
    <row r="48" spans="1:4">
      <c r="A48" s="56">
        <v>2325</v>
      </c>
      <c r="B48" s="53"/>
      <c r="C48" s="57"/>
      <c r="D48" s="57" t="s">
        <v>164</v>
      </c>
    </row>
    <row r="49" spans="1:4">
      <c r="A49" s="55">
        <v>2326</v>
      </c>
      <c r="B49" s="53"/>
      <c r="C49" s="57"/>
      <c r="D49" s="57" t="s">
        <v>164</v>
      </c>
    </row>
    <row r="50" spans="1:4">
      <c r="A50" s="55">
        <v>3201</v>
      </c>
      <c r="B50" s="53">
        <f>VLOOKUP(A50,[1]Sheet2!$A$3:$C$44,3,0)</f>
        <v>208</v>
      </c>
      <c r="C50" s="57"/>
      <c r="D50" s="57" t="s">
        <v>164</v>
      </c>
    </row>
    <row r="51" spans="1:4">
      <c r="A51" s="55">
        <v>3202</v>
      </c>
      <c r="B51" s="53">
        <f>VLOOKUP(A51,[1]Sheet2!$A$3:$C$44,3,0)</f>
        <v>4243</v>
      </c>
      <c r="C51" s="57"/>
      <c r="D51" s="57" t="s">
        <v>164</v>
      </c>
    </row>
    <row r="52" spans="1:4">
      <c r="A52" s="56">
        <v>3203</v>
      </c>
      <c r="B52" s="53">
        <f>VLOOKUP(A52,[1]Sheet2!$A$3:$C$44,3,0)</f>
        <v>152</v>
      </c>
      <c r="C52" s="57"/>
      <c r="D52" s="57" t="s">
        <v>164</v>
      </c>
    </row>
    <row r="53" spans="1:4">
      <c r="A53" s="55">
        <v>3301</v>
      </c>
      <c r="B53" s="53">
        <f>VLOOKUP(A53,[1]Sheet2!$A$3:$C$44,3,0)</f>
        <v>6873</v>
      </c>
      <c r="C53" s="57"/>
      <c r="D53" s="57" t="s">
        <v>164</v>
      </c>
    </row>
    <row r="54" spans="1:4">
      <c r="A54" s="55">
        <v>3302</v>
      </c>
      <c r="B54" s="53">
        <f>VLOOKUP(A54,[1]Sheet2!$A$3:$C$44,3,0)</f>
        <v>11203</v>
      </c>
      <c r="C54" s="57"/>
      <c r="D54" s="57" t="s">
        <v>164</v>
      </c>
    </row>
    <row r="55" spans="1:4">
      <c r="A55" s="55">
        <v>3303</v>
      </c>
      <c r="B55" s="53"/>
      <c r="C55" s="57"/>
      <c r="D55" s="57" t="s">
        <v>164</v>
      </c>
    </row>
    <row r="56" spans="1:4">
      <c r="A56" s="56">
        <v>3304</v>
      </c>
      <c r="B56" s="53"/>
      <c r="C56" s="57"/>
      <c r="D56" s="57" t="s">
        <v>164</v>
      </c>
    </row>
    <row r="57" spans="1:4">
      <c r="A57" s="55">
        <v>3310</v>
      </c>
      <c r="B57" s="53">
        <f>VLOOKUP(A57,[1]Sheet2!$A$3:$C$44,3,0)</f>
        <v>979</v>
      </c>
      <c r="C57" s="57"/>
      <c r="D57" s="57" t="s">
        <v>164</v>
      </c>
    </row>
    <row r="58" spans="1:4">
      <c r="A58" s="55">
        <v>3311</v>
      </c>
      <c r="B58" s="53">
        <f>VLOOKUP(A58,[1]Sheet2!$A$3:$C$44,3,0)</f>
        <v>280</v>
      </c>
      <c r="C58" s="57"/>
      <c r="D58" s="57" t="s">
        <v>164</v>
      </c>
    </row>
    <row r="59" spans="1:4">
      <c r="A59" s="55">
        <v>3401</v>
      </c>
      <c r="B59" s="53"/>
      <c r="C59" s="57"/>
      <c r="D59" s="57" t="s">
        <v>164</v>
      </c>
    </row>
    <row r="60" spans="1:4">
      <c r="A60" s="55">
        <v>3402</v>
      </c>
      <c r="B60" s="53">
        <f>VLOOKUP(A60,[1]Sheet2!$A$3:$C$44,3,0)</f>
        <v>60</v>
      </c>
      <c r="C60" s="57"/>
      <c r="D60" s="57" t="s">
        <v>164</v>
      </c>
    </row>
    <row r="61" spans="1:4">
      <c r="A61" s="52">
        <v>4201</v>
      </c>
      <c r="B61" s="53"/>
      <c r="C61" s="59"/>
      <c r="D61" s="60" t="s">
        <v>166</v>
      </c>
    </row>
    <row r="62" spans="1:4">
      <c r="A62" s="52">
        <v>4202</v>
      </c>
      <c r="B62" s="53"/>
      <c r="C62" s="59"/>
      <c r="D62" s="60" t="s">
        <v>166</v>
      </c>
    </row>
    <row r="63" spans="1:4">
      <c r="A63" s="52">
        <v>4203</v>
      </c>
      <c r="B63" s="53"/>
      <c r="C63" s="59"/>
      <c r="D63" s="60" t="s">
        <v>166</v>
      </c>
    </row>
    <row r="64" spans="1:4">
      <c r="A64" s="52">
        <v>4204</v>
      </c>
      <c r="B64" s="53">
        <f>VLOOKUP(A64,[1]Sheet2!$A$3:$C$44,3,0)</f>
        <v>300</v>
      </c>
      <c r="C64" s="59"/>
      <c r="D64" s="60" t="s">
        <v>166</v>
      </c>
    </row>
    <row r="65" spans="1:4">
      <c r="A65" s="52">
        <v>4206</v>
      </c>
      <c r="B65" s="53"/>
      <c r="C65" s="59"/>
      <c r="D65" s="60" t="s">
        <v>166</v>
      </c>
    </row>
    <row r="66" spans="1:4">
      <c r="A66" s="52">
        <v>4207</v>
      </c>
      <c r="B66" s="53"/>
      <c r="C66" s="59"/>
      <c r="D66" s="60" t="s">
        <v>166</v>
      </c>
    </row>
    <row r="67" spans="1:4">
      <c r="A67" s="52">
        <v>4208</v>
      </c>
      <c r="B67" s="53"/>
      <c r="C67" s="59"/>
      <c r="D67" s="60" t="s">
        <v>166</v>
      </c>
    </row>
    <row r="68" spans="1:4">
      <c r="A68" s="52">
        <v>4209</v>
      </c>
      <c r="B68" s="53"/>
      <c r="C68" s="59"/>
      <c r="D68" s="60" t="s">
        <v>166</v>
      </c>
    </row>
    <row r="69" spans="1:4">
      <c r="A69" s="52">
        <v>4210</v>
      </c>
      <c r="B69" s="53"/>
      <c r="C69" s="59"/>
      <c r="D69" s="60" t="s">
        <v>166</v>
      </c>
    </row>
    <row r="70" spans="1:4">
      <c r="A70" s="52">
        <v>4211</v>
      </c>
      <c r="B70" s="53"/>
      <c r="C70" s="59"/>
      <c r="D70" s="60" t="s">
        <v>166</v>
      </c>
    </row>
    <row r="71" spans="1:4">
      <c r="A71" s="51">
        <v>4212</v>
      </c>
      <c r="B71" s="53"/>
      <c r="C71" s="61"/>
      <c r="D71" s="62" t="s">
        <v>165</v>
      </c>
    </row>
    <row r="72" spans="1:4">
      <c r="A72" s="51">
        <v>4213</v>
      </c>
      <c r="B72" s="53"/>
      <c r="C72" s="61"/>
      <c r="D72" s="62" t="s">
        <v>165</v>
      </c>
    </row>
    <row r="73" spans="1:4">
      <c r="A73" s="52">
        <v>4305</v>
      </c>
      <c r="B73" s="53"/>
      <c r="C73" s="59"/>
      <c r="D73" s="60" t="s">
        <v>166</v>
      </c>
    </row>
    <row r="74" spans="1:4">
      <c r="A74" s="55">
        <v>5301</v>
      </c>
      <c r="B74" s="53"/>
      <c r="C74" s="57"/>
      <c r="D74" s="57" t="s">
        <v>164</v>
      </c>
    </row>
    <row r="75" spans="1:4">
      <c r="A75" s="55">
        <v>5302</v>
      </c>
      <c r="B75" s="53"/>
      <c r="C75" s="57"/>
      <c r="D75" s="57" t="s">
        <v>164</v>
      </c>
    </row>
    <row r="76" spans="1:4">
      <c r="A76" s="56">
        <v>5304</v>
      </c>
      <c r="B76" s="53">
        <f>VLOOKUP(A76,[1]Sheet2!$A$3:$C$44,3,0)</f>
        <v>180</v>
      </c>
      <c r="C76" s="57"/>
      <c r="D76" s="57" t="s">
        <v>164</v>
      </c>
    </row>
    <row r="77" spans="1:4">
      <c r="A77" s="55">
        <v>5306</v>
      </c>
      <c r="B77" s="53"/>
      <c r="C77" s="57"/>
      <c r="D77" s="57" t="s">
        <v>164</v>
      </c>
    </row>
    <row r="78" spans="1:4">
      <c r="A78" s="55">
        <v>5307</v>
      </c>
      <c r="B78" s="53">
        <f>VLOOKUP(A78,[1]Sheet2!$A$3:$C$44,3,0)</f>
        <v>28</v>
      </c>
      <c r="C78" s="57"/>
      <c r="D78" s="57" t="s">
        <v>164</v>
      </c>
    </row>
    <row r="79" spans="1:4">
      <c r="A79" s="55">
        <v>6301</v>
      </c>
      <c r="B79" s="53">
        <f>VLOOKUP(A79,[1]Sheet2!$A$3:$C$44,3,0)</f>
        <v>20</v>
      </c>
      <c r="C79" s="57"/>
      <c r="D79" s="57" t="s">
        <v>164</v>
      </c>
    </row>
    <row r="80" spans="1:4">
      <c r="A80" s="55">
        <v>6302</v>
      </c>
      <c r="B80" s="53"/>
      <c r="C80" s="57"/>
      <c r="D80" s="57" t="s">
        <v>164</v>
      </c>
    </row>
    <row r="81" spans="1:4">
      <c r="A81" s="55">
        <v>6303</v>
      </c>
      <c r="B81" s="53">
        <f>VLOOKUP(A81,[1]Sheet2!$A$3:$C$44,3,0)</f>
        <v>20</v>
      </c>
      <c r="C81" s="57"/>
      <c r="D81" s="57" t="s">
        <v>164</v>
      </c>
    </row>
    <row r="82" spans="1:4">
      <c r="A82" s="55">
        <v>6304</v>
      </c>
      <c r="B82" s="53"/>
      <c r="C82" s="57"/>
      <c r="D82" s="57" t="s">
        <v>164</v>
      </c>
    </row>
    <row r="83" spans="1:4">
      <c r="A83" s="55">
        <v>6305</v>
      </c>
      <c r="B83" s="53"/>
      <c r="C83" s="57"/>
      <c r="D83" s="57" t="s">
        <v>164</v>
      </c>
    </row>
    <row r="84" spans="1:4">
      <c r="A84" s="58">
        <v>7101</v>
      </c>
      <c r="B84" s="53"/>
      <c r="C84" s="57"/>
      <c r="D84" s="57" t="s">
        <v>164</v>
      </c>
    </row>
    <row r="85" spans="1:4">
      <c r="A85" s="54">
        <v>7102</v>
      </c>
      <c r="B85" s="53"/>
      <c r="C85" s="59"/>
      <c r="D85" s="60" t="s">
        <v>166</v>
      </c>
    </row>
    <row r="86" spans="1:4">
      <c r="A86" s="54">
        <v>7103</v>
      </c>
      <c r="B86" s="53">
        <f>VLOOKUP(A86,[1]Sheet2!$A$3:$C$44,3,0)</f>
        <v>60</v>
      </c>
      <c r="C86" s="59"/>
      <c r="D86" s="60" t="s">
        <v>166</v>
      </c>
    </row>
    <row r="87" spans="1:4">
      <c r="A87" s="58">
        <v>7104</v>
      </c>
      <c r="B87" s="53">
        <f>VLOOKUP(A87,[1]Sheet2!$A$3:$C$44,3,0)</f>
        <v>1536</v>
      </c>
      <c r="C87" s="57"/>
      <c r="D87" s="57" t="s">
        <v>164</v>
      </c>
    </row>
    <row r="88" spans="1:4">
      <c r="A88" s="52">
        <v>7201</v>
      </c>
      <c r="B88" s="53"/>
      <c r="C88" s="59"/>
      <c r="D88" s="60" t="s">
        <v>166</v>
      </c>
    </row>
    <row r="89" spans="1:4">
      <c r="A89" s="52">
        <v>7301</v>
      </c>
      <c r="B89" s="53"/>
      <c r="C89" s="59"/>
      <c r="D89" s="60" t="s">
        <v>166</v>
      </c>
    </row>
    <row r="90" spans="1:4">
      <c r="A90" s="52"/>
      <c r="B90" s="53"/>
      <c r="C90" s="59"/>
      <c r="D90" s="60"/>
    </row>
    <row r="91" spans="1:4">
      <c r="A91" s="52"/>
      <c r="B91" s="53"/>
      <c r="C91" s="59"/>
      <c r="D91" s="60"/>
    </row>
    <row r="92" spans="1:4" s="85" customFormat="1" ht="15.75">
      <c r="A92" s="82" t="s">
        <v>167</v>
      </c>
      <c r="B92" s="83">
        <f>SUBTOTAL(9,B2:B89)</f>
        <v>182363</v>
      </c>
      <c r="C92" s="84"/>
      <c r="D92" s="84"/>
    </row>
    <row r="93" spans="1:4" s="85" customFormat="1" ht="15.75">
      <c r="A93" s="86" t="s">
        <v>168</v>
      </c>
      <c r="B93" s="87">
        <f>'Cycle time-Filaments'!U60+'Cycle time SSP-TXP-PPC'!U28+'Cycle time TUBE)'!U10</f>
        <v>182363</v>
      </c>
      <c r="C93" s="84"/>
      <c r="D93" s="84"/>
    </row>
  </sheetData>
  <sortState ref="A2:B86">
    <sortCondition ref="A1:A86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15"/>
  <sheetViews>
    <sheetView workbookViewId="0">
      <pane xSplit="1" ySplit="1" topLeftCell="B2" activePane="bottomRight" state="frozen"/>
      <selection activeCell="Q3" sqref="Q3"/>
      <selection pane="topRight" activeCell="Q3" sqref="Q3"/>
      <selection pane="bottomLeft" activeCell="Q3" sqref="Q3"/>
      <selection pane="bottomRight" activeCell="D18" sqref="D18"/>
    </sheetView>
  </sheetViews>
  <sheetFormatPr defaultColWidth="3.85546875" defaultRowHeight="15.75"/>
  <cols>
    <col min="1" max="1" width="21.85546875" style="6" customWidth="1"/>
    <col min="2" max="2" width="11.28515625" style="6" bestFit="1" customWidth="1"/>
    <col min="3" max="3" width="11" style="6" bestFit="1" customWidth="1"/>
    <col min="4" max="4" width="12.28515625" style="6" bestFit="1" customWidth="1"/>
    <col min="5" max="5" width="8.5703125" style="6" bestFit="1" customWidth="1"/>
    <col min="6" max="6" width="12.28515625" style="6" bestFit="1" customWidth="1"/>
    <col min="7" max="7" width="8.5703125" style="6" customWidth="1"/>
    <col min="8" max="8" width="7" style="6" bestFit="1" customWidth="1"/>
    <col min="9" max="9" width="16.28515625" style="6" customWidth="1"/>
    <col min="10" max="10" width="15.7109375" style="6" customWidth="1"/>
    <col min="11" max="11" width="7.85546875" style="6" bestFit="1" customWidth="1"/>
    <col min="12" max="12" width="48" style="6" bestFit="1" customWidth="1"/>
    <col min="13" max="13" width="14.7109375" style="6" bestFit="1" customWidth="1"/>
    <col min="14" max="14" width="8.42578125" style="6" bestFit="1" customWidth="1"/>
    <col min="15" max="15" width="9.5703125" style="6" bestFit="1" customWidth="1"/>
    <col min="16" max="16384" width="3.85546875" style="6"/>
  </cols>
  <sheetData>
    <row r="1" spans="1:12" s="7" customFormat="1" ht="39.75" customHeight="1">
      <c r="A1" s="8" t="s">
        <v>40</v>
      </c>
      <c r="B1" s="9" t="s">
        <v>41</v>
      </c>
      <c r="C1" s="9" t="s">
        <v>42</v>
      </c>
      <c r="D1" s="9" t="s">
        <v>43</v>
      </c>
      <c r="E1" s="9" t="s">
        <v>44</v>
      </c>
      <c r="F1" s="9" t="s">
        <v>43</v>
      </c>
      <c r="G1" s="9" t="s">
        <v>44</v>
      </c>
      <c r="H1" s="9" t="s">
        <v>45</v>
      </c>
      <c r="I1" s="9" t="s">
        <v>46</v>
      </c>
      <c r="J1" s="9" t="s">
        <v>47</v>
      </c>
      <c r="K1" s="9" t="s">
        <v>0</v>
      </c>
    </row>
    <row r="2" spans="1:12">
      <c r="A2" s="10" t="s">
        <v>59</v>
      </c>
      <c r="B2" s="11" t="s">
        <v>60</v>
      </c>
      <c r="C2" s="11" t="s">
        <v>42</v>
      </c>
      <c r="D2" s="11" t="s">
        <v>43</v>
      </c>
      <c r="E2" s="11" t="s">
        <v>44</v>
      </c>
      <c r="F2" s="11"/>
      <c r="G2" s="11"/>
      <c r="H2" s="11" t="s">
        <v>45</v>
      </c>
      <c r="I2" s="11" t="s">
        <v>49</v>
      </c>
      <c r="J2" s="11" t="s">
        <v>61</v>
      </c>
      <c r="K2" s="11" t="s">
        <v>0</v>
      </c>
      <c r="L2" s="11" t="s">
        <v>50</v>
      </c>
    </row>
    <row r="3" spans="1:12">
      <c r="A3" s="10" t="s">
        <v>48</v>
      </c>
      <c r="B3" s="11" t="s">
        <v>41</v>
      </c>
      <c r="C3" s="11" t="s">
        <v>42</v>
      </c>
      <c r="D3" s="11" t="s">
        <v>43</v>
      </c>
      <c r="E3" s="11" t="s">
        <v>44</v>
      </c>
      <c r="F3" s="11"/>
      <c r="G3" s="11"/>
      <c r="H3" s="11" t="s">
        <v>45</v>
      </c>
      <c r="I3" s="11" t="s">
        <v>49</v>
      </c>
      <c r="J3" s="11" t="s">
        <v>61</v>
      </c>
      <c r="K3" s="11" t="s">
        <v>0</v>
      </c>
      <c r="L3" s="11" t="s">
        <v>50</v>
      </c>
    </row>
    <row r="4" spans="1:12">
      <c r="A4" s="10" t="s">
        <v>48</v>
      </c>
      <c r="B4" s="11" t="s">
        <v>41</v>
      </c>
      <c r="C4" s="11" t="s">
        <v>42</v>
      </c>
      <c r="D4" s="11" t="s">
        <v>43</v>
      </c>
      <c r="E4" s="11" t="s">
        <v>44</v>
      </c>
      <c r="F4" s="11"/>
      <c r="G4" s="11"/>
      <c r="H4" s="11" t="s">
        <v>45</v>
      </c>
      <c r="I4" s="11" t="s">
        <v>49</v>
      </c>
      <c r="J4" s="11" t="s">
        <v>61</v>
      </c>
      <c r="K4" s="11" t="s">
        <v>0</v>
      </c>
      <c r="L4" s="11" t="s">
        <v>50</v>
      </c>
    </row>
    <row r="5" spans="1:12">
      <c r="A5" s="10" t="s">
        <v>48</v>
      </c>
      <c r="B5" s="11" t="s">
        <v>41</v>
      </c>
      <c r="C5" s="11" t="s">
        <v>42</v>
      </c>
      <c r="D5" s="11" t="s">
        <v>43</v>
      </c>
      <c r="E5" s="11" t="s">
        <v>44</v>
      </c>
      <c r="F5" s="11"/>
      <c r="G5" s="11"/>
      <c r="H5" s="11" t="s">
        <v>45</v>
      </c>
      <c r="I5" s="11" t="s">
        <v>49</v>
      </c>
      <c r="J5" s="11" t="s">
        <v>61</v>
      </c>
      <c r="K5" s="11" t="s">
        <v>0</v>
      </c>
      <c r="L5" s="11" t="s">
        <v>50</v>
      </c>
    </row>
    <row r="6" spans="1:12">
      <c r="A6" s="10" t="s">
        <v>6</v>
      </c>
      <c r="B6" s="11" t="s">
        <v>41</v>
      </c>
      <c r="C6" s="11" t="s">
        <v>42</v>
      </c>
      <c r="D6" s="11" t="s">
        <v>43</v>
      </c>
      <c r="E6" s="11" t="s">
        <v>44</v>
      </c>
      <c r="F6" s="11"/>
      <c r="G6" s="11"/>
      <c r="H6" s="11" t="s">
        <v>45</v>
      </c>
      <c r="I6" s="11" t="s">
        <v>49</v>
      </c>
      <c r="J6" s="11" t="s">
        <v>61</v>
      </c>
      <c r="K6" s="11" t="s">
        <v>0</v>
      </c>
      <c r="L6" s="11" t="s">
        <v>50</v>
      </c>
    </row>
    <row r="7" spans="1:12">
      <c r="A7" s="10" t="s">
        <v>51</v>
      </c>
      <c r="B7" s="11" t="s">
        <v>41</v>
      </c>
      <c r="C7" s="11" t="s">
        <v>42</v>
      </c>
      <c r="D7" s="11"/>
      <c r="E7" s="11" t="s">
        <v>44</v>
      </c>
      <c r="F7" s="11" t="s">
        <v>43</v>
      </c>
      <c r="G7" s="11" t="s">
        <v>44</v>
      </c>
      <c r="H7" s="11" t="s">
        <v>45</v>
      </c>
      <c r="I7" s="11" t="s">
        <v>49</v>
      </c>
      <c r="J7" s="11" t="s">
        <v>47</v>
      </c>
      <c r="K7" s="11" t="s">
        <v>0</v>
      </c>
      <c r="L7" s="11" t="s">
        <v>52</v>
      </c>
    </row>
    <row r="8" spans="1:12">
      <c r="A8" s="10">
        <v>4007</v>
      </c>
      <c r="B8" s="11"/>
      <c r="C8" s="11"/>
      <c r="D8" s="11"/>
      <c r="E8" s="11"/>
      <c r="F8" s="11"/>
      <c r="G8" s="11"/>
      <c r="H8" s="11" t="s">
        <v>45</v>
      </c>
      <c r="I8" s="11"/>
      <c r="J8" s="11" t="s">
        <v>53</v>
      </c>
      <c r="K8" s="11" t="s">
        <v>0</v>
      </c>
      <c r="L8" s="11" t="s">
        <v>54</v>
      </c>
    </row>
    <row r="9" spans="1:12">
      <c r="A9" s="10">
        <v>5009</v>
      </c>
      <c r="B9" s="11" t="s">
        <v>41</v>
      </c>
      <c r="C9" s="11" t="s">
        <v>42</v>
      </c>
      <c r="D9" s="11"/>
      <c r="E9" s="11" t="s">
        <v>44</v>
      </c>
      <c r="F9" s="11"/>
      <c r="G9" s="11"/>
      <c r="H9" s="11" t="s">
        <v>45</v>
      </c>
      <c r="I9" s="11"/>
      <c r="J9" s="11" t="s">
        <v>55</v>
      </c>
      <c r="K9" s="11" t="s">
        <v>0</v>
      </c>
      <c r="L9" s="11" t="s">
        <v>56</v>
      </c>
    </row>
    <row r="10" spans="1:12">
      <c r="A10" s="10" t="s">
        <v>57</v>
      </c>
      <c r="B10" s="11" t="s">
        <v>41</v>
      </c>
      <c r="C10" s="11"/>
      <c r="D10" s="11"/>
      <c r="E10" s="11" t="s">
        <v>44</v>
      </c>
      <c r="F10" s="11"/>
      <c r="G10" s="11"/>
      <c r="H10" s="11" t="s">
        <v>45</v>
      </c>
      <c r="I10" s="11"/>
      <c r="J10" s="11" t="s">
        <v>55</v>
      </c>
      <c r="K10" s="11" t="s">
        <v>0</v>
      </c>
      <c r="L10" s="11" t="s">
        <v>56</v>
      </c>
    </row>
    <row r="11" spans="1:12">
      <c r="A11" s="10" t="s">
        <v>58</v>
      </c>
      <c r="B11" s="11" t="s">
        <v>41</v>
      </c>
      <c r="C11" s="11"/>
      <c r="D11" s="11"/>
      <c r="E11" s="11"/>
      <c r="F11" s="11"/>
      <c r="G11" s="11"/>
      <c r="H11" s="11" t="s">
        <v>45</v>
      </c>
      <c r="I11" s="11"/>
      <c r="J11" s="11" t="s">
        <v>55</v>
      </c>
      <c r="K11" s="11" t="s">
        <v>0</v>
      </c>
      <c r="L11" s="11" t="s">
        <v>56</v>
      </c>
    </row>
    <row r="12" spans="1:12">
      <c r="A12" s="10">
        <v>5096</v>
      </c>
      <c r="B12" s="11" t="s">
        <v>41</v>
      </c>
      <c r="C12" s="11"/>
      <c r="D12" s="11"/>
      <c r="E12" s="11" t="s">
        <v>44</v>
      </c>
      <c r="F12" s="11"/>
      <c r="G12" s="11"/>
      <c r="H12" s="11" t="s">
        <v>45</v>
      </c>
      <c r="I12" s="11"/>
      <c r="J12" s="11" t="s">
        <v>55</v>
      </c>
      <c r="K12" s="11" t="s">
        <v>0</v>
      </c>
      <c r="L12" s="11" t="s">
        <v>56</v>
      </c>
    </row>
    <row r="13" spans="1:12">
      <c r="A13" s="10">
        <v>5708</v>
      </c>
      <c r="B13" s="11" t="s">
        <v>41</v>
      </c>
      <c r="C13" s="11"/>
      <c r="D13" s="11"/>
      <c r="E13" s="11"/>
      <c r="F13" s="11"/>
      <c r="G13" s="11"/>
      <c r="H13" s="11"/>
      <c r="I13" s="11" t="s">
        <v>49</v>
      </c>
      <c r="J13" s="11" t="s">
        <v>53</v>
      </c>
      <c r="K13" s="11" t="s">
        <v>0</v>
      </c>
      <c r="L13" s="11"/>
    </row>
    <row r="14" spans="1:12">
      <c r="A14" s="10">
        <v>5147</v>
      </c>
      <c r="B14" s="11" t="s">
        <v>41</v>
      </c>
      <c r="C14" s="11" t="s">
        <v>42</v>
      </c>
      <c r="D14" s="11"/>
      <c r="E14" s="11" t="s">
        <v>44</v>
      </c>
      <c r="F14" s="11"/>
      <c r="G14" s="11"/>
      <c r="H14" s="11" t="s">
        <v>45</v>
      </c>
      <c r="I14" s="11"/>
      <c r="J14" s="11" t="s">
        <v>55</v>
      </c>
      <c r="K14" s="11" t="s">
        <v>0</v>
      </c>
      <c r="L14" s="11" t="s">
        <v>56</v>
      </c>
    </row>
    <row r="15" spans="1:1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</sheetData>
  <autoFilter ref="A1:O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W12"/>
  <sheetViews>
    <sheetView zoomScale="85" zoomScaleNormal="85" workbookViewId="0">
      <selection activeCell="L13" sqref="L13"/>
    </sheetView>
  </sheetViews>
  <sheetFormatPr defaultColWidth="10.28515625" defaultRowHeight="15"/>
  <cols>
    <col min="1" max="1" width="4.42578125" style="1" customWidth="1"/>
    <col min="2" max="2" width="12.85546875" style="5" customWidth="1"/>
    <col min="3" max="3" width="5.140625" style="5" bestFit="1" customWidth="1"/>
    <col min="4" max="4" width="8.42578125" style="5" bestFit="1" customWidth="1"/>
    <col min="5" max="5" width="5.140625" style="5" bestFit="1" customWidth="1"/>
    <col min="6" max="6" width="6.5703125" style="5" bestFit="1" customWidth="1"/>
    <col min="7" max="7" width="8.7109375" style="5" customWidth="1"/>
    <col min="8" max="8" width="9.7109375" style="5" customWidth="1"/>
    <col min="9" max="9" width="5.140625" style="5" customWidth="1"/>
    <col min="10" max="10" width="12.5703125" style="5" bestFit="1" customWidth="1"/>
    <col min="11" max="11" width="9.140625" style="5" customWidth="1"/>
    <col min="12" max="12" width="8.5703125" style="5" customWidth="1"/>
    <col min="13" max="13" width="7.85546875" style="5" bestFit="1" customWidth="1"/>
    <col min="14" max="14" width="10.85546875" style="5" customWidth="1"/>
    <col min="15" max="15" width="10" style="5" customWidth="1"/>
    <col min="16" max="18" width="10.42578125" style="1" bestFit="1" customWidth="1"/>
    <col min="19" max="19" width="8.85546875" style="1" customWidth="1"/>
    <col min="20" max="20" width="10.85546875" style="1" bestFit="1" customWidth="1"/>
    <col min="21" max="21" width="13.140625" style="1" customWidth="1"/>
    <col min="22" max="22" width="11.7109375" style="1" bestFit="1" customWidth="1"/>
    <col min="23" max="23" width="17.7109375" style="1" customWidth="1"/>
    <col min="24" max="16384" width="10.28515625" style="1"/>
  </cols>
  <sheetData>
    <row r="1" spans="1:23" s="48" customFormat="1" ht="60">
      <c r="A1" s="63" t="s">
        <v>77</v>
      </c>
      <c r="B1" s="64" t="s">
        <v>177</v>
      </c>
      <c r="C1" s="64" t="s">
        <v>178</v>
      </c>
      <c r="D1" s="64" t="s">
        <v>179</v>
      </c>
      <c r="E1" s="64" t="s">
        <v>180</v>
      </c>
      <c r="F1" s="65" t="s">
        <v>181</v>
      </c>
      <c r="G1" s="64" t="s">
        <v>182</v>
      </c>
      <c r="H1" s="64" t="s">
        <v>183</v>
      </c>
      <c r="I1" s="64" t="s">
        <v>86</v>
      </c>
      <c r="J1" s="64" t="s">
        <v>78</v>
      </c>
      <c r="K1" s="64" t="s">
        <v>30</v>
      </c>
      <c r="L1" s="64" t="s">
        <v>31</v>
      </c>
      <c r="M1" s="64" t="s">
        <v>64</v>
      </c>
      <c r="N1" s="66" t="s">
        <v>32</v>
      </c>
      <c r="O1" s="66" t="s">
        <v>76</v>
      </c>
      <c r="P1" s="66" t="s">
        <v>33</v>
      </c>
      <c r="Q1" s="66" t="s">
        <v>184</v>
      </c>
      <c r="R1" s="66" t="s">
        <v>35</v>
      </c>
      <c r="S1" s="66" t="s">
        <v>65</v>
      </c>
      <c r="T1" s="66" t="s">
        <v>186</v>
      </c>
      <c r="U1" s="48" t="s">
        <v>68</v>
      </c>
      <c r="V1" s="69" t="s">
        <v>69</v>
      </c>
      <c r="W1" s="69" t="s">
        <v>70</v>
      </c>
    </row>
    <row r="2" spans="1:23" s="73" customFormat="1" ht="27.75" customHeight="1">
      <c r="A2" s="102">
        <v>1</v>
      </c>
      <c r="B2" s="103" t="s">
        <v>226</v>
      </c>
      <c r="C2" s="103">
        <v>60</v>
      </c>
      <c r="D2" s="103">
        <v>20</v>
      </c>
      <c r="E2" s="103">
        <v>2</v>
      </c>
      <c r="F2" s="103">
        <v>1207</v>
      </c>
      <c r="G2" s="103" t="s">
        <v>227</v>
      </c>
      <c r="H2" s="103">
        <v>800</v>
      </c>
      <c r="I2" s="103" t="s">
        <v>228</v>
      </c>
      <c r="J2" s="103" t="s">
        <v>229</v>
      </c>
      <c r="K2" s="103">
        <v>500</v>
      </c>
      <c r="L2" s="104">
        <f>H2*1.005/K2+0.4</f>
        <v>2.008</v>
      </c>
      <c r="M2" s="104">
        <v>1</v>
      </c>
      <c r="N2" s="105">
        <f t="shared" ref="N2:N8" si="0">60/L2*M2</f>
        <v>29.880478087649401</v>
      </c>
      <c r="O2" s="106">
        <f>N2*22</f>
        <v>657.37051792828686</v>
      </c>
      <c r="P2" s="107">
        <v>0.7</v>
      </c>
      <c r="Q2" s="108">
        <f t="shared" ref="Q2:Q8" si="1">O2*P2</f>
        <v>460.15936254980079</v>
      </c>
      <c r="R2" s="108">
        <f t="shared" ref="R2:R8" si="2">L2/P2</f>
        <v>2.8685714285714288</v>
      </c>
      <c r="S2" s="108">
        <v>30</v>
      </c>
      <c r="T2" s="108">
        <f>Q2*S2/10</f>
        <v>1380.4780876494024</v>
      </c>
      <c r="U2" s="74">
        <f>VLOOKUP(F2,'PENDING PO'!A2:B89,2,0)</f>
        <v>0</v>
      </c>
      <c r="V2" s="74">
        <f t="shared" ref="V2:V4" si="3">U2/T2</f>
        <v>0</v>
      </c>
      <c r="W2" s="76">
        <f t="shared" ref="W2:W4" si="4">U2*R2</f>
        <v>0</v>
      </c>
    </row>
    <row r="3" spans="1:23" s="73" customFormat="1" ht="29.25" customHeight="1">
      <c r="A3" s="102">
        <v>2</v>
      </c>
      <c r="B3" s="103" t="s">
        <v>226</v>
      </c>
      <c r="C3" s="103">
        <v>60</v>
      </c>
      <c r="D3" s="103">
        <v>20</v>
      </c>
      <c r="E3" s="103">
        <v>2</v>
      </c>
      <c r="F3" s="103">
        <v>1206</v>
      </c>
      <c r="G3" s="103" t="s">
        <v>227</v>
      </c>
      <c r="H3" s="103">
        <v>180</v>
      </c>
      <c r="I3" s="103" t="s">
        <v>228</v>
      </c>
      <c r="J3" s="103" t="s">
        <v>230</v>
      </c>
      <c r="K3" s="103">
        <v>400</v>
      </c>
      <c r="L3" s="104">
        <f>H3*1.005/K3+0.4</f>
        <v>0.85224999999999995</v>
      </c>
      <c r="M3" s="104">
        <v>1</v>
      </c>
      <c r="N3" s="105">
        <f t="shared" si="0"/>
        <v>70.401877383396894</v>
      </c>
      <c r="O3" s="106">
        <f t="shared" ref="O3:O8" si="5">N3*22</f>
        <v>1548.8413024347317</v>
      </c>
      <c r="P3" s="107">
        <v>0.6</v>
      </c>
      <c r="Q3" s="108">
        <f t="shared" si="1"/>
        <v>929.30478146083897</v>
      </c>
      <c r="R3" s="108">
        <f t="shared" si="2"/>
        <v>1.4204166666666667</v>
      </c>
      <c r="S3" s="108">
        <v>30</v>
      </c>
      <c r="T3" s="108">
        <f>Q3*S3/20</f>
        <v>1393.9571721912585</v>
      </c>
      <c r="U3" s="74">
        <f>VLOOKUP(F3,'PENDING PO'!A3:B92,2,0)</f>
        <v>0</v>
      </c>
      <c r="V3" s="74">
        <f t="shared" si="3"/>
        <v>0</v>
      </c>
      <c r="W3" s="76">
        <f t="shared" si="4"/>
        <v>0</v>
      </c>
    </row>
    <row r="4" spans="1:23" s="73" customFormat="1" ht="36" customHeight="1">
      <c r="A4" s="102">
        <v>3</v>
      </c>
      <c r="B4" s="103" t="s">
        <v>17</v>
      </c>
      <c r="C4" s="109">
        <v>80</v>
      </c>
      <c r="D4" s="109">
        <v>30</v>
      </c>
      <c r="E4" s="109">
        <v>3</v>
      </c>
      <c r="F4" s="109">
        <v>1302</v>
      </c>
      <c r="G4" s="109" t="s">
        <v>15</v>
      </c>
      <c r="H4" s="109">
        <v>135</v>
      </c>
      <c r="I4" s="109" t="s">
        <v>3</v>
      </c>
      <c r="J4" s="103" t="s">
        <v>18</v>
      </c>
      <c r="K4" s="103">
        <v>400</v>
      </c>
      <c r="L4" s="104">
        <f>H4*1.005/K4+0.4</f>
        <v>0.7391875</v>
      </c>
      <c r="M4" s="104">
        <v>1</v>
      </c>
      <c r="N4" s="105">
        <f t="shared" si="0"/>
        <v>81.170203771032391</v>
      </c>
      <c r="O4" s="106">
        <f t="shared" si="5"/>
        <v>1785.7444829627125</v>
      </c>
      <c r="P4" s="107">
        <v>0.55000000000000004</v>
      </c>
      <c r="Q4" s="108">
        <f t="shared" si="1"/>
        <v>982.15946562949193</v>
      </c>
      <c r="R4" s="108">
        <f t="shared" si="2"/>
        <v>1.3439772727272725</v>
      </c>
      <c r="S4" s="108">
        <v>30</v>
      </c>
      <c r="T4" s="108">
        <f>Q4*S4/20</f>
        <v>1473.2391984442379</v>
      </c>
      <c r="U4" s="74">
        <f>VLOOKUP(F4,'PENDING PO'!A4:B93,2,0)</f>
        <v>0</v>
      </c>
      <c r="V4" s="74">
        <f t="shared" si="3"/>
        <v>0</v>
      </c>
      <c r="W4" s="76">
        <f t="shared" si="4"/>
        <v>0</v>
      </c>
    </row>
    <row r="5" spans="1:23" s="73" customFormat="1" ht="36" customHeight="1">
      <c r="A5" s="110">
        <v>4</v>
      </c>
      <c r="B5" s="103" t="s">
        <v>231</v>
      </c>
      <c r="C5" s="109">
        <v>120</v>
      </c>
      <c r="D5" s="109">
        <v>25</v>
      </c>
      <c r="E5" s="109">
        <v>2</v>
      </c>
      <c r="F5" s="109">
        <v>1215</v>
      </c>
      <c r="G5" s="109" t="s">
        <v>15</v>
      </c>
      <c r="H5" s="109">
        <v>2000</v>
      </c>
      <c r="I5" s="109" t="s">
        <v>3</v>
      </c>
      <c r="J5" s="103" t="s">
        <v>232</v>
      </c>
      <c r="K5" s="103">
        <v>600</v>
      </c>
      <c r="L5" s="104">
        <f>H5*1.005/K5+0.4</f>
        <v>3.7499999999999996</v>
      </c>
      <c r="M5" s="104">
        <v>1</v>
      </c>
      <c r="N5" s="105">
        <f t="shared" si="0"/>
        <v>16.000000000000004</v>
      </c>
      <c r="O5" s="106">
        <f t="shared" si="5"/>
        <v>352.00000000000006</v>
      </c>
      <c r="P5" s="107">
        <v>0.7</v>
      </c>
      <c r="Q5" s="108">
        <f t="shared" si="1"/>
        <v>246.40000000000003</v>
      </c>
      <c r="R5" s="108">
        <f t="shared" si="2"/>
        <v>5.3571428571428568</v>
      </c>
      <c r="S5" s="108">
        <v>30</v>
      </c>
      <c r="T5" s="108">
        <f>Q5*S5/10</f>
        <v>739.2</v>
      </c>
      <c r="U5" s="74">
        <f>VLOOKUP(F5,'PENDING PO'!A5:B94,2,0)</f>
        <v>0</v>
      </c>
      <c r="V5" s="74">
        <f t="shared" ref="V5:V8" si="6">U5/T5</f>
        <v>0</v>
      </c>
      <c r="W5" s="76">
        <f t="shared" ref="W5:W8" si="7">U5*R5</f>
        <v>0</v>
      </c>
    </row>
    <row r="6" spans="1:23" s="73" customFormat="1" ht="36" customHeight="1">
      <c r="A6" s="102">
        <v>5</v>
      </c>
      <c r="B6" s="111" t="s">
        <v>16</v>
      </c>
      <c r="C6" s="112">
        <v>100</v>
      </c>
      <c r="D6" s="112">
        <v>30</v>
      </c>
      <c r="E6" s="112">
        <v>3</v>
      </c>
      <c r="F6" s="112">
        <v>1304</v>
      </c>
      <c r="G6" s="111" t="s">
        <v>193</v>
      </c>
      <c r="H6" s="109">
        <v>1000</v>
      </c>
      <c r="I6" s="109" t="s">
        <v>3</v>
      </c>
      <c r="J6" s="103" t="s">
        <v>232</v>
      </c>
      <c r="K6" s="103">
        <v>500</v>
      </c>
      <c r="L6" s="104">
        <f>H6*1.005/K6+0.4</f>
        <v>2.4099999999999997</v>
      </c>
      <c r="M6" s="104">
        <v>1</v>
      </c>
      <c r="N6" s="105">
        <f t="shared" si="0"/>
        <v>24.896265560165979</v>
      </c>
      <c r="O6" s="106">
        <f t="shared" si="5"/>
        <v>547.71784232365155</v>
      </c>
      <c r="P6" s="107">
        <v>0.7</v>
      </c>
      <c r="Q6" s="108">
        <f t="shared" si="1"/>
        <v>383.40248962655608</v>
      </c>
      <c r="R6" s="108">
        <f t="shared" si="2"/>
        <v>3.4428571428571426</v>
      </c>
      <c r="S6" s="108">
        <v>30</v>
      </c>
      <c r="T6" s="108">
        <f>Q6*S6/10</f>
        <v>1150.2074688796681</v>
      </c>
      <c r="U6" s="74">
        <f>VLOOKUP(F6,'PENDING PO'!A6:B95,2,0)</f>
        <v>0</v>
      </c>
      <c r="V6" s="74">
        <f t="shared" si="6"/>
        <v>0</v>
      </c>
      <c r="W6" s="76">
        <f t="shared" si="7"/>
        <v>0</v>
      </c>
    </row>
    <row r="7" spans="1:23" s="73" customFormat="1" ht="36" customHeight="1">
      <c r="A7" s="110">
        <v>6</v>
      </c>
      <c r="B7" s="111" t="s">
        <v>196</v>
      </c>
      <c r="C7" s="112">
        <v>75</v>
      </c>
      <c r="D7" s="112">
        <v>40</v>
      </c>
      <c r="E7" s="112">
        <v>2</v>
      </c>
      <c r="F7" s="112">
        <v>4213</v>
      </c>
      <c r="G7" s="113" t="s">
        <v>39</v>
      </c>
      <c r="H7" s="114">
        <v>800</v>
      </c>
      <c r="I7" s="109" t="s">
        <v>3</v>
      </c>
      <c r="J7" s="103" t="s">
        <v>232</v>
      </c>
      <c r="K7" s="103">
        <v>500</v>
      </c>
      <c r="L7" s="104">
        <f t="shared" ref="L7:L8" si="8">H7*1.005/K7+0.4</f>
        <v>2.008</v>
      </c>
      <c r="M7" s="104">
        <v>1</v>
      </c>
      <c r="N7" s="105">
        <f t="shared" si="0"/>
        <v>29.880478087649401</v>
      </c>
      <c r="O7" s="106">
        <f t="shared" si="5"/>
        <v>657.37051792828686</v>
      </c>
      <c r="P7" s="107">
        <v>0.7</v>
      </c>
      <c r="Q7" s="108">
        <f t="shared" si="1"/>
        <v>460.15936254980079</v>
      </c>
      <c r="R7" s="108">
        <f t="shared" si="2"/>
        <v>2.8685714285714288</v>
      </c>
      <c r="S7" s="108">
        <v>30</v>
      </c>
      <c r="T7" s="108">
        <f t="shared" ref="T7:T8" si="9">Q7*S7/10</f>
        <v>1380.4780876494024</v>
      </c>
      <c r="U7" s="74">
        <f>VLOOKUP(F7,'PENDING PO'!A7:B96,2,0)</f>
        <v>0</v>
      </c>
      <c r="V7" s="74">
        <f t="shared" si="6"/>
        <v>0</v>
      </c>
      <c r="W7" s="76">
        <f t="shared" si="7"/>
        <v>0</v>
      </c>
    </row>
    <row r="8" spans="1:23" s="73" customFormat="1" ht="36" customHeight="1">
      <c r="A8" s="102">
        <v>7</v>
      </c>
      <c r="B8" s="111" t="s">
        <v>196</v>
      </c>
      <c r="C8" s="112">
        <v>100</v>
      </c>
      <c r="D8" s="112">
        <v>30</v>
      </c>
      <c r="E8" s="112">
        <v>2</v>
      </c>
      <c r="F8" s="112">
        <v>4212</v>
      </c>
      <c r="G8" s="111" t="s">
        <v>197</v>
      </c>
      <c r="H8" s="109">
        <v>1000</v>
      </c>
      <c r="I8" s="109" t="s">
        <v>3</v>
      </c>
      <c r="J8" s="103" t="s">
        <v>232</v>
      </c>
      <c r="K8" s="103">
        <v>500</v>
      </c>
      <c r="L8" s="104">
        <f t="shared" si="8"/>
        <v>2.4099999999999997</v>
      </c>
      <c r="M8" s="104">
        <v>1</v>
      </c>
      <c r="N8" s="105">
        <f t="shared" si="0"/>
        <v>24.896265560165979</v>
      </c>
      <c r="O8" s="106">
        <f t="shared" si="5"/>
        <v>547.71784232365155</v>
      </c>
      <c r="P8" s="107">
        <v>0.7</v>
      </c>
      <c r="Q8" s="108">
        <f t="shared" si="1"/>
        <v>383.40248962655608</v>
      </c>
      <c r="R8" s="108">
        <f t="shared" si="2"/>
        <v>3.4428571428571426</v>
      </c>
      <c r="S8" s="108">
        <v>30</v>
      </c>
      <c r="T8" s="108">
        <f t="shared" si="9"/>
        <v>1150.2074688796681</v>
      </c>
      <c r="U8" s="74">
        <f>VLOOKUP(F8,'PENDING PO'!A9:B97,2,0)</f>
        <v>0</v>
      </c>
      <c r="V8" s="74">
        <f t="shared" si="6"/>
        <v>0</v>
      </c>
      <c r="W8" s="76">
        <f t="shared" si="7"/>
        <v>0</v>
      </c>
    </row>
    <row r="9" spans="1:23" s="73" customFormat="1" ht="36" customHeight="1">
      <c r="A9" s="99"/>
      <c r="B9" s="41"/>
      <c r="C9" s="100"/>
      <c r="D9" s="100"/>
      <c r="E9" s="100"/>
      <c r="F9" s="100"/>
      <c r="G9" s="100"/>
      <c r="H9" s="100"/>
      <c r="I9" s="100"/>
      <c r="J9" s="41"/>
      <c r="K9" s="41"/>
      <c r="L9" s="40"/>
      <c r="M9" s="40"/>
      <c r="N9" s="40"/>
      <c r="O9" s="101"/>
      <c r="P9" s="74"/>
      <c r="Q9" s="74"/>
      <c r="R9" s="74"/>
      <c r="S9" s="74"/>
      <c r="T9" s="74"/>
      <c r="U9" s="74"/>
      <c r="V9" s="74"/>
      <c r="W9" s="76"/>
    </row>
    <row r="10" spans="1:23">
      <c r="U10" s="48">
        <f>SUM(U2:U4)</f>
        <v>0</v>
      </c>
      <c r="V10" s="138">
        <f>SUM(V2:V8)</f>
        <v>0</v>
      </c>
      <c r="W10" s="1">
        <f>SUM(W2:W4)</f>
        <v>0</v>
      </c>
    </row>
    <row r="11" spans="1:23">
      <c r="D11" s="4" t="s">
        <v>74</v>
      </c>
      <c r="W11" s="1">
        <f>30*1*21*60</f>
        <v>37800</v>
      </c>
    </row>
    <row r="12" spans="1:23">
      <c r="D12" s="4" t="s">
        <v>72</v>
      </c>
      <c r="W12" s="1">
        <f>W10/W11</f>
        <v>0</v>
      </c>
    </row>
  </sheetData>
  <autoFilter ref="D1:W12"/>
  <pageMargins left="0.51181102362204722" right="0.11811023622047245" top="0.15748031496062992" bottom="0.15748031496062992" header="0.11811023622047245" footer="0.19685039370078741"/>
  <pageSetup paperSize="9"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capacity</vt:lpstr>
      <vt:lpstr>Cycle time-Filaments</vt:lpstr>
      <vt:lpstr>overall lead time</vt:lpstr>
      <vt:lpstr>Cycle time SSP-TXP-PPC</vt:lpstr>
      <vt:lpstr>PENDING PO</vt:lpstr>
      <vt:lpstr>Routing </vt:lpstr>
      <vt:lpstr>Cycle time TUBE)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</cp:lastModifiedBy>
  <cp:lastPrinted>2026-05-26T04:52:05Z</cp:lastPrinted>
  <dcterms:created xsi:type="dcterms:W3CDTF">2026-03-25T01:40:22Z</dcterms:created>
  <dcterms:modified xsi:type="dcterms:W3CDTF">2026-08-03T13:24:40Z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176bd45a605b4324ac2d354fce5e7250</vt:lpwstr>
  </property>
</Properties>
</file>