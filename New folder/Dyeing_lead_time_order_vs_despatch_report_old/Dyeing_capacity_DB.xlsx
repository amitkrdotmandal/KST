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tk\Desktop\ooffice KST\New folder\Dyeing_lead_time_order_vs_despatch_report\"/>
    </mc:Choice>
  </mc:AlternateContent>
  <xr:revisionPtr revIDLastSave="0" documentId="13_ncr:1_{2A409188-C9DA-4C54-B7D7-E1882CDD42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2" r:id="rId1"/>
    <sheet name="Sheet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I23" i="1"/>
  <c r="H23" i="1"/>
  <c r="H18" i="1"/>
  <c r="I19" i="1"/>
  <c r="I20" i="1"/>
  <c r="I21" i="1"/>
  <c r="I22" i="1"/>
  <c r="I18" i="1"/>
  <c r="I2" i="1"/>
  <c r="M5" i="2"/>
  <c r="K8" i="1"/>
  <c r="L5" i="1"/>
  <c r="L3" i="1"/>
  <c r="L2" i="1"/>
  <c r="K2" i="1"/>
  <c r="G2" i="1"/>
  <c r="H19" i="1"/>
  <c r="P10" i="1"/>
  <c r="M8" i="2"/>
  <c r="L8" i="2"/>
  <c r="F8" i="2"/>
  <c r="H8" i="2" s="1"/>
  <c r="J8" i="2" s="1"/>
  <c r="M7" i="2"/>
  <c r="L7" i="2"/>
  <c r="F7" i="2"/>
  <c r="H7" i="2" s="1"/>
  <c r="J7" i="2" s="1"/>
  <c r="M6" i="2"/>
  <c r="L6" i="2"/>
  <c r="F6" i="2"/>
  <c r="H6" i="2" s="1"/>
  <c r="J6" i="2" s="1"/>
  <c r="F5" i="2"/>
  <c r="H5" i="2" s="1"/>
  <c r="J5" i="2" s="1"/>
  <c r="F4" i="2"/>
  <c r="H4" i="2" s="1"/>
  <c r="J4" i="2" s="1"/>
  <c r="M3" i="2"/>
  <c r="L3" i="2"/>
  <c r="F3" i="2"/>
  <c r="H3" i="2" s="1"/>
  <c r="J3" i="2" s="1"/>
  <c r="M2" i="2"/>
  <c r="L2" i="2"/>
  <c r="H2" i="2"/>
  <c r="J2" i="2" s="1"/>
  <c r="H22" i="1"/>
  <c r="H21" i="1"/>
  <c r="H20" i="1"/>
  <c r="L8" i="1"/>
  <c r="E8" i="1"/>
  <c r="L7" i="1"/>
  <c r="K7" i="1"/>
  <c r="E7" i="1"/>
  <c r="N7" i="1" s="1"/>
  <c r="L6" i="1"/>
  <c r="K6" i="1"/>
  <c r="E6" i="1"/>
  <c r="E5" i="1"/>
  <c r="G5" i="1" s="1"/>
  <c r="I5" i="1" s="1"/>
  <c r="E4" i="1"/>
  <c r="N4" i="1" s="1"/>
  <c r="K3" i="1"/>
  <c r="E3" i="1"/>
  <c r="E2" i="1"/>
  <c r="N8" i="1" l="1"/>
  <c r="G8" i="1"/>
  <c r="I8" i="1" s="1"/>
  <c r="N6" i="1"/>
  <c r="G6" i="1"/>
  <c r="I6" i="1" s="1"/>
  <c r="G3" i="1"/>
  <c r="I3" i="1" s="1"/>
  <c r="N2" i="1"/>
  <c r="N5" i="1"/>
  <c r="G7" i="1"/>
  <c r="I7" i="1" s="1"/>
  <c r="G4" i="1"/>
  <c r="I4" i="1" s="1"/>
</calcChain>
</file>

<file path=xl/sharedStrings.xml><?xml version="1.0" encoding="utf-8"?>
<sst xmlns="http://schemas.openxmlformats.org/spreadsheetml/2006/main" count="66" uniqueCount="45">
  <si>
    <t>DV number</t>
  </si>
  <si>
    <t>DV (no. of pkg)</t>
  </si>
  <si>
    <t>No. of DV</t>
  </si>
  <si>
    <t>LPMPD</t>
  </si>
  <si>
    <t>Total lot per day(24 hours running)</t>
  </si>
  <si>
    <t>Total package /day</t>
  </si>
  <si>
    <t>Package weight(Kg)</t>
  </si>
  <si>
    <t>dv(KG)</t>
  </si>
  <si>
    <t>Minimum package no.</t>
  </si>
  <si>
    <t>Minimum lot size(kg)</t>
  </si>
  <si>
    <t>Maximum lot size(Kg)</t>
  </si>
  <si>
    <t>Pening lots as on 11 May 2026</t>
  </si>
  <si>
    <t>Lead time(days with 24 hours running)</t>
  </si>
  <si>
    <t>Lab</t>
  </si>
  <si>
    <t>11,12</t>
  </si>
  <si>
    <t>19,20,1,2,3</t>
  </si>
  <si>
    <t>21,22</t>
  </si>
  <si>
    <t>23,24</t>
  </si>
  <si>
    <t>Kg group</t>
  </si>
  <si>
    <t>Number of pending batch</t>
  </si>
  <si>
    <t>Number of DV</t>
  </si>
  <si>
    <t>Capacity(batch per day)</t>
  </si>
  <si>
    <t>DV group</t>
  </si>
  <si>
    <t>Minimum</t>
  </si>
  <si>
    <t>Maximum</t>
  </si>
  <si>
    <t>Est days</t>
  </si>
  <si>
    <t>11,12,Lab-1</t>
  </si>
  <si>
    <t>1 P - 2 P</t>
  </si>
  <si>
    <t>5P</t>
  </si>
  <si>
    <t>15P</t>
  </si>
  <si>
    <t>20P</t>
  </si>
  <si>
    <t>30P</t>
  </si>
  <si>
    <t>48P</t>
  </si>
  <si>
    <t>Series_name</t>
  </si>
  <si>
    <t>1st</t>
  </si>
  <si>
    <t>2nd</t>
  </si>
  <si>
    <t>3rd</t>
  </si>
  <si>
    <t>4th</t>
  </si>
  <si>
    <t>5th</t>
  </si>
  <si>
    <t>6th</t>
  </si>
  <si>
    <t>7th</t>
  </si>
  <si>
    <t>&gt;48</t>
  </si>
  <si>
    <t>more_than_48p</t>
  </si>
  <si>
    <t>25,</t>
  </si>
  <si>
    <t>26,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</si>
</sst>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left"/>
    </xf>
    <xf numFmtId="2" fontId="0" fillId="0" borderId="1" xfId="0" applyNumberFormat="1" applyBorder="1"/>
    <xf numFmtId="2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9D68-DE1F-406F-BF10-9B8566505532}">
  <dimension ref="A1:M9"/>
  <sheetViews>
    <sheetView tabSelected="1" workbookViewId="0">
      <selection activeCell="B9" sqref="B9"/>
    </sheetView>
  </sheetViews>
  <sheetFormatPr defaultRowHeight="14.4" x14ac:dyDescent="0.3"/>
  <cols>
    <col min="1" max="2" width="32.33203125" bestFit="1" customWidth="1"/>
    <col min="13" max="13" width="10" bestFit="1" customWidth="1"/>
  </cols>
  <sheetData>
    <row r="1" spans="1:13" ht="72" x14ac:dyDescent="0.3">
      <c r="A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 t="s">
        <v>34</v>
      </c>
      <c r="B2" s="4" t="s">
        <v>13</v>
      </c>
      <c r="C2" s="5">
        <v>1</v>
      </c>
      <c r="D2" s="5">
        <v>1</v>
      </c>
      <c r="E2" s="5"/>
      <c r="F2" s="5">
        <f>8.5*D2</f>
        <v>8.5</v>
      </c>
      <c r="G2" s="5"/>
      <c r="H2" s="5">
        <f>F2*C2</f>
        <v>8.5</v>
      </c>
      <c r="I2" s="5">
        <v>1</v>
      </c>
      <c r="J2" s="5">
        <f>H2*I2</f>
        <v>8.5</v>
      </c>
      <c r="K2" s="5">
        <v>1</v>
      </c>
      <c r="L2" s="6">
        <f>K2*0.9</f>
        <v>0.9</v>
      </c>
      <c r="M2" s="6">
        <f>C2*1.4</f>
        <v>1.4</v>
      </c>
    </row>
    <row r="3" spans="1:13" x14ac:dyDescent="0.3">
      <c r="A3" t="s">
        <v>35</v>
      </c>
      <c r="B3" s="4" t="s">
        <v>14</v>
      </c>
      <c r="C3" s="5">
        <v>2</v>
      </c>
      <c r="D3" s="5">
        <v>2</v>
      </c>
      <c r="E3" s="5"/>
      <c r="F3" s="5">
        <f t="shared" ref="F3:F8" si="0">8.5*D3</f>
        <v>17</v>
      </c>
      <c r="G3" s="5"/>
      <c r="H3" s="5">
        <f t="shared" ref="H3:H8" si="1">F3*C3</f>
        <v>34</v>
      </c>
      <c r="I3" s="5">
        <v>1</v>
      </c>
      <c r="J3" s="5">
        <f t="shared" ref="J3:J8" si="2">H3*I3</f>
        <v>34</v>
      </c>
      <c r="K3" s="5">
        <v>1</v>
      </c>
      <c r="L3" s="6">
        <f t="shared" ref="L3:L8" si="3">K3*0.9</f>
        <v>0.9</v>
      </c>
      <c r="M3" s="6">
        <f>C3*1.4</f>
        <v>2.8</v>
      </c>
    </row>
    <row r="4" spans="1:13" x14ac:dyDescent="0.3">
      <c r="A4" t="s">
        <v>36</v>
      </c>
      <c r="B4" s="4" t="s">
        <v>15</v>
      </c>
      <c r="C4" s="5">
        <v>5</v>
      </c>
      <c r="D4" s="5">
        <v>5</v>
      </c>
      <c r="E4" s="5"/>
      <c r="F4" s="5">
        <f t="shared" si="0"/>
        <v>42.5</v>
      </c>
      <c r="G4" s="5"/>
      <c r="H4" s="5">
        <f t="shared" si="1"/>
        <v>212.5</v>
      </c>
      <c r="I4" s="5">
        <v>1</v>
      </c>
      <c r="J4" s="5">
        <f t="shared" si="2"/>
        <v>212.5</v>
      </c>
      <c r="K4" s="5">
        <v>3</v>
      </c>
      <c r="L4" s="6">
        <v>2.8</v>
      </c>
      <c r="M4" s="6">
        <v>8</v>
      </c>
    </row>
    <row r="5" spans="1:13" x14ac:dyDescent="0.3">
      <c r="A5" t="s">
        <v>37</v>
      </c>
      <c r="B5" s="4" t="s">
        <v>16</v>
      </c>
      <c r="C5" s="5">
        <v>15</v>
      </c>
      <c r="D5" s="5">
        <v>2</v>
      </c>
      <c r="E5" s="5"/>
      <c r="F5" s="5">
        <f t="shared" si="0"/>
        <v>17</v>
      </c>
      <c r="G5" s="5"/>
      <c r="H5" s="5">
        <f t="shared" si="1"/>
        <v>255</v>
      </c>
      <c r="I5" s="5">
        <v>1</v>
      </c>
      <c r="J5" s="5">
        <f t="shared" si="2"/>
        <v>255</v>
      </c>
      <c r="K5" s="5">
        <v>10</v>
      </c>
      <c r="L5" s="6">
        <v>8</v>
      </c>
      <c r="M5" s="6">
        <f>C5*1.4</f>
        <v>21</v>
      </c>
    </row>
    <row r="6" spans="1:13" x14ac:dyDescent="0.3">
      <c r="A6" t="s">
        <v>38</v>
      </c>
      <c r="B6" s="4" t="s">
        <v>17</v>
      </c>
      <c r="C6" s="5">
        <v>20</v>
      </c>
      <c r="D6" s="5">
        <v>2</v>
      </c>
      <c r="E6" s="5"/>
      <c r="F6" s="5">
        <f t="shared" si="0"/>
        <v>17</v>
      </c>
      <c r="G6" s="5"/>
      <c r="H6" s="5">
        <f t="shared" si="1"/>
        <v>340</v>
      </c>
      <c r="I6" s="5">
        <v>1</v>
      </c>
      <c r="J6" s="5">
        <f t="shared" si="2"/>
        <v>340</v>
      </c>
      <c r="K6" s="5">
        <v>15</v>
      </c>
      <c r="L6" s="6">
        <f t="shared" si="3"/>
        <v>13.5</v>
      </c>
      <c r="M6" s="6">
        <f>C6*1.4</f>
        <v>28</v>
      </c>
    </row>
    <row r="7" spans="1:13" x14ac:dyDescent="0.3">
      <c r="A7" t="s">
        <v>39</v>
      </c>
      <c r="B7" s="5" t="s">
        <v>43</v>
      </c>
      <c r="C7" s="5">
        <v>30</v>
      </c>
      <c r="D7" s="5">
        <v>1</v>
      </c>
      <c r="E7" s="5"/>
      <c r="F7" s="5">
        <f t="shared" si="0"/>
        <v>8.5</v>
      </c>
      <c r="G7" s="5"/>
      <c r="H7" s="5">
        <f t="shared" si="1"/>
        <v>255</v>
      </c>
      <c r="I7" s="5">
        <v>1</v>
      </c>
      <c r="J7" s="5">
        <f t="shared" si="2"/>
        <v>255</v>
      </c>
      <c r="K7" s="5">
        <v>25</v>
      </c>
      <c r="L7" s="6">
        <f t="shared" si="3"/>
        <v>22.5</v>
      </c>
      <c r="M7" s="6">
        <f>C7*1.4</f>
        <v>42</v>
      </c>
    </row>
    <row r="8" spans="1:13" x14ac:dyDescent="0.3">
      <c r="A8" t="s">
        <v>40</v>
      </c>
      <c r="B8" s="5" t="s">
        <v>44</v>
      </c>
      <c r="C8" s="5">
        <v>48</v>
      </c>
      <c r="D8" s="5">
        <v>1</v>
      </c>
      <c r="E8" s="5"/>
      <c r="F8" s="5">
        <f t="shared" si="0"/>
        <v>8.5</v>
      </c>
      <c r="G8" s="5"/>
      <c r="H8" s="5">
        <f t="shared" si="1"/>
        <v>408</v>
      </c>
      <c r="I8" s="5">
        <v>1</v>
      </c>
      <c r="J8" s="5">
        <f t="shared" si="2"/>
        <v>408</v>
      </c>
      <c r="K8" s="5">
        <v>36</v>
      </c>
      <c r="L8" s="6">
        <f t="shared" si="3"/>
        <v>32.4</v>
      </c>
      <c r="M8" s="6">
        <f>C8*1.4</f>
        <v>67.199999999999989</v>
      </c>
    </row>
    <row r="9" spans="1:13" x14ac:dyDescent="0.3">
      <c r="A9" t="s">
        <v>42</v>
      </c>
      <c r="B9" t="s">
        <v>42</v>
      </c>
      <c r="C9" t="s">
        <v>41</v>
      </c>
      <c r="L9" s="6">
        <v>67.199999999999989</v>
      </c>
      <c r="M9">
        <v>100000000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workbookViewId="0">
      <selection activeCell="I24" sqref="I24"/>
    </sheetView>
  </sheetViews>
  <sheetFormatPr defaultRowHeight="14.4" x14ac:dyDescent="0.3"/>
  <cols>
    <col min="1" max="1" width="15.88671875" customWidth="1"/>
    <col min="2" max="2" width="12.109375" customWidth="1"/>
    <col min="8" max="8" width="11.109375" customWidth="1"/>
    <col min="17" max="17" width="14.33203125" customWidth="1"/>
    <col min="19" max="19" width="11.109375" customWidth="1"/>
  </cols>
  <sheetData>
    <row r="1" spans="1:19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Q1" s="11"/>
      <c r="R1" s="11"/>
      <c r="S1" s="3"/>
    </row>
    <row r="2" spans="1:19" x14ac:dyDescent="0.3">
      <c r="A2" s="4" t="s">
        <v>13</v>
      </c>
      <c r="B2" s="5">
        <v>1</v>
      </c>
      <c r="C2" s="5">
        <v>1</v>
      </c>
      <c r="D2" s="5"/>
      <c r="E2" s="5">
        <f>8.5*C2</f>
        <v>8.5</v>
      </c>
      <c r="F2" s="5"/>
      <c r="G2" s="5">
        <f>E2*B2</f>
        <v>8.5</v>
      </c>
      <c r="H2" s="5">
        <v>1</v>
      </c>
      <c r="I2" s="5">
        <f>G2*H2</f>
        <v>8.5</v>
      </c>
      <c r="J2" s="5">
        <v>1</v>
      </c>
      <c r="K2" s="6">
        <f>J2*0.9</f>
        <v>0.9</v>
      </c>
      <c r="L2" s="6">
        <f>B2*1.4</f>
        <v>1.4</v>
      </c>
      <c r="M2" s="12">
        <v>150</v>
      </c>
      <c r="N2" s="14">
        <f>M2/(E3+E2)</f>
        <v>5.882352941176471</v>
      </c>
      <c r="Q2" s="4"/>
      <c r="R2" s="4"/>
      <c r="S2" s="4"/>
    </row>
    <row r="3" spans="1:19" x14ac:dyDescent="0.3">
      <c r="A3" s="4" t="s">
        <v>14</v>
      </c>
      <c r="B3" s="5">
        <v>2</v>
      </c>
      <c r="C3" s="5">
        <v>2</v>
      </c>
      <c r="D3" s="5"/>
      <c r="E3" s="5">
        <f t="shared" ref="E3:E8" si="0">8.5*C3</f>
        <v>17</v>
      </c>
      <c r="F3" s="5"/>
      <c r="G3" s="5">
        <f t="shared" ref="G3:G8" si="1">E3*B3</f>
        <v>34</v>
      </c>
      <c r="H3" s="5">
        <v>1</v>
      </c>
      <c r="I3" s="5">
        <f t="shared" ref="I3:I8" si="2">G3*H3</f>
        <v>34</v>
      </c>
      <c r="J3" s="5">
        <v>1</v>
      </c>
      <c r="K3" s="6">
        <f t="shared" ref="K3:K7" si="3">J3*0.9</f>
        <v>0.9</v>
      </c>
      <c r="L3" s="6">
        <f>B3*1.4</f>
        <v>2.8</v>
      </c>
      <c r="M3" s="13"/>
      <c r="N3" s="14"/>
      <c r="Q3" s="4"/>
      <c r="R3" s="4"/>
      <c r="S3" s="4"/>
    </row>
    <row r="4" spans="1:19" x14ac:dyDescent="0.3">
      <c r="A4" s="4" t="s">
        <v>15</v>
      </c>
      <c r="B4" s="5">
        <v>5</v>
      </c>
      <c r="C4" s="5">
        <v>5</v>
      </c>
      <c r="D4" s="5"/>
      <c r="E4" s="5">
        <f t="shared" si="0"/>
        <v>42.5</v>
      </c>
      <c r="F4" s="5"/>
      <c r="G4" s="5">
        <f t="shared" si="1"/>
        <v>212.5</v>
      </c>
      <c r="H4" s="5">
        <v>1</v>
      </c>
      <c r="I4" s="5">
        <f t="shared" si="2"/>
        <v>212.5</v>
      </c>
      <c r="J4" s="5">
        <v>3</v>
      </c>
      <c r="K4" s="6">
        <v>2.8</v>
      </c>
      <c r="L4" s="6">
        <v>8</v>
      </c>
      <c r="M4" s="5">
        <v>190</v>
      </c>
      <c r="N4" s="6">
        <f>M4/E4</f>
        <v>4.4705882352941178</v>
      </c>
      <c r="Q4" s="4"/>
      <c r="R4" s="4"/>
      <c r="S4" s="4"/>
    </row>
    <row r="5" spans="1:19" x14ac:dyDescent="0.3">
      <c r="A5" s="4" t="s">
        <v>16</v>
      </c>
      <c r="B5" s="5">
        <v>15</v>
      </c>
      <c r="C5" s="5">
        <v>2</v>
      </c>
      <c r="D5" s="5"/>
      <c r="E5" s="5">
        <f t="shared" si="0"/>
        <v>17</v>
      </c>
      <c r="F5" s="5"/>
      <c r="G5" s="5">
        <f t="shared" si="1"/>
        <v>255</v>
      </c>
      <c r="H5" s="5">
        <v>1</v>
      </c>
      <c r="I5" s="5">
        <f t="shared" si="2"/>
        <v>255</v>
      </c>
      <c r="J5" s="5">
        <v>10</v>
      </c>
      <c r="K5" s="6">
        <v>8</v>
      </c>
      <c r="L5" s="6">
        <f>B5*1.4</f>
        <v>21</v>
      </c>
      <c r="M5" s="5">
        <v>289</v>
      </c>
      <c r="N5" s="6">
        <f t="shared" ref="N5:N8" si="4">M5/E5</f>
        <v>17</v>
      </c>
      <c r="Q5" s="4"/>
      <c r="R5" s="4"/>
      <c r="S5" s="4"/>
    </row>
    <row r="6" spans="1:19" x14ac:dyDescent="0.3">
      <c r="A6" s="4" t="s">
        <v>17</v>
      </c>
      <c r="B6" s="5">
        <v>20</v>
      </c>
      <c r="C6" s="5">
        <v>2</v>
      </c>
      <c r="D6" s="5"/>
      <c r="E6" s="5">
        <f t="shared" si="0"/>
        <v>17</v>
      </c>
      <c r="F6" s="5"/>
      <c r="G6" s="5">
        <f t="shared" si="1"/>
        <v>340</v>
      </c>
      <c r="H6" s="5">
        <v>1</v>
      </c>
      <c r="I6" s="5">
        <f t="shared" si="2"/>
        <v>340</v>
      </c>
      <c r="J6" s="5">
        <v>15</v>
      </c>
      <c r="K6" s="6">
        <f t="shared" si="3"/>
        <v>13.5</v>
      </c>
      <c r="L6" s="6">
        <f>B6*1.4</f>
        <v>28</v>
      </c>
      <c r="M6" s="5">
        <v>106</v>
      </c>
      <c r="N6" s="6">
        <f t="shared" si="4"/>
        <v>6.2352941176470589</v>
      </c>
    </row>
    <row r="7" spans="1:19" x14ac:dyDescent="0.3">
      <c r="A7" s="5">
        <v>25</v>
      </c>
      <c r="B7" s="5">
        <v>30</v>
      </c>
      <c r="C7" s="5">
        <v>1</v>
      </c>
      <c r="D7" s="5"/>
      <c r="E7" s="5">
        <f t="shared" si="0"/>
        <v>8.5</v>
      </c>
      <c r="F7" s="5"/>
      <c r="G7" s="5">
        <f t="shared" si="1"/>
        <v>255</v>
      </c>
      <c r="H7" s="5">
        <v>1</v>
      </c>
      <c r="I7" s="5">
        <f t="shared" si="2"/>
        <v>255</v>
      </c>
      <c r="J7" s="5">
        <v>25</v>
      </c>
      <c r="K7" s="6">
        <f t="shared" si="3"/>
        <v>22.5</v>
      </c>
      <c r="L7" s="6">
        <f>B7*1.4</f>
        <v>42</v>
      </c>
      <c r="M7" s="5">
        <v>32</v>
      </c>
      <c r="N7" s="6">
        <f t="shared" si="4"/>
        <v>3.7647058823529411</v>
      </c>
    </row>
    <row r="8" spans="1:19" x14ac:dyDescent="0.3">
      <c r="A8" s="5">
        <v>26</v>
      </c>
      <c r="B8" s="5">
        <v>48</v>
      </c>
      <c r="C8" s="5">
        <v>1</v>
      </c>
      <c r="D8" s="5"/>
      <c r="E8" s="5">
        <f t="shared" si="0"/>
        <v>8.5</v>
      </c>
      <c r="F8" s="5"/>
      <c r="G8" s="5">
        <f t="shared" si="1"/>
        <v>408</v>
      </c>
      <c r="H8" s="5">
        <v>1</v>
      </c>
      <c r="I8" s="5">
        <f t="shared" si="2"/>
        <v>408</v>
      </c>
      <c r="J8" s="5">
        <v>36</v>
      </c>
      <c r="K8" s="6">
        <f>J8*0.9</f>
        <v>32.4</v>
      </c>
      <c r="L8" s="6">
        <f>B8*1.4</f>
        <v>67.199999999999989</v>
      </c>
      <c r="M8" s="5">
        <v>87</v>
      </c>
      <c r="N8" s="6">
        <f t="shared" si="4"/>
        <v>10.235294117647058</v>
      </c>
    </row>
    <row r="10" spans="1:19" x14ac:dyDescent="0.3">
      <c r="P10">
        <f>24/2.5</f>
        <v>9.6</v>
      </c>
    </row>
    <row r="16" spans="1:19" ht="57.6" x14ac:dyDescent="0.3">
      <c r="A16" s="4"/>
      <c r="B16" s="4"/>
      <c r="C16" s="15" t="s">
        <v>18</v>
      </c>
      <c r="D16" s="15"/>
      <c r="E16" s="7" t="s">
        <v>19</v>
      </c>
      <c r="F16" s="7" t="s">
        <v>20</v>
      </c>
      <c r="G16" s="7" t="s">
        <v>21</v>
      </c>
      <c r="H16" s="4"/>
    </row>
    <row r="17" spans="1:9" x14ac:dyDescent="0.3">
      <c r="A17" s="4"/>
      <c r="B17" s="4" t="s">
        <v>22</v>
      </c>
      <c r="C17" s="4" t="s">
        <v>23</v>
      </c>
      <c r="D17" s="4" t="s">
        <v>24</v>
      </c>
      <c r="E17" s="4"/>
      <c r="F17" s="4"/>
      <c r="G17" s="4"/>
      <c r="H17" s="4" t="s">
        <v>25</v>
      </c>
      <c r="I17" s="4" t="s">
        <v>25</v>
      </c>
    </row>
    <row r="18" spans="1:9" x14ac:dyDescent="0.3">
      <c r="A18" s="4" t="s">
        <v>26</v>
      </c>
      <c r="B18" s="4" t="s">
        <v>27</v>
      </c>
      <c r="C18" s="8">
        <v>0.9</v>
      </c>
      <c r="D18" s="8">
        <v>2.8</v>
      </c>
      <c r="E18" s="5">
        <v>150</v>
      </c>
      <c r="F18" s="5">
        <v>3</v>
      </c>
      <c r="G18" s="4">
        <v>25</v>
      </c>
      <c r="H18" s="9">
        <f>D18/F18</f>
        <v>0.93333333333333324</v>
      </c>
      <c r="I18" s="10">
        <f>E18/G18</f>
        <v>6</v>
      </c>
    </row>
    <row r="19" spans="1:9" x14ac:dyDescent="0.3">
      <c r="A19" s="4" t="s">
        <v>15</v>
      </c>
      <c r="B19" s="4" t="s">
        <v>28</v>
      </c>
      <c r="C19" s="5">
        <v>2.8010000000000002</v>
      </c>
      <c r="D19" s="8">
        <v>7</v>
      </c>
      <c r="E19" s="5">
        <v>190</v>
      </c>
      <c r="F19" s="5">
        <v>5</v>
      </c>
      <c r="G19" s="4">
        <v>17</v>
      </c>
      <c r="H19" s="9">
        <f>D19/F19</f>
        <v>1.4</v>
      </c>
      <c r="I19" s="10">
        <f t="shared" ref="I19:I22" si="5">E19/G19</f>
        <v>11.176470588235293</v>
      </c>
    </row>
    <row r="20" spans="1:9" x14ac:dyDescent="0.3">
      <c r="A20" s="4" t="s">
        <v>16</v>
      </c>
      <c r="B20" s="4" t="s">
        <v>29</v>
      </c>
      <c r="C20" s="5">
        <v>7.01</v>
      </c>
      <c r="D20" s="8">
        <v>21</v>
      </c>
      <c r="E20" s="5">
        <v>289</v>
      </c>
      <c r="F20" s="5">
        <v>2</v>
      </c>
      <c r="G20" s="4">
        <v>42</v>
      </c>
      <c r="H20" s="9">
        <f t="shared" ref="H20:H22" si="6">D20/F20</f>
        <v>10.5</v>
      </c>
      <c r="I20" s="10">
        <f t="shared" si="5"/>
        <v>6.8809523809523814</v>
      </c>
    </row>
    <row r="21" spans="1:9" x14ac:dyDescent="0.3">
      <c r="A21" s="4" t="s">
        <v>17</v>
      </c>
      <c r="B21" s="4" t="s">
        <v>30</v>
      </c>
      <c r="C21" s="5">
        <v>21.01</v>
      </c>
      <c r="D21" s="8">
        <v>28</v>
      </c>
      <c r="E21" s="5">
        <v>106</v>
      </c>
      <c r="F21" s="5">
        <v>2</v>
      </c>
      <c r="G21" s="4">
        <v>17</v>
      </c>
      <c r="H21" s="9">
        <f t="shared" si="6"/>
        <v>14</v>
      </c>
      <c r="I21" s="10">
        <f t="shared" si="5"/>
        <v>6.2352941176470589</v>
      </c>
    </row>
    <row r="22" spans="1:9" x14ac:dyDescent="0.3">
      <c r="A22" s="5">
        <v>25</v>
      </c>
      <c r="B22" s="4" t="s">
        <v>31</v>
      </c>
      <c r="C22" s="5">
        <v>28.01</v>
      </c>
      <c r="D22" s="8">
        <v>42</v>
      </c>
      <c r="E22" s="5">
        <v>32</v>
      </c>
      <c r="F22" s="5">
        <v>1</v>
      </c>
      <c r="G22" s="4">
        <v>8.5</v>
      </c>
      <c r="H22" s="9">
        <f t="shared" si="6"/>
        <v>42</v>
      </c>
      <c r="I22" s="10">
        <f t="shared" si="5"/>
        <v>3.7647058823529411</v>
      </c>
    </row>
    <row r="23" spans="1:9" x14ac:dyDescent="0.3">
      <c r="A23" s="5">
        <v>26</v>
      </c>
      <c r="B23" s="4" t="s">
        <v>32</v>
      </c>
      <c r="C23" s="5">
        <v>42.01</v>
      </c>
      <c r="D23" s="8">
        <v>70</v>
      </c>
      <c r="E23" s="5">
        <v>87</v>
      </c>
      <c r="F23" s="5">
        <v>1</v>
      </c>
      <c r="G23" s="4">
        <v>8.5</v>
      </c>
      <c r="H23" s="9">
        <f>D23/F23</f>
        <v>70</v>
      </c>
      <c r="I23" s="10">
        <f>E23/G23</f>
        <v>10.235294117647058</v>
      </c>
    </row>
  </sheetData>
  <mergeCells count="4">
    <mergeCell ref="Q1:R1"/>
    <mergeCell ref="M2:M3"/>
    <mergeCell ref="N2:N3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Amit Kumar Mandal</cp:lastModifiedBy>
  <dcterms:created xsi:type="dcterms:W3CDTF">2026-08-07T13:58:51Z</dcterms:created>
  <dcterms:modified xsi:type="dcterms:W3CDTF">2026-08-12T06:34:24Z</dcterms:modified>
</cp:coreProperties>
</file>