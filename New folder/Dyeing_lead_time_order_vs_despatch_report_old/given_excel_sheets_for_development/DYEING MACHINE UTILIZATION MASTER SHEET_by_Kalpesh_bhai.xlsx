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k\Desktop\ooffice\New folder\for_dyeing\given_excel_sheets_for_development\"/>
    </mc:Choice>
  </mc:AlternateContent>
  <xr:revisionPtr revIDLastSave="0" documentId="13_ncr:1_{9EDEF185-C362-4AC9-8491-482E09ED5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Master" sheetId="4" r:id="rId1"/>
    <sheet name="ArticleMaster_dont_change" sheetId="1" r:id="rId2"/>
    <sheet name="to_understand" sheetId="2" r:id="rId3"/>
  </sheets>
  <definedNames>
    <definedName name="_xlnm._FilterDatabase" localSheetId="0" hidden="1">ArticleMaster!$A$2:$AC$56</definedName>
    <definedName name="_xlnm._FilterDatabase" localSheetId="1" hidden="1">ArticleMaster_dont_change!$A$2:$AC$56</definedName>
    <definedName name="_xlnm.Print_Area" localSheetId="0">ArticleMaster!$A$1:$AC$56</definedName>
    <definedName name="_xlnm.Print_Area" localSheetId="1">ArticleMaster_dont_change!$A$1:$AC$56</definedName>
    <definedName name="_xlnm.Print_Titles" localSheetId="0">ArticleMaster!$1:$2</definedName>
    <definedName name="_xlnm.Print_Titles" localSheetId="1">ArticleMaster_dont_change!$1:$2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4" l="1"/>
  <c r="N11" i="4"/>
  <c r="N3" i="4"/>
  <c r="N4" i="4"/>
  <c r="L61" i="4"/>
  <c r="L62" i="4" s="1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J8" i="2"/>
  <c r="J9" i="2" s="1"/>
  <c r="J12" i="2"/>
  <c r="J13" i="2"/>
  <c r="L61" i="1"/>
  <c r="L62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</calcChain>
</file>

<file path=xl/sharedStrings.xml><?xml version="1.0" encoding="utf-8"?>
<sst xmlns="http://schemas.openxmlformats.org/spreadsheetml/2006/main" count="724" uniqueCount="161">
  <si>
    <t>Article No.</t>
  </si>
  <si>
    <t>Brand</t>
  </si>
  <si>
    <t>Tex Size</t>
  </si>
  <si>
    <t>Subs</t>
  </si>
  <si>
    <t>Item Mapped</t>
  </si>
  <si>
    <t>Tkt</t>
  </si>
  <si>
    <t>Count</t>
  </si>
  <si>
    <t>Length</t>
  </si>
  <si>
    <t>Make Up</t>
  </si>
  <si>
    <t>U/M</t>
  </si>
  <si>
    <t>1201</t>
  </si>
  <si>
    <t>ROXX GOLD</t>
  </si>
  <si>
    <t>SPUN POLYESTER</t>
  </si>
  <si>
    <t>2/60 SPUN POLYESTER YARN</t>
  </si>
  <si>
    <t>4" V-CONE</t>
  </si>
  <si>
    <t>METER</t>
  </si>
  <si>
    <t>1202</t>
  </si>
  <si>
    <t>ROXX STAR</t>
  </si>
  <si>
    <t>2/57 SPUN POLYSTER YARN</t>
  </si>
  <si>
    <t>gm</t>
  </si>
  <si>
    <t>1203</t>
  </si>
  <si>
    <t>ROXX 50</t>
  </si>
  <si>
    <t>2/20 SPUN POLYESTER YARN</t>
  </si>
  <si>
    <t>1206</t>
  </si>
  <si>
    <t>ROXX POLY</t>
  </si>
  <si>
    <t>1207</t>
  </si>
  <si>
    <t>64mm PAPER TUBE</t>
  </si>
  <si>
    <t>1208</t>
  </si>
  <si>
    <t>ROXX GOLD JR.</t>
  </si>
  <si>
    <t>1302</t>
  </si>
  <si>
    <t>ROXX DIAMOND</t>
  </si>
  <si>
    <t>3/60 HT SPUN POLYESTER</t>
  </si>
  <si>
    <t>TUBE</t>
  </si>
  <si>
    <t>1303</t>
  </si>
  <si>
    <t>ROXX EURO</t>
  </si>
  <si>
    <t>1401</t>
  </si>
  <si>
    <t>ROXX 20</t>
  </si>
  <si>
    <t>4/20 SPUN POLYSTER YARN</t>
  </si>
  <si>
    <t>2201</t>
  </si>
  <si>
    <t>COMFO PLUS 60</t>
  </si>
  <si>
    <t>CONTINOUS FILAMENT POLYESTER</t>
  </si>
  <si>
    <t>210/2 CONTINOUS POLYESTER FILAMENT</t>
  </si>
  <si>
    <t>4" Y-CONE BF</t>
  </si>
  <si>
    <t>2202</t>
  </si>
  <si>
    <t>COMFO 60</t>
  </si>
  <si>
    <t>3.25" Y-CONE</t>
  </si>
  <si>
    <t>2203</t>
  </si>
  <si>
    <t>6" BF</t>
  </si>
  <si>
    <t>KG</t>
  </si>
  <si>
    <t>2204</t>
  </si>
  <si>
    <t>COMFO PLUS 80</t>
  </si>
  <si>
    <t>150/2 SHT POLY THREAD</t>
  </si>
  <si>
    <t>2205</t>
  </si>
  <si>
    <t>210/2 SHT POLY THREAD</t>
  </si>
  <si>
    <t>2206</t>
  </si>
  <si>
    <t>2207</t>
  </si>
  <si>
    <t>COMFO PRIDE</t>
  </si>
  <si>
    <t>120/2 PLY CF POLYESTER 5GPD</t>
  </si>
  <si>
    <t>2208</t>
  </si>
  <si>
    <t>COMFO 80</t>
  </si>
  <si>
    <t>4" Y-CONE MF</t>
  </si>
  <si>
    <t>2302</t>
  </si>
  <si>
    <t>COMFO PREMIUM</t>
  </si>
  <si>
    <t>210/3 CONTINOUS POLYESTER FILAMENT</t>
  </si>
  <si>
    <t>2303</t>
  </si>
  <si>
    <t>COMFO COOL</t>
  </si>
  <si>
    <t>2304</t>
  </si>
  <si>
    <t>COMFO STAR</t>
  </si>
  <si>
    <t>2.25" PENCIL CONE</t>
  </si>
  <si>
    <t>2305</t>
  </si>
  <si>
    <t>COMFO PLUS</t>
  </si>
  <si>
    <t>2311</t>
  </si>
  <si>
    <t>COMFO 20</t>
  </si>
  <si>
    <t>420/3 CONTINOUS FILAMENT POLYESTER</t>
  </si>
  <si>
    <t>2313</t>
  </si>
  <si>
    <t>COMFO 40</t>
  </si>
  <si>
    <t>210/3 SHT POLY THREAD</t>
  </si>
  <si>
    <t>2314</t>
  </si>
  <si>
    <t>420/3 PLY SHT POLY THREAD</t>
  </si>
  <si>
    <t>2315</t>
  </si>
  <si>
    <t>2316</t>
  </si>
  <si>
    <t>2317</t>
  </si>
  <si>
    <t>COMFO 10</t>
  </si>
  <si>
    <t>840/3 PLY HT POLYESTER</t>
  </si>
  <si>
    <t>2319</t>
  </si>
  <si>
    <t>2320</t>
  </si>
  <si>
    <t>2321</t>
  </si>
  <si>
    <t>COMFO 30</t>
  </si>
  <si>
    <t>250/3 CONTINUOUS FILAMENT POLYSTER</t>
  </si>
  <si>
    <t>2322</t>
  </si>
  <si>
    <t>150/3 PLY HT POLY</t>
  </si>
  <si>
    <t>2323</t>
  </si>
  <si>
    <t>2324</t>
  </si>
  <si>
    <t>2325</t>
  </si>
  <si>
    <t>COMFO 8</t>
  </si>
  <si>
    <t>3201</t>
  </si>
  <si>
    <t>TUFF 60</t>
  </si>
  <si>
    <t>CONTINOUS FILAMENT NYLON 6</t>
  </si>
  <si>
    <t>210/2 HI-TENACITY NYLON YARN</t>
  </si>
  <si>
    <t>3202</t>
  </si>
  <si>
    <t>TUFF PREMIUM 60</t>
  </si>
  <si>
    <t>3203</t>
  </si>
  <si>
    <t>2.25 INCH PENCIL CONE</t>
  </si>
  <si>
    <t>3301</t>
  </si>
  <si>
    <t>TUFF PREMIUM</t>
  </si>
  <si>
    <t>210/3 HI-TENACITY NYLON</t>
  </si>
  <si>
    <t>3302</t>
  </si>
  <si>
    <t>TUFF CLASSIC</t>
  </si>
  <si>
    <t>3303</t>
  </si>
  <si>
    <t>TUFF STAR</t>
  </si>
  <si>
    <t>3304</t>
  </si>
  <si>
    <t>TUFF 20</t>
  </si>
  <si>
    <t>420/3 HI TENACITY NYLON</t>
  </si>
  <si>
    <t>3310</t>
  </si>
  <si>
    <t>3311</t>
  </si>
  <si>
    <t>TUFF 10</t>
  </si>
  <si>
    <t>840/3 PLY HT NYLON</t>
  </si>
  <si>
    <t>4203</t>
  </si>
  <si>
    <t>ROXX CORE POLY</t>
  </si>
  <si>
    <t>POLY POLY CORE SPUN</t>
  </si>
  <si>
    <t>2/29 POLY POLY CORE SPUN</t>
  </si>
  <si>
    <t>4209</t>
  </si>
  <si>
    <t>2/48 POLY POLY CORE SPUN</t>
  </si>
  <si>
    <t>5301</t>
  </si>
  <si>
    <t>COMFO BOND</t>
  </si>
  <si>
    <t>CONTINOUS FILAMENT POLYESTER BONDED</t>
  </si>
  <si>
    <t>210/3 PLY CF POLY BONDED</t>
  </si>
  <si>
    <t>5304</t>
  </si>
  <si>
    <t>420/3 CF POLYESTER BONDED</t>
  </si>
  <si>
    <t>5306</t>
  </si>
  <si>
    <t>6301</t>
  </si>
  <si>
    <t>TUFF BOND</t>
  </si>
  <si>
    <t>CONTINOUS FILAMENT NYLON 6,6 BONDED</t>
  </si>
  <si>
    <t>210/3 PLY HI TENACITY NYLON 66 IN BONDED</t>
  </si>
  <si>
    <t>6302</t>
  </si>
  <si>
    <t>420/3 PLY HT NYLON 66 IN BONDED</t>
  </si>
  <si>
    <t>7102</t>
  </si>
  <si>
    <t>COMFO TEX 150</t>
  </si>
  <si>
    <t>TEXURISED FILAMENT POLYESTER</t>
  </si>
  <si>
    <t>150/TEX DYED</t>
  </si>
  <si>
    <t>7103</t>
  </si>
  <si>
    <t>COMFO TEX 80</t>
  </si>
  <si>
    <t>300/D 100 TPM</t>
  </si>
  <si>
    <t>7104</t>
  </si>
  <si>
    <t>COMFO TEX PLUS</t>
  </si>
  <si>
    <t>7201</t>
  </si>
  <si>
    <t>ROXX SILKY</t>
  </si>
  <si>
    <t>75/2 POLYCOT</t>
  </si>
  <si>
    <t>Per Con Waight</t>
  </si>
  <si>
    <t>Per Pkg Waight</t>
  </si>
  <si>
    <t>M 11-12</t>
  </si>
  <si>
    <t>M 19-20</t>
  </si>
  <si>
    <t>M 21-22</t>
  </si>
  <si>
    <t>M 25</t>
  </si>
  <si>
    <t>M 23-24</t>
  </si>
  <si>
    <t>M 26</t>
  </si>
  <si>
    <t>BOX</t>
  </si>
  <si>
    <t xml:space="preserve"> DYEING MACHINE UTILIZATION MASTER SHEET</t>
  </si>
  <si>
    <t>SR</t>
  </si>
  <si>
    <t>PARTY CONE ORDER</t>
  </si>
  <si>
    <t>then increase cone to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</si>
</sst>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4" fillId="3" borderId="0" xfId="0" applyFont="1" applyFill="1"/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16" fontId="1" fillId="2" borderId="34" xfId="0" applyNumberFormat="1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0E3A-6CD3-4364-B7A2-88865575AD76}">
  <sheetPr>
    <pageSetUpPr fitToPage="1"/>
  </sheetPr>
  <dimension ref="A1:AC62"/>
  <sheetViews>
    <sheetView tabSelected="1" zoomScaleNormal="100" workbookViewId="0">
      <selection activeCell="A6" sqref="A6"/>
    </sheetView>
  </sheetViews>
  <sheetFormatPr defaultRowHeight="15.6" x14ac:dyDescent="0.3"/>
  <cols>
    <col min="2" max="2" width="12.19921875" style="2" customWidth="1"/>
    <col min="3" max="3" width="16.09765625" bestFit="1" customWidth="1"/>
    <col min="4" max="4" width="7.5" bestFit="1" customWidth="1"/>
    <col min="5" max="5" width="3.8984375" bestFit="1" customWidth="1"/>
    <col min="6" max="6" width="6" bestFit="1" customWidth="1"/>
    <col min="7" max="7" width="37.19921875" customWidth="1"/>
    <col min="8" max="8" width="38" hidden="1" customWidth="1"/>
    <col min="9" max="9" width="8.09765625" style="2" customWidth="1"/>
    <col min="10" max="10" width="8.59765625" style="2" customWidth="1"/>
    <col min="11" max="11" width="20.69921875" hidden="1" customWidth="1"/>
    <col min="12" max="12" width="9" style="2" customWidth="1"/>
    <col min="13" max="13" width="11.69921875" style="2" customWidth="1"/>
    <col min="14" max="29" width="7" customWidth="1"/>
  </cols>
  <sheetData>
    <row r="1" spans="1:29" s="4" customFormat="1" ht="26.25" customHeight="1" thickBot="1" x14ac:dyDescent="0.35">
      <c r="A1" s="61" t="s">
        <v>157</v>
      </c>
      <c r="B1" s="62"/>
      <c r="C1" s="62"/>
      <c r="D1" s="62"/>
      <c r="E1" s="62"/>
      <c r="F1" s="62"/>
      <c r="G1" s="62"/>
      <c r="H1" s="59"/>
      <c r="I1" s="62"/>
      <c r="J1" s="62"/>
      <c r="K1" s="59"/>
      <c r="L1" s="62"/>
      <c r="M1" s="63"/>
      <c r="N1" s="66" t="s">
        <v>150</v>
      </c>
      <c r="O1" s="65"/>
      <c r="P1" s="64" t="s">
        <v>151</v>
      </c>
      <c r="Q1" s="67"/>
      <c r="R1" s="68"/>
      <c r="S1" s="69" t="s">
        <v>152</v>
      </c>
      <c r="T1" s="67"/>
      <c r="U1" s="65"/>
      <c r="V1" s="64" t="s">
        <v>154</v>
      </c>
      <c r="W1" s="68"/>
      <c r="X1" s="69" t="s">
        <v>153</v>
      </c>
      <c r="Y1" s="67"/>
      <c r="Z1" s="65"/>
      <c r="AA1" s="64" t="s">
        <v>155</v>
      </c>
      <c r="AB1" s="65"/>
    </row>
    <row r="2" spans="1:29" s="1" customFormat="1" ht="31.8" thickBot="1" x14ac:dyDescent="0.35">
      <c r="A2" s="5" t="s">
        <v>158</v>
      </c>
      <c r="B2" s="6" t="s">
        <v>0</v>
      </c>
      <c r="C2" s="7" t="s">
        <v>1</v>
      </c>
      <c r="D2" s="7" t="s">
        <v>2</v>
      </c>
      <c r="E2" s="7" t="s">
        <v>5</v>
      </c>
      <c r="F2" s="7" t="s">
        <v>6</v>
      </c>
      <c r="G2" s="7" t="s">
        <v>4</v>
      </c>
      <c r="H2" s="7" t="s">
        <v>3</v>
      </c>
      <c r="I2" s="7" t="s">
        <v>7</v>
      </c>
      <c r="J2" s="7" t="s">
        <v>9</v>
      </c>
      <c r="K2" s="7" t="s">
        <v>8</v>
      </c>
      <c r="L2" s="8" t="s">
        <v>148</v>
      </c>
      <c r="M2" s="9" t="s">
        <v>149</v>
      </c>
      <c r="N2" s="10">
        <v>1</v>
      </c>
      <c r="O2" s="11">
        <v>2</v>
      </c>
      <c r="P2" s="12">
        <v>3</v>
      </c>
      <c r="Q2" s="13">
        <v>4</v>
      </c>
      <c r="R2" s="14">
        <v>5</v>
      </c>
      <c r="S2" s="10">
        <v>10</v>
      </c>
      <c r="T2" s="13">
        <v>12</v>
      </c>
      <c r="U2" s="11">
        <v>15</v>
      </c>
      <c r="V2" s="12">
        <v>15</v>
      </c>
      <c r="W2" s="14">
        <v>20</v>
      </c>
      <c r="X2" s="10">
        <v>20</v>
      </c>
      <c r="Y2" s="13">
        <v>25</v>
      </c>
      <c r="Z2" s="11">
        <v>30</v>
      </c>
      <c r="AA2" s="12">
        <v>40</v>
      </c>
      <c r="AB2" s="11">
        <v>48</v>
      </c>
    </row>
    <row r="3" spans="1:29" s="4" customFormat="1" ht="19.5" customHeight="1" x14ac:dyDescent="0.3">
      <c r="A3" s="15">
        <v>1</v>
      </c>
      <c r="B3" s="16" t="s">
        <v>10</v>
      </c>
      <c r="C3" s="17" t="s">
        <v>11</v>
      </c>
      <c r="D3" s="17">
        <v>20</v>
      </c>
      <c r="E3" s="17">
        <v>60</v>
      </c>
      <c r="F3" s="17">
        <v>60</v>
      </c>
      <c r="G3" s="17" t="s">
        <v>13</v>
      </c>
      <c r="H3" s="17" t="s">
        <v>12</v>
      </c>
      <c r="I3" s="18">
        <v>10000</v>
      </c>
      <c r="J3" s="18" t="s">
        <v>15</v>
      </c>
      <c r="K3" s="17" t="s">
        <v>14</v>
      </c>
      <c r="L3" s="19">
        <v>0.214</v>
      </c>
      <c r="M3" s="20">
        <v>1.4</v>
      </c>
      <c r="N3" s="21">
        <f>SUM(M3/L3*1)</f>
        <v>6.5420560747663545</v>
      </c>
      <c r="O3" s="22">
        <f t="shared" ref="O3:O55" si="0">SUM(M3/L3*2)</f>
        <v>13.084112149532709</v>
      </c>
      <c r="P3" s="23">
        <f t="shared" ref="P3:P55" si="1">SUM(M3/L3*3)</f>
        <v>19.626168224299064</v>
      </c>
      <c r="Q3" s="24">
        <f t="shared" ref="Q3:Q55" si="2">SUM(M3/L3*4)</f>
        <v>26.168224299065418</v>
      </c>
      <c r="R3" s="25">
        <f t="shared" ref="R3:R55" si="3">SUM(M3/L3*5)</f>
        <v>32.710280373831772</v>
      </c>
      <c r="S3" s="21">
        <f t="shared" ref="S3:S55" si="4">SUM(M3/L3*10)</f>
        <v>65.420560747663544</v>
      </c>
      <c r="T3" s="24">
        <f t="shared" ref="T3:T55" si="5">SUM(M3/L3*12)</f>
        <v>78.504672897196258</v>
      </c>
      <c r="U3" s="22">
        <f t="shared" ref="U3:U55" si="6">SUM(M3/L3*15)</f>
        <v>98.130841121495322</v>
      </c>
      <c r="V3" s="23">
        <f t="shared" ref="V3:V55" si="7">SUM(M3/L3*15)</f>
        <v>98.130841121495322</v>
      </c>
      <c r="W3" s="25">
        <f t="shared" ref="W3:W55" si="8">SUM(M3/L3*20)</f>
        <v>130.84112149532709</v>
      </c>
      <c r="X3" s="21">
        <f t="shared" ref="X3:X55" si="9">SUM(M3/L3*20)</f>
        <v>130.84112149532709</v>
      </c>
      <c r="Y3" s="24">
        <f t="shared" ref="Y3:Y55" si="10">SUM(M3/L3*25)</f>
        <v>163.55140186915887</v>
      </c>
      <c r="Z3" s="22">
        <f t="shared" ref="Z3:Z55" si="11">SUM(M3/L3*30)</f>
        <v>196.26168224299064</v>
      </c>
      <c r="AA3" s="23">
        <f t="shared" ref="AA3:AA55" si="12">SUM(M3/L3*40)</f>
        <v>261.68224299065417</v>
      </c>
      <c r="AB3" s="22">
        <f t="shared" ref="AB3:AB55" si="13">SUM(M3/L3*48)</f>
        <v>314.01869158878503</v>
      </c>
    </row>
    <row r="4" spans="1:29" s="4" customFormat="1" ht="19.5" customHeight="1" x14ac:dyDescent="0.3">
      <c r="A4" s="26">
        <v>2</v>
      </c>
      <c r="B4" s="27" t="s">
        <v>16</v>
      </c>
      <c r="C4" s="28" t="s">
        <v>17</v>
      </c>
      <c r="D4" s="28">
        <v>20</v>
      </c>
      <c r="E4" s="28">
        <v>60</v>
      </c>
      <c r="F4" s="28">
        <v>57</v>
      </c>
      <c r="G4" s="28" t="s">
        <v>18</v>
      </c>
      <c r="H4" s="28" t="s">
        <v>12</v>
      </c>
      <c r="I4" s="29">
        <v>200</v>
      </c>
      <c r="J4" s="29" t="s">
        <v>19</v>
      </c>
      <c r="K4" s="28" t="s">
        <v>14</v>
      </c>
      <c r="L4" s="30">
        <v>0.2</v>
      </c>
      <c r="M4" s="31">
        <v>1.4</v>
      </c>
      <c r="N4" s="32">
        <f>SUM(M4/L4*1)</f>
        <v>6.9999999999999991</v>
      </c>
      <c r="O4" s="33">
        <f t="shared" si="0"/>
        <v>13.999999999999998</v>
      </c>
      <c r="P4" s="34">
        <f t="shared" si="1"/>
        <v>20.999999999999996</v>
      </c>
      <c r="Q4" s="35">
        <f t="shared" si="2"/>
        <v>27.999999999999996</v>
      </c>
      <c r="R4" s="36">
        <f t="shared" si="3"/>
        <v>34.999999999999993</v>
      </c>
      <c r="S4" s="32">
        <f t="shared" si="4"/>
        <v>69.999999999999986</v>
      </c>
      <c r="T4" s="35">
        <f t="shared" si="5"/>
        <v>83.999999999999986</v>
      </c>
      <c r="U4" s="33">
        <f t="shared" si="6"/>
        <v>104.99999999999999</v>
      </c>
      <c r="V4" s="34">
        <f t="shared" si="7"/>
        <v>104.99999999999999</v>
      </c>
      <c r="W4" s="36">
        <f t="shared" si="8"/>
        <v>139.99999999999997</v>
      </c>
      <c r="X4" s="32">
        <f t="shared" si="9"/>
        <v>139.99999999999997</v>
      </c>
      <c r="Y4" s="35">
        <f t="shared" si="10"/>
        <v>174.99999999999997</v>
      </c>
      <c r="Z4" s="33">
        <f t="shared" si="11"/>
        <v>209.99999999999997</v>
      </c>
      <c r="AA4" s="34">
        <f t="shared" si="12"/>
        <v>279.99999999999994</v>
      </c>
      <c r="AB4" s="33">
        <f t="shared" si="13"/>
        <v>335.99999999999994</v>
      </c>
    </row>
    <row r="5" spans="1:29" s="4" customFormat="1" ht="19.5" customHeight="1" x14ac:dyDescent="0.3">
      <c r="A5" s="26">
        <v>3</v>
      </c>
      <c r="B5" s="27" t="s">
        <v>20</v>
      </c>
      <c r="C5" s="28" t="s">
        <v>21</v>
      </c>
      <c r="D5" s="28">
        <v>60</v>
      </c>
      <c r="E5" s="28">
        <v>50</v>
      </c>
      <c r="F5" s="28">
        <v>20</v>
      </c>
      <c r="G5" s="28" t="s">
        <v>22</v>
      </c>
      <c r="H5" s="28" t="s">
        <v>12</v>
      </c>
      <c r="I5" s="29">
        <v>2000</v>
      </c>
      <c r="J5" s="29" t="s">
        <v>15</v>
      </c>
      <c r="K5" s="28" t="s">
        <v>14</v>
      </c>
      <c r="L5" s="30">
        <v>0.12</v>
      </c>
      <c r="M5" s="31">
        <v>1.4</v>
      </c>
      <c r="N5" s="32">
        <f t="shared" ref="N3:N55" si="14">SUM(M5/L5*1)</f>
        <v>11.666666666666666</v>
      </c>
      <c r="O5" s="33">
        <f t="shared" si="0"/>
        <v>23.333333333333332</v>
      </c>
      <c r="P5" s="34">
        <f t="shared" si="1"/>
        <v>35</v>
      </c>
      <c r="Q5" s="35">
        <f t="shared" si="2"/>
        <v>46.666666666666664</v>
      </c>
      <c r="R5" s="36">
        <f t="shared" si="3"/>
        <v>58.333333333333329</v>
      </c>
      <c r="S5" s="32">
        <f t="shared" si="4"/>
        <v>116.66666666666666</v>
      </c>
      <c r="T5" s="35">
        <f t="shared" si="5"/>
        <v>140</v>
      </c>
      <c r="U5" s="33">
        <f t="shared" si="6"/>
        <v>175</v>
      </c>
      <c r="V5" s="34">
        <f t="shared" si="7"/>
        <v>175</v>
      </c>
      <c r="W5" s="36">
        <f t="shared" si="8"/>
        <v>233.33333333333331</v>
      </c>
      <c r="X5" s="32">
        <f t="shared" si="9"/>
        <v>233.33333333333331</v>
      </c>
      <c r="Y5" s="35">
        <f t="shared" si="10"/>
        <v>291.66666666666663</v>
      </c>
      <c r="Z5" s="33">
        <f t="shared" si="11"/>
        <v>350</v>
      </c>
      <c r="AA5" s="34">
        <f t="shared" si="12"/>
        <v>466.66666666666663</v>
      </c>
      <c r="AB5" s="33">
        <f t="shared" si="13"/>
        <v>560</v>
      </c>
    </row>
    <row r="6" spans="1:29" s="4" customFormat="1" ht="19.5" customHeight="1" x14ac:dyDescent="0.3">
      <c r="A6" s="26">
        <v>4</v>
      </c>
      <c r="B6" s="27" t="s">
        <v>23</v>
      </c>
      <c r="C6" s="28" t="s">
        <v>24</v>
      </c>
      <c r="D6" s="28">
        <v>20</v>
      </c>
      <c r="E6" s="28">
        <v>60</v>
      </c>
      <c r="F6" s="28">
        <v>57</v>
      </c>
      <c r="G6" s="28" t="s">
        <v>18</v>
      </c>
      <c r="H6" s="28" t="s">
        <v>12</v>
      </c>
      <c r="I6" s="37">
        <v>180</v>
      </c>
      <c r="J6" s="29" t="s">
        <v>15</v>
      </c>
      <c r="K6" s="28" t="s">
        <v>14</v>
      </c>
      <c r="L6" s="30">
        <v>7.6999999999999999E-2</v>
      </c>
      <c r="M6" s="31">
        <v>1.4</v>
      </c>
      <c r="N6" s="32">
        <f t="shared" si="14"/>
        <v>18.18181818181818</v>
      </c>
      <c r="O6" s="33">
        <f t="shared" si="0"/>
        <v>36.36363636363636</v>
      </c>
      <c r="P6" s="34">
        <f t="shared" si="1"/>
        <v>54.54545454545454</v>
      </c>
      <c r="Q6" s="35">
        <f t="shared" si="2"/>
        <v>72.72727272727272</v>
      </c>
      <c r="R6" s="36">
        <f t="shared" si="3"/>
        <v>90.909090909090907</v>
      </c>
      <c r="S6" s="32">
        <f t="shared" si="4"/>
        <v>181.81818181818181</v>
      </c>
      <c r="T6" s="35">
        <f t="shared" si="5"/>
        <v>218.18181818181816</v>
      </c>
      <c r="U6" s="33">
        <f t="shared" si="6"/>
        <v>272.72727272727269</v>
      </c>
      <c r="V6" s="34">
        <f t="shared" si="7"/>
        <v>272.72727272727269</v>
      </c>
      <c r="W6" s="36">
        <f t="shared" si="8"/>
        <v>363.63636363636363</v>
      </c>
      <c r="X6" s="32">
        <f t="shared" si="9"/>
        <v>363.63636363636363</v>
      </c>
      <c r="Y6" s="35">
        <f t="shared" si="10"/>
        <v>454.5454545454545</v>
      </c>
      <c r="Z6" s="33">
        <f t="shared" si="11"/>
        <v>545.45454545454538</v>
      </c>
      <c r="AA6" s="34">
        <f t="shared" si="12"/>
        <v>727.27272727272725</v>
      </c>
      <c r="AB6" s="33">
        <f t="shared" si="13"/>
        <v>872.72727272727263</v>
      </c>
      <c r="AC6" s="3" t="s">
        <v>156</v>
      </c>
    </row>
    <row r="7" spans="1:29" s="4" customFormat="1" ht="19.5" customHeight="1" x14ac:dyDescent="0.3">
      <c r="A7" s="26">
        <v>5</v>
      </c>
      <c r="B7" s="27" t="s">
        <v>25</v>
      </c>
      <c r="C7" s="28" t="s">
        <v>24</v>
      </c>
      <c r="D7" s="28">
        <v>20</v>
      </c>
      <c r="E7" s="28">
        <v>60</v>
      </c>
      <c r="F7" s="28">
        <v>57</v>
      </c>
      <c r="G7" s="28" t="s">
        <v>18</v>
      </c>
      <c r="H7" s="28" t="s">
        <v>12</v>
      </c>
      <c r="I7" s="37">
        <v>800</v>
      </c>
      <c r="J7" s="29" t="s">
        <v>15</v>
      </c>
      <c r="K7" s="28" t="s">
        <v>26</v>
      </c>
      <c r="L7" s="30">
        <v>0.17</v>
      </c>
      <c r="M7" s="31">
        <v>1.4</v>
      </c>
      <c r="N7" s="32">
        <f t="shared" si="14"/>
        <v>8.235294117647058</v>
      </c>
      <c r="O7" s="33">
        <f t="shared" si="0"/>
        <v>16.470588235294116</v>
      </c>
      <c r="P7" s="34">
        <f t="shared" si="1"/>
        <v>24.705882352941174</v>
      </c>
      <c r="Q7" s="35">
        <f t="shared" si="2"/>
        <v>32.941176470588232</v>
      </c>
      <c r="R7" s="36">
        <f t="shared" si="3"/>
        <v>41.17647058823529</v>
      </c>
      <c r="S7" s="32">
        <f t="shared" si="4"/>
        <v>82.35294117647058</v>
      </c>
      <c r="T7" s="35">
        <f t="shared" si="5"/>
        <v>98.823529411764696</v>
      </c>
      <c r="U7" s="33">
        <f t="shared" si="6"/>
        <v>123.52941176470587</v>
      </c>
      <c r="V7" s="34">
        <f t="shared" si="7"/>
        <v>123.52941176470587</v>
      </c>
      <c r="W7" s="36">
        <f t="shared" si="8"/>
        <v>164.70588235294116</v>
      </c>
      <c r="X7" s="32">
        <f t="shared" si="9"/>
        <v>164.70588235294116</v>
      </c>
      <c r="Y7" s="35">
        <f t="shared" si="10"/>
        <v>205.88235294117646</v>
      </c>
      <c r="Z7" s="33">
        <f t="shared" si="11"/>
        <v>247.05882352941174</v>
      </c>
      <c r="AA7" s="34">
        <f t="shared" si="12"/>
        <v>329.41176470588232</v>
      </c>
      <c r="AB7" s="33">
        <f t="shared" si="13"/>
        <v>395.29411764705878</v>
      </c>
      <c r="AC7" s="3" t="s">
        <v>156</v>
      </c>
    </row>
    <row r="8" spans="1:29" s="4" customFormat="1" ht="19.5" customHeight="1" x14ac:dyDescent="0.3">
      <c r="A8" s="26">
        <v>6</v>
      </c>
      <c r="B8" s="27" t="s">
        <v>27</v>
      </c>
      <c r="C8" s="28" t="s">
        <v>28</v>
      </c>
      <c r="D8" s="28">
        <v>20</v>
      </c>
      <c r="E8" s="28">
        <v>60</v>
      </c>
      <c r="F8" s="28">
        <v>60</v>
      </c>
      <c r="G8" s="28" t="s">
        <v>13</v>
      </c>
      <c r="H8" s="28" t="s">
        <v>12</v>
      </c>
      <c r="I8" s="29">
        <v>5000</v>
      </c>
      <c r="J8" s="29" t="s">
        <v>15</v>
      </c>
      <c r="K8" s="28" t="s">
        <v>14</v>
      </c>
      <c r="L8" s="30">
        <v>0.108</v>
      </c>
      <c r="M8" s="31">
        <v>1.4</v>
      </c>
      <c r="N8" s="32">
        <f t="shared" si="14"/>
        <v>12.962962962962962</v>
      </c>
      <c r="O8" s="33">
        <f t="shared" si="0"/>
        <v>25.925925925925924</v>
      </c>
      <c r="P8" s="34">
        <f t="shared" si="1"/>
        <v>38.888888888888886</v>
      </c>
      <c r="Q8" s="35">
        <f t="shared" si="2"/>
        <v>51.851851851851848</v>
      </c>
      <c r="R8" s="36">
        <f t="shared" si="3"/>
        <v>64.81481481481481</v>
      </c>
      <c r="S8" s="32">
        <f t="shared" si="4"/>
        <v>129.62962962962962</v>
      </c>
      <c r="T8" s="35">
        <f t="shared" si="5"/>
        <v>155.55555555555554</v>
      </c>
      <c r="U8" s="33">
        <f t="shared" si="6"/>
        <v>194.44444444444443</v>
      </c>
      <c r="V8" s="34">
        <f t="shared" si="7"/>
        <v>194.44444444444443</v>
      </c>
      <c r="W8" s="36">
        <f t="shared" si="8"/>
        <v>259.25925925925924</v>
      </c>
      <c r="X8" s="32">
        <f t="shared" si="9"/>
        <v>259.25925925925924</v>
      </c>
      <c r="Y8" s="35">
        <f t="shared" si="10"/>
        <v>324.07407407407402</v>
      </c>
      <c r="Z8" s="33">
        <f t="shared" si="11"/>
        <v>388.88888888888886</v>
      </c>
      <c r="AA8" s="34">
        <f t="shared" si="12"/>
        <v>518.51851851851848</v>
      </c>
      <c r="AB8" s="33">
        <f t="shared" si="13"/>
        <v>622.22222222222217</v>
      </c>
    </row>
    <row r="9" spans="1:29" s="4" customFormat="1" ht="19.5" customHeight="1" x14ac:dyDescent="0.3">
      <c r="A9" s="26">
        <v>7</v>
      </c>
      <c r="B9" s="27" t="s">
        <v>29</v>
      </c>
      <c r="C9" s="28" t="s">
        <v>30</v>
      </c>
      <c r="D9" s="28">
        <v>30</v>
      </c>
      <c r="E9" s="28">
        <v>100</v>
      </c>
      <c r="F9" s="28">
        <v>60</v>
      </c>
      <c r="G9" s="28" t="s">
        <v>31</v>
      </c>
      <c r="H9" s="28" t="s">
        <v>12</v>
      </c>
      <c r="I9" s="37">
        <v>135</v>
      </c>
      <c r="J9" s="29" t="s">
        <v>15</v>
      </c>
      <c r="K9" s="28" t="s">
        <v>32</v>
      </c>
      <c r="L9" s="30">
        <v>8.2000000000000003E-2</v>
      </c>
      <c r="M9" s="31">
        <v>1.3</v>
      </c>
      <c r="N9" s="32">
        <f t="shared" si="14"/>
        <v>15.853658536585366</v>
      </c>
      <c r="O9" s="33">
        <f t="shared" si="0"/>
        <v>31.707317073170731</v>
      </c>
      <c r="P9" s="34">
        <f t="shared" si="1"/>
        <v>47.560975609756099</v>
      </c>
      <c r="Q9" s="35">
        <f t="shared" si="2"/>
        <v>63.414634146341463</v>
      </c>
      <c r="R9" s="36">
        <f t="shared" si="3"/>
        <v>79.268292682926827</v>
      </c>
      <c r="S9" s="32">
        <f t="shared" si="4"/>
        <v>158.53658536585365</v>
      </c>
      <c r="T9" s="35">
        <f t="shared" si="5"/>
        <v>190.2439024390244</v>
      </c>
      <c r="U9" s="33">
        <f t="shared" si="6"/>
        <v>237.80487804878049</v>
      </c>
      <c r="V9" s="34">
        <f t="shared" si="7"/>
        <v>237.80487804878049</v>
      </c>
      <c r="W9" s="36">
        <f t="shared" si="8"/>
        <v>317.07317073170731</v>
      </c>
      <c r="X9" s="32">
        <f t="shared" si="9"/>
        <v>317.07317073170731</v>
      </c>
      <c r="Y9" s="35">
        <f t="shared" si="10"/>
        <v>396.34146341463412</v>
      </c>
      <c r="Z9" s="33">
        <f t="shared" si="11"/>
        <v>475.60975609756099</v>
      </c>
      <c r="AA9" s="34">
        <f t="shared" si="12"/>
        <v>634.14634146341461</v>
      </c>
      <c r="AB9" s="33">
        <f t="shared" si="13"/>
        <v>760.97560975609758</v>
      </c>
      <c r="AC9" s="3" t="s">
        <v>156</v>
      </c>
    </row>
    <row r="10" spans="1:29" s="4" customFormat="1" ht="19.5" customHeight="1" x14ac:dyDescent="0.3">
      <c r="A10" s="26">
        <v>8</v>
      </c>
      <c r="B10" s="27" t="s">
        <v>33</v>
      </c>
      <c r="C10" s="28" t="s">
        <v>34</v>
      </c>
      <c r="D10" s="28">
        <v>30</v>
      </c>
      <c r="E10" s="28">
        <v>100</v>
      </c>
      <c r="F10" s="28">
        <v>270</v>
      </c>
      <c r="G10" s="28" t="s">
        <v>31</v>
      </c>
      <c r="H10" s="28" t="s">
        <v>12</v>
      </c>
      <c r="I10" s="29">
        <v>5000</v>
      </c>
      <c r="J10" s="29" t="s">
        <v>15</v>
      </c>
      <c r="K10" s="28" t="s">
        <v>14</v>
      </c>
      <c r="L10" s="30">
        <v>0.16200000000000001</v>
      </c>
      <c r="M10" s="31">
        <v>1.3</v>
      </c>
      <c r="N10" s="32">
        <f t="shared" si="14"/>
        <v>8.0246913580246915</v>
      </c>
      <c r="O10" s="33">
        <f t="shared" si="0"/>
        <v>16.049382716049383</v>
      </c>
      <c r="P10" s="34">
        <f t="shared" si="1"/>
        <v>24.074074074074076</v>
      </c>
      <c r="Q10" s="35">
        <f t="shared" si="2"/>
        <v>32.098765432098766</v>
      </c>
      <c r="R10" s="36">
        <f t="shared" si="3"/>
        <v>40.123456790123456</v>
      </c>
      <c r="S10" s="32">
        <f t="shared" si="4"/>
        <v>80.246913580246911</v>
      </c>
      <c r="T10" s="35">
        <f t="shared" si="5"/>
        <v>96.296296296296305</v>
      </c>
      <c r="U10" s="33">
        <f t="shared" si="6"/>
        <v>120.37037037037037</v>
      </c>
      <c r="V10" s="34">
        <f t="shared" si="7"/>
        <v>120.37037037037037</v>
      </c>
      <c r="W10" s="36">
        <f t="shared" si="8"/>
        <v>160.49382716049382</v>
      </c>
      <c r="X10" s="32">
        <f t="shared" si="9"/>
        <v>160.49382716049382</v>
      </c>
      <c r="Y10" s="35">
        <f t="shared" si="10"/>
        <v>200.61728395061729</v>
      </c>
      <c r="Z10" s="33">
        <f t="shared" si="11"/>
        <v>240.74074074074073</v>
      </c>
      <c r="AA10" s="34">
        <f t="shared" si="12"/>
        <v>320.98765432098764</v>
      </c>
      <c r="AB10" s="33">
        <f t="shared" si="13"/>
        <v>385.18518518518522</v>
      </c>
    </row>
    <row r="11" spans="1:29" s="4" customFormat="1" ht="19.5" customHeight="1" thickBot="1" x14ac:dyDescent="0.35">
      <c r="A11" s="38">
        <v>9</v>
      </c>
      <c r="B11" s="39" t="s">
        <v>35</v>
      </c>
      <c r="C11" s="40" t="s">
        <v>36</v>
      </c>
      <c r="D11" s="40">
        <v>125</v>
      </c>
      <c r="E11" s="40">
        <v>20</v>
      </c>
      <c r="F11" s="40">
        <v>20</v>
      </c>
      <c r="G11" s="40" t="s">
        <v>37</v>
      </c>
      <c r="H11" s="40" t="s">
        <v>12</v>
      </c>
      <c r="I11" s="41">
        <v>1500</v>
      </c>
      <c r="J11" s="41" t="s">
        <v>15</v>
      </c>
      <c r="K11" s="40" t="s">
        <v>14</v>
      </c>
      <c r="L11" s="42">
        <v>0.18</v>
      </c>
      <c r="M11" s="43">
        <v>1.4</v>
      </c>
      <c r="N11" s="44">
        <f>SUM(M11/L11*1)</f>
        <v>7.7777777777777777</v>
      </c>
      <c r="O11" s="45">
        <f t="shared" si="0"/>
        <v>15.555555555555555</v>
      </c>
      <c r="P11" s="46">
        <f t="shared" si="1"/>
        <v>23.333333333333332</v>
      </c>
      <c r="Q11" s="47">
        <f t="shared" si="2"/>
        <v>31.111111111111111</v>
      </c>
      <c r="R11" s="48">
        <f t="shared" si="3"/>
        <v>38.888888888888886</v>
      </c>
      <c r="S11" s="44">
        <f t="shared" si="4"/>
        <v>77.777777777777771</v>
      </c>
      <c r="T11" s="47">
        <f t="shared" si="5"/>
        <v>93.333333333333329</v>
      </c>
      <c r="U11" s="45">
        <f t="shared" si="6"/>
        <v>116.66666666666667</v>
      </c>
      <c r="V11" s="46">
        <f t="shared" si="7"/>
        <v>116.66666666666667</v>
      </c>
      <c r="W11" s="48">
        <f t="shared" si="8"/>
        <v>155.55555555555554</v>
      </c>
      <c r="X11" s="44">
        <f t="shared" si="9"/>
        <v>155.55555555555554</v>
      </c>
      <c r="Y11" s="47">
        <f t="shared" si="10"/>
        <v>194.44444444444443</v>
      </c>
      <c r="Z11" s="45">
        <f t="shared" si="11"/>
        <v>233.33333333333334</v>
      </c>
      <c r="AA11" s="46">
        <f t="shared" si="12"/>
        <v>311.11111111111109</v>
      </c>
      <c r="AB11" s="45">
        <f t="shared" si="13"/>
        <v>373.33333333333331</v>
      </c>
    </row>
    <row r="12" spans="1:29" s="4" customFormat="1" ht="19.5" customHeight="1" x14ac:dyDescent="0.3">
      <c r="A12" s="15">
        <v>10</v>
      </c>
      <c r="B12" s="16" t="s">
        <v>38</v>
      </c>
      <c r="C12" s="17" t="s">
        <v>39</v>
      </c>
      <c r="D12" s="17">
        <v>50</v>
      </c>
      <c r="E12" s="17">
        <v>60</v>
      </c>
      <c r="F12" s="17">
        <v>210</v>
      </c>
      <c r="G12" s="17" t="s">
        <v>41</v>
      </c>
      <c r="H12" s="17" t="s">
        <v>40</v>
      </c>
      <c r="I12" s="18">
        <v>10000</v>
      </c>
      <c r="J12" s="18" t="s">
        <v>15</v>
      </c>
      <c r="K12" s="17" t="s">
        <v>42</v>
      </c>
      <c r="L12" s="19">
        <v>0.49</v>
      </c>
      <c r="M12" s="20">
        <v>1.1000000000000001</v>
      </c>
      <c r="N12" s="21">
        <f t="shared" si="14"/>
        <v>2.2448979591836737</v>
      </c>
      <c r="O12" s="22">
        <f t="shared" si="0"/>
        <v>4.4897959183673475</v>
      </c>
      <c r="P12" s="23">
        <f t="shared" si="1"/>
        <v>6.7346938775510212</v>
      </c>
      <c r="Q12" s="24">
        <f t="shared" si="2"/>
        <v>8.979591836734695</v>
      </c>
      <c r="R12" s="25">
        <f t="shared" si="3"/>
        <v>11.22448979591837</v>
      </c>
      <c r="S12" s="21">
        <f t="shared" si="4"/>
        <v>22.448979591836739</v>
      </c>
      <c r="T12" s="24">
        <f t="shared" si="5"/>
        <v>26.938775510204085</v>
      </c>
      <c r="U12" s="22">
        <f t="shared" si="6"/>
        <v>33.673469387755105</v>
      </c>
      <c r="V12" s="23">
        <f t="shared" si="7"/>
        <v>33.673469387755105</v>
      </c>
      <c r="W12" s="25">
        <f t="shared" si="8"/>
        <v>44.897959183673478</v>
      </c>
      <c r="X12" s="21">
        <f t="shared" si="9"/>
        <v>44.897959183673478</v>
      </c>
      <c r="Y12" s="24">
        <f t="shared" si="10"/>
        <v>56.122448979591844</v>
      </c>
      <c r="Z12" s="22">
        <f t="shared" si="11"/>
        <v>67.34693877551021</v>
      </c>
      <c r="AA12" s="23">
        <f t="shared" si="12"/>
        <v>89.795918367346957</v>
      </c>
      <c r="AB12" s="22">
        <f t="shared" si="13"/>
        <v>107.75510204081634</v>
      </c>
    </row>
    <row r="13" spans="1:29" s="4" customFormat="1" ht="19.5" customHeight="1" x14ac:dyDescent="0.3">
      <c r="A13" s="26">
        <v>11</v>
      </c>
      <c r="B13" s="27" t="s">
        <v>43</v>
      </c>
      <c r="C13" s="28" t="s">
        <v>44</v>
      </c>
      <c r="D13" s="28">
        <v>50</v>
      </c>
      <c r="E13" s="28">
        <v>60</v>
      </c>
      <c r="F13" s="28">
        <v>210</v>
      </c>
      <c r="G13" s="28" t="s">
        <v>41</v>
      </c>
      <c r="H13" s="28" t="s">
        <v>40</v>
      </c>
      <c r="I13" s="29">
        <v>2000</v>
      </c>
      <c r="J13" s="29" t="s">
        <v>15</v>
      </c>
      <c r="K13" s="28" t="s">
        <v>45</v>
      </c>
      <c r="L13" s="30">
        <v>9.8000000000000004E-2</v>
      </c>
      <c r="M13" s="31">
        <v>1.1000000000000001</v>
      </c>
      <c r="N13" s="32">
        <f t="shared" si="14"/>
        <v>11.224489795918368</v>
      </c>
      <c r="O13" s="33">
        <f t="shared" si="0"/>
        <v>22.448979591836736</v>
      </c>
      <c r="P13" s="34">
        <f t="shared" si="1"/>
        <v>33.673469387755105</v>
      </c>
      <c r="Q13" s="35">
        <f t="shared" si="2"/>
        <v>44.897959183673471</v>
      </c>
      <c r="R13" s="36">
        <f t="shared" si="3"/>
        <v>56.122448979591837</v>
      </c>
      <c r="S13" s="32">
        <f t="shared" si="4"/>
        <v>112.24489795918367</v>
      </c>
      <c r="T13" s="35">
        <f t="shared" si="5"/>
        <v>134.69387755102042</v>
      </c>
      <c r="U13" s="33">
        <f t="shared" si="6"/>
        <v>168.36734693877551</v>
      </c>
      <c r="V13" s="34">
        <f t="shared" si="7"/>
        <v>168.36734693877551</v>
      </c>
      <c r="W13" s="36">
        <f t="shared" si="8"/>
        <v>224.48979591836735</v>
      </c>
      <c r="X13" s="32">
        <f t="shared" si="9"/>
        <v>224.48979591836735</v>
      </c>
      <c r="Y13" s="35">
        <f t="shared" si="10"/>
        <v>280.61224489795921</v>
      </c>
      <c r="Z13" s="33">
        <f t="shared" si="11"/>
        <v>336.73469387755102</v>
      </c>
      <c r="AA13" s="34">
        <f t="shared" si="12"/>
        <v>448.9795918367347</v>
      </c>
      <c r="AB13" s="33">
        <f t="shared" si="13"/>
        <v>538.77551020408168</v>
      </c>
    </row>
    <row r="14" spans="1:29" s="4" customFormat="1" ht="19.5" customHeight="1" x14ac:dyDescent="0.3">
      <c r="A14" s="26">
        <v>12</v>
      </c>
      <c r="B14" s="27" t="s">
        <v>46</v>
      </c>
      <c r="C14" s="28" t="s">
        <v>39</v>
      </c>
      <c r="D14" s="28">
        <v>50</v>
      </c>
      <c r="E14" s="28">
        <v>60</v>
      </c>
      <c r="F14" s="28">
        <v>210</v>
      </c>
      <c r="G14" s="28" t="s">
        <v>41</v>
      </c>
      <c r="H14" s="28" t="s">
        <v>40</v>
      </c>
      <c r="I14" s="29">
        <v>1</v>
      </c>
      <c r="J14" s="29" t="s">
        <v>48</v>
      </c>
      <c r="K14" s="28" t="s">
        <v>47</v>
      </c>
      <c r="L14" s="30">
        <v>0.89</v>
      </c>
      <c r="M14" s="31">
        <v>0.89</v>
      </c>
      <c r="N14" s="32">
        <f t="shared" si="14"/>
        <v>1</v>
      </c>
      <c r="O14" s="33">
        <f t="shared" si="0"/>
        <v>2</v>
      </c>
      <c r="P14" s="34">
        <f t="shared" si="1"/>
        <v>3</v>
      </c>
      <c r="Q14" s="35">
        <f t="shared" si="2"/>
        <v>4</v>
      </c>
      <c r="R14" s="36">
        <f t="shared" si="3"/>
        <v>5</v>
      </c>
      <c r="S14" s="32">
        <f t="shared" si="4"/>
        <v>10</v>
      </c>
      <c r="T14" s="35">
        <f t="shared" si="5"/>
        <v>12</v>
      </c>
      <c r="U14" s="33">
        <f t="shared" si="6"/>
        <v>15</v>
      </c>
      <c r="V14" s="34">
        <f t="shared" si="7"/>
        <v>15</v>
      </c>
      <c r="W14" s="36">
        <f t="shared" si="8"/>
        <v>20</v>
      </c>
      <c r="X14" s="32">
        <f t="shared" si="9"/>
        <v>20</v>
      </c>
      <c r="Y14" s="35">
        <f t="shared" si="10"/>
        <v>25</v>
      </c>
      <c r="Z14" s="33">
        <f t="shared" si="11"/>
        <v>30</v>
      </c>
      <c r="AA14" s="34">
        <f t="shared" si="12"/>
        <v>40</v>
      </c>
      <c r="AB14" s="33">
        <f t="shared" si="13"/>
        <v>48</v>
      </c>
    </row>
    <row r="15" spans="1:29" s="4" customFormat="1" ht="19.5" customHeight="1" x14ac:dyDescent="0.3">
      <c r="A15" s="26">
        <v>13</v>
      </c>
      <c r="B15" s="27" t="s">
        <v>49</v>
      </c>
      <c r="C15" s="28" t="s">
        <v>50</v>
      </c>
      <c r="D15" s="28">
        <v>35</v>
      </c>
      <c r="E15" s="28">
        <v>80</v>
      </c>
      <c r="F15" s="28">
        <v>150</v>
      </c>
      <c r="G15" s="28" t="s">
        <v>51</v>
      </c>
      <c r="H15" s="28" t="s">
        <v>40</v>
      </c>
      <c r="I15" s="29">
        <v>950</v>
      </c>
      <c r="J15" s="29" t="s">
        <v>19</v>
      </c>
      <c r="K15" s="28" t="s">
        <v>47</v>
      </c>
      <c r="L15" s="30">
        <v>0.84499999999999997</v>
      </c>
      <c r="M15" s="31">
        <v>0.84</v>
      </c>
      <c r="N15" s="32">
        <f t="shared" si="14"/>
        <v>0.99408284023668636</v>
      </c>
      <c r="O15" s="33">
        <f t="shared" si="0"/>
        <v>1.9881656804733727</v>
      </c>
      <c r="P15" s="34">
        <f t="shared" si="1"/>
        <v>2.9822485207100593</v>
      </c>
      <c r="Q15" s="35">
        <f t="shared" si="2"/>
        <v>3.9763313609467454</v>
      </c>
      <c r="R15" s="36">
        <f t="shared" si="3"/>
        <v>4.9704142011834316</v>
      </c>
      <c r="S15" s="32">
        <f t="shared" si="4"/>
        <v>9.9408284023668632</v>
      </c>
      <c r="T15" s="35">
        <f t="shared" si="5"/>
        <v>11.928994082840237</v>
      </c>
      <c r="U15" s="33">
        <f t="shared" si="6"/>
        <v>14.911242603550296</v>
      </c>
      <c r="V15" s="34">
        <f t="shared" si="7"/>
        <v>14.911242603550296</v>
      </c>
      <c r="W15" s="36">
        <f t="shared" si="8"/>
        <v>19.881656804733726</v>
      </c>
      <c r="X15" s="32">
        <f t="shared" si="9"/>
        <v>19.881656804733726</v>
      </c>
      <c r="Y15" s="35">
        <f t="shared" si="10"/>
        <v>24.852071005917161</v>
      </c>
      <c r="Z15" s="33">
        <f t="shared" si="11"/>
        <v>29.822485207100591</v>
      </c>
      <c r="AA15" s="34">
        <f t="shared" si="12"/>
        <v>39.763313609467453</v>
      </c>
      <c r="AB15" s="33">
        <f t="shared" si="13"/>
        <v>47.715976331360949</v>
      </c>
    </row>
    <row r="16" spans="1:29" s="4" customFormat="1" ht="19.5" customHeight="1" x14ac:dyDescent="0.3">
      <c r="A16" s="26">
        <v>14</v>
      </c>
      <c r="B16" s="27" t="s">
        <v>52</v>
      </c>
      <c r="C16" s="28" t="s">
        <v>39</v>
      </c>
      <c r="D16" s="28">
        <v>50</v>
      </c>
      <c r="E16" s="28">
        <v>60</v>
      </c>
      <c r="F16" s="28">
        <v>210</v>
      </c>
      <c r="G16" s="28" t="s">
        <v>53</v>
      </c>
      <c r="H16" s="28" t="s">
        <v>40</v>
      </c>
      <c r="I16" s="29">
        <v>950</v>
      </c>
      <c r="J16" s="29" t="s">
        <v>19</v>
      </c>
      <c r="K16" s="28" t="s">
        <v>47</v>
      </c>
      <c r="L16" s="30">
        <v>0.84499999999999997</v>
      </c>
      <c r="M16" s="31">
        <v>0.84</v>
      </c>
      <c r="N16" s="32">
        <f t="shared" si="14"/>
        <v>0.99408284023668636</v>
      </c>
      <c r="O16" s="33">
        <f t="shared" si="0"/>
        <v>1.9881656804733727</v>
      </c>
      <c r="P16" s="34">
        <f t="shared" si="1"/>
        <v>2.9822485207100593</v>
      </c>
      <c r="Q16" s="35">
        <f t="shared" si="2"/>
        <v>3.9763313609467454</v>
      </c>
      <c r="R16" s="36">
        <f t="shared" si="3"/>
        <v>4.9704142011834316</v>
      </c>
      <c r="S16" s="32">
        <f t="shared" si="4"/>
        <v>9.9408284023668632</v>
      </c>
      <c r="T16" s="35">
        <f t="shared" si="5"/>
        <v>11.928994082840237</v>
      </c>
      <c r="U16" s="33">
        <f t="shared" si="6"/>
        <v>14.911242603550296</v>
      </c>
      <c r="V16" s="34">
        <f t="shared" si="7"/>
        <v>14.911242603550296</v>
      </c>
      <c r="W16" s="36">
        <f t="shared" si="8"/>
        <v>19.881656804733726</v>
      </c>
      <c r="X16" s="32">
        <f t="shared" si="9"/>
        <v>19.881656804733726</v>
      </c>
      <c r="Y16" s="35">
        <f t="shared" si="10"/>
        <v>24.852071005917161</v>
      </c>
      <c r="Z16" s="33">
        <f t="shared" si="11"/>
        <v>29.822485207100591</v>
      </c>
      <c r="AA16" s="34">
        <f t="shared" si="12"/>
        <v>39.763313609467453</v>
      </c>
      <c r="AB16" s="33">
        <f t="shared" si="13"/>
        <v>47.715976331360949</v>
      </c>
    </row>
    <row r="17" spans="1:28" s="4" customFormat="1" ht="19.5" customHeight="1" x14ac:dyDescent="0.3">
      <c r="A17" s="26">
        <v>15</v>
      </c>
      <c r="B17" s="27" t="s">
        <v>54</v>
      </c>
      <c r="C17" s="28" t="s">
        <v>39</v>
      </c>
      <c r="D17" s="28">
        <v>50</v>
      </c>
      <c r="E17" s="28">
        <v>60</v>
      </c>
      <c r="F17" s="28">
        <v>210</v>
      </c>
      <c r="G17" s="28" t="s">
        <v>53</v>
      </c>
      <c r="H17" s="28" t="s">
        <v>40</v>
      </c>
      <c r="I17" s="29">
        <v>580</v>
      </c>
      <c r="J17" s="29" t="s">
        <v>19</v>
      </c>
      <c r="K17" s="28" t="s">
        <v>42</v>
      </c>
      <c r="L17" s="30">
        <v>0.52</v>
      </c>
      <c r="M17" s="31">
        <v>1.1000000000000001</v>
      </c>
      <c r="N17" s="32">
        <f t="shared" si="14"/>
        <v>2.1153846153846154</v>
      </c>
      <c r="O17" s="33">
        <f t="shared" si="0"/>
        <v>4.2307692307692308</v>
      </c>
      <c r="P17" s="34">
        <f t="shared" si="1"/>
        <v>6.3461538461538467</v>
      </c>
      <c r="Q17" s="35">
        <f t="shared" si="2"/>
        <v>8.4615384615384617</v>
      </c>
      <c r="R17" s="36">
        <f t="shared" si="3"/>
        <v>10.576923076923077</v>
      </c>
      <c r="S17" s="32">
        <f t="shared" si="4"/>
        <v>21.153846153846153</v>
      </c>
      <c r="T17" s="35">
        <f t="shared" si="5"/>
        <v>25.384615384615387</v>
      </c>
      <c r="U17" s="33">
        <f t="shared" si="6"/>
        <v>31.73076923076923</v>
      </c>
      <c r="V17" s="34">
        <f t="shared" si="7"/>
        <v>31.73076923076923</v>
      </c>
      <c r="W17" s="36">
        <f t="shared" si="8"/>
        <v>42.307692307692307</v>
      </c>
      <c r="X17" s="32">
        <f t="shared" si="9"/>
        <v>42.307692307692307</v>
      </c>
      <c r="Y17" s="35">
        <f t="shared" si="10"/>
        <v>52.884615384615387</v>
      </c>
      <c r="Z17" s="33">
        <f t="shared" si="11"/>
        <v>63.46153846153846</v>
      </c>
      <c r="AA17" s="34">
        <f t="shared" si="12"/>
        <v>84.615384615384613</v>
      </c>
      <c r="AB17" s="33">
        <f t="shared" si="13"/>
        <v>101.53846153846155</v>
      </c>
    </row>
    <row r="18" spans="1:28" s="4" customFormat="1" ht="19.5" customHeight="1" x14ac:dyDescent="0.3">
      <c r="A18" s="26">
        <v>16</v>
      </c>
      <c r="B18" s="27" t="s">
        <v>55</v>
      </c>
      <c r="C18" s="28" t="s">
        <v>56</v>
      </c>
      <c r="D18" s="28">
        <v>27</v>
      </c>
      <c r="E18" s="28">
        <v>120</v>
      </c>
      <c r="F18" s="28">
        <v>240</v>
      </c>
      <c r="G18" s="28" t="s">
        <v>57</v>
      </c>
      <c r="H18" s="28" t="s">
        <v>40</v>
      </c>
      <c r="I18" s="29">
        <v>5000</v>
      </c>
      <c r="J18" s="29" t="s">
        <v>15</v>
      </c>
      <c r="K18" s="28" t="s">
        <v>45</v>
      </c>
      <c r="L18" s="30">
        <v>0.13500000000000001</v>
      </c>
      <c r="M18" s="31">
        <v>1.2</v>
      </c>
      <c r="N18" s="32">
        <f t="shared" si="14"/>
        <v>8.8888888888888875</v>
      </c>
      <c r="O18" s="33">
        <f t="shared" si="0"/>
        <v>17.777777777777775</v>
      </c>
      <c r="P18" s="34">
        <f t="shared" si="1"/>
        <v>26.666666666666664</v>
      </c>
      <c r="Q18" s="35">
        <f t="shared" si="2"/>
        <v>35.55555555555555</v>
      </c>
      <c r="R18" s="36">
        <f t="shared" si="3"/>
        <v>44.444444444444436</v>
      </c>
      <c r="S18" s="32">
        <f t="shared" si="4"/>
        <v>88.888888888888872</v>
      </c>
      <c r="T18" s="35">
        <f t="shared" si="5"/>
        <v>106.66666666666666</v>
      </c>
      <c r="U18" s="33">
        <f t="shared" si="6"/>
        <v>133.33333333333331</v>
      </c>
      <c r="V18" s="34">
        <f t="shared" si="7"/>
        <v>133.33333333333331</v>
      </c>
      <c r="W18" s="36">
        <f t="shared" si="8"/>
        <v>177.77777777777774</v>
      </c>
      <c r="X18" s="32">
        <f t="shared" si="9"/>
        <v>177.77777777777774</v>
      </c>
      <c r="Y18" s="35">
        <f t="shared" si="10"/>
        <v>222.2222222222222</v>
      </c>
      <c r="Z18" s="33">
        <f t="shared" si="11"/>
        <v>266.66666666666663</v>
      </c>
      <c r="AA18" s="34">
        <f t="shared" si="12"/>
        <v>355.55555555555549</v>
      </c>
      <c r="AB18" s="33">
        <f t="shared" si="13"/>
        <v>426.66666666666663</v>
      </c>
    </row>
    <row r="19" spans="1:28" s="4" customFormat="1" ht="19.5" customHeight="1" x14ac:dyDescent="0.3">
      <c r="A19" s="26">
        <v>17</v>
      </c>
      <c r="B19" s="27" t="s">
        <v>58</v>
      </c>
      <c r="C19" s="28" t="s">
        <v>59</v>
      </c>
      <c r="D19" s="28">
        <v>30</v>
      </c>
      <c r="E19" s="28">
        <v>80</v>
      </c>
      <c r="F19" s="28">
        <v>300</v>
      </c>
      <c r="G19" s="28" t="s">
        <v>51</v>
      </c>
      <c r="H19" s="28" t="s">
        <v>40</v>
      </c>
      <c r="I19" s="29">
        <v>5000</v>
      </c>
      <c r="J19" s="29" t="s">
        <v>15</v>
      </c>
      <c r="K19" s="28" t="s">
        <v>60</v>
      </c>
      <c r="L19" s="30">
        <v>0.16</v>
      </c>
      <c r="M19" s="31">
        <v>1.2</v>
      </c>
      <c r="N19" s="32">
        <f t="shared" si="14"/>
        <v>7.5</v>
      </c>
      <c r="O19" s="33">
        <f t="shared" si="0"/>
        <v>15</v>
      </c>
      <c r="P19" s="34">
        <f t="shared" si="1"/>
        <v>22.5</v>
      </c>
      <c r="Q19" s="35">
        <f t="shared" si="2"/>
        <v>30</v>
      </c>
      <c r="R19" s="36">
        <f t="shared" si="3"/>
        <v>37.5</v>
      </c>
      <c r="S19" s="32">
        <f t="shared" si="4"/>
        <v>75</v>
      </c>
      <c r="T19" s="35">
        <f t="shared" si="5"/>
        <v>90</v>
      </c>
      <c r="U19" s="33">
        <f t="shared" si="6"/>
        <v>112.5</v>
      </c>
      <c r="V19" s="34">
        <f t="shared" si="7"/>
        <v>112.5</v>
      </c>
      <c r="W19" s="36">
        <f t="shared" si="8"/>
        <v>150</v>
      </c>
      <c r="X19" s="32">
        <f t="shared" si="9"/>
        <v>150</v>
      </c>
      <c r="Y19" s="35">
        <f t="shared" si="10"/>
        <v>187.5</v>
      </c>
      <c r="Z19" s="33">
        <f t="shared" si="11"/>
        <v>225</v>
      </c>
      <c r="AA19" s="34">
        <f t="shared" si="12"/>
        <v>300</v>
      </c>
      <c r="AB19" s="33">
        <f t="shared" si="13"/>
        <v>360</v>
      </c>
    </row>
    <row r="20" spans="1:28" s="4" customFormat="1" ht="19.5" customHeight="1" x14ac:dyDescent="0.3">
      <c r="A20" s="26">
        <v>18</v>
      </c>
      <c r="B20" s="27" t="s">
        <v>61</v>
      </c>
      <c r="C20" s="28" t="s">
        <v>62</v>
      </c>
      <c r="D20" s="28">
        <v>70</v>
      </c>
      <c r="E20" s="28">
        <v>40</v>
      </c>
      <c r="F20" s="28">
        <v>210</v>
      </c>
      <c r="G20" s="28" t="s">
        <v>63</v>
      </c>
      <c r="H20" s="28" t="s">
        <v>40</v>
      </c>
      <c r="I20" s="29">
        <v>7000</v>
      </c>
      <c r="J20" s="29" t="s">
        <v>15</v>
      </c>
      <c r="K20" s="28" t="s">
        <v>42</v>
      </c>
      <c r="L20" s="30">
        <v>0.51</v>
      </c>
      <c r="M20" s="31">
        <v>1.1000000000000001</v>
      </c>
      <c r="N20" s="32">
        <f t="shared" si="14"/>
        <v>2.1568627450980395</v>
      </c>
      <c r="O20" s="33">
        <f t="shared" si="0"/>
        <v>4.3137254901960791</v>
      </c>
      <c r="P20" s="34">
        <f t="shared" si="1"/>
        <v>6.4705882352941186</v>
      </c>
      <c r="Q20" s="35">
        <f t="shared" si="2"/>
        <v>8.6274509803921582</v>
      </c>
      <c r="R20" s="36">
        <f t="shared" si="3"/>
        <v>10.784313725490197</v>
      </c>
      <c r="S20" s="32">
        <f t="shared" si="4"/>
        <v>21.568627450980394</v>
      </c>
      <c r="T20" s="35">
        <f t="shared" si="5"/>
        <v>25.882352941176475</v>
      </c>
      <c r="U20" s="33">
        <f t="shared" si="6"/>
        <v>32.352941176470594</v>
      </c>
      <c r="V20" s="34">
        <f t="shared" si="7"/>
        <v>32.352941176470594</v>
      </c>
      <c r="W20" s="36">
        <f t="shared" si="8"/>
        <v>43.137254901960787</v>
      </c>
      <c r="X20" s="32">
        <f t="shared" si="9"/>
        <v>43.137254901960787</v>
      </c>
      <c r="Y20" s="35">
        <f t="shared" si="10"/>
        <v>53.921568627450988</v>
      </c>
      <c r="Z20" s="33">
        <f t="shared" si="11"/>
        <v>64.705882352941188</v>
      </c>
      <c r="AA20" s="34">
        <f t="shared" si="12"/>
        <v>86.274509803921575</v>
      </c>
      <c r="AB20" s="33">
        <f t="shared" si="13"/>
        <v>103.5294117647059</v>
      </c>
    </row>
    <row r="21" spans="1:28" s="4" customFormat="1" ht="19.5" customHeight="1" x14ac:dyDescent="0.3">
      <c r="A21" s="26">
        <v>19</v>
      </c>
      <c r="B21" s="27" t="s">
        <v>64</v>
      </c>
      <c r="C21" s="28" t="s">
        <v>65</v>
      </c>
      <c r="D21" s="28">
        <v>70</v>
      </c>
      <c r="E21" s="28">
        <v>40</v>
      </c>
      <c r="F21" s="28">
        <v>210</v>
      </c>
      <c r="G21" s="28" t="s">
        <v>63</v>
      </c>
      <c r="H21" s="28" t="s">
        <v>40</v>
      </c>
      <c r="I21" s="29">
        <v>1500</v>
      </c>
      <c r="J21" s="29" t="s">
        <v>15</v>
      </c>
      <c r="K21" s="28" t="s">
        <v>45</v>
      </c>
      <c r="L21" s="30">
        <v>0.114</v>
      </c>
      <c r="M21" s="31">
        <v>1.1000000000000001</v>
      </c>
      <c r="N21" s="32">
        <f t="shared" si="14"/>
        <v>9.6491228070175445</v>
      </c>
      <c r="O21" s="33">
        <f t="shared" si="0"/>
        <v>19.298245614035089</v>
      </c>
      <c r="P21" s="34">
        <f t="shared" si="1"/>
        <v>28.947368421052634</v>
      </c>
      <c r="Q21" s="35">
        <f t="shared" si="2"/>
        <v>38.596491228070178</v>
      </c>
      <c r="R21" s="36">
        <f t="shared" si="3"/>
        <v>48.245614035087726</v>
      </c>
      <c r="S21" s="32">
        <f t="shared" si="4"/>
        <v>96.491228070175453</v>
      </c>
      <c r="T21" s="35">
        <f t="shared" si="5"/>
        <v>115.78947368421053</v>
      </c>
      <c r="U21" s="33">
        <f t="shared" si="6"/>
        <v>144.73684210526318</v>
      </c>
      <c r="V21" s="34">
        <f t="shared" si="7"/>
        <v>144.73684210526318</v>
      </c>
      <c r="W21" s="36">
        <f t="shared" si="8"/>
        <v>192.98245614035091</v>
      </c>
      <c r="X21" s="32">
        <f t="shared" si="9"/>
        <v>192.98245614035091</v>
      </c>
      <c r="Y21" s="35">
        <f t="shared" si="10"/>
        <v>241.2280701754386</v>
      </c>
      <c r="Z21" s="33">
        <f t="shared" si="11"/>
        <v>289.47368421052636</v>
      </c>
      <c r="AA21" s="34">
        <f t="shared" si="12"/>
        <v>385.96491228070181</v>
      </c>
      <c r="AB21" s="33">
        <f t="shared" si="13"/>
        <v>463.15789473684214</v>
      </c>
    </row>
    <row r="22" spans="1:28" s="4" customFormat="1" ht="19.5" customHeight="1" x14ac:dyDescent="0.3">
      <c r="A22" s="26">
        <v>20</v>
      </c>
      <c r="B22" s="27" t="s">
        <v>66</v>
      </c>
      <c r="C22" s="28" t="s">
        <v>67</v>
      </c>
      <c r="D22" s="28">
        <v>70</v>
      </c>
      <c r="E22" s="28">
        <v>40</v>
      </c>
      <c r="F22" s="28">
        <v>630</v>
      </c>
      <c r="G22" s="28" t="s">
        <v>63</v>
      </c>
      <c r="H22" s="28" t="s">
        <v>40</v>
      </c>
      <c r="I22" s="29">
        <v>500</v>
      </c>
      <c r="J22" s="29" t="s">
        <v>15</v>
      </c>
      <c r="K22" s="28" t="s">
        <v>68</v>
      </c>
      <c r="L22" s="30">
        <v>4.7E-2</v>
      </c>
      <c r="M22" s="31">
        <v>1.1000000000000001</v>
      </c>
      <c r="N22" s="32">
        <f t="shared" si="14"/>
        <v>23.404255319148938</v>
      </c>
      <c r="O22" s="33">
        <f t="shared" si="0"/>
        <v>46.808510638297875</v>
      </c>
      <c r="P22" s="34">
        <f t="shared" si="1"/>
        <v>70.212765957446805</v>
      </c>
      <c r="Q22" s="35">
        <f t="shared" si="2"/>
        <v>93.61702127659575</v>
      </c>
      <c r="R22" s="36">
        <f t="shared" si="3"/>
        <v>117.02127659574469</v>
      </c>
      <c r="S22" s="32">
        <f t="shared" si="4"/>
        <v>234.04255319148939</v>
      </c>
      <c r="T22" s="35">
        <f t="shared" si="5"/>
        <v>280.85106382978722</v>
      </c>
      <c r="U22" s="33">
        <f t="shared" si="6"/>
        <v>351.06382978723406</v>
      </c>
      <c r="V22" s="34">
        <f t="shared" si="7"/>
        <v>351.06382978723406</v>
      </c>
      <c r="W22" s="36">
        <f t="shared" si="8"/>
        <v>468.08510638297878</v>
      </c>
      <c r="X22" s="32">
        <f t="shared" si="9"/>
        <v>468.08510638297878</v>
      </c>
      <c r="Y22" s="35">
        <f t="shared" si="10"/>
        <v>585.10638297872345</v>
      </c>
      <c r="Z22" s="33">
        <f t="shared" si="11"/>
        <v>702.12765957446811</v>
      </c>
      <c r="AA22" s="34">
        <f t="shared" si="12"/>
        <v>936.17021276595756</v>
      </c>
      <c r="AB22" s="33">
        <f t="shared" si="13"/>
        <v>1123.4042553191489</v>
      </c>
    </row>
    <row r="23" spans="1:28" s="4" customFormat="1" ht="19.5" customHeight="1" x14ac:dyDescent="0.3">
      <c r="A23" s="26">
        <v>21</v>
      </c>
      <c r="B23" s="27" t="s">
        <v>69</v>
      </c>
      <c r="C23" s="28" t="s">
        <v>70</v>
      </c>
      <c r="D23" s="28">
        <v>70</v>
      </c>
      <c r="E23" s="28">
        <v>40</v>
      </c>
      <c r="F23" s="28">
        <v>210</v>
      </c>
      <c r="G23" s="28" t="s">
        <v>63</v>
      </c>
      <c r="H23" s="28" t="s">
        <v>40</v>
      </c>
      <c r="I23" s="29">
        <v>10000</v>
      </c>
      <c r="J23" s="29" t="s">
        <v>15</v>
      </c>
      <c r="K23" s="28" t="s">
        <v>47</v>
      </c>
      <c r="L23" s="30">
        <v>0.9</v>
      </c>
      <c r="M23" s="31">
        <v>1.1000000000000001</v>
      </c>
      <c r="N23" s="32">
        <f t="shared" si="14"/>
        <v>1.2222222222222223</v>
      </c>
      <c r="O23" s="33">
        <f t="shared" si="0"/>
        <v>2.4444444444444446</v>
      </c>
      <c r="P23" s="34">
        <f t="shared" si="1"/>
        <v>3.666666666666667</v>
      </c>
      <c r="Q23" s="35">
        <f t="shared" si="2"/>
        <v>4.8888888888888893</v>
      </c>
      <c r="R23" s="36">
        <f t="shared" si="3"/>
        <v>6.1111111111111116</v>
      </c>
      <c r="S23" s="32">
        <f t="shared" si="4"/>
        <v>12.222222222222223</v>
      </c>
      <c r="T23" s="35">
        <f t="shared" si="5"/>
        <v>14.666666666666668</v>
      </c>
      <c r="U23" s="33">
        <f t="shared" si="6"/>
        <v>18.333333333333336</v>
      </c>
      <c r="V23" s="34">
        <f t="shared" si="7"/>
        <v>18.333333333333336</v>
      </c>
      <c r="W23" s="36">
        <f t="shared" si="8"/>
        <v>24.444444444444446</v>
      </c>
      <c r="X23" s="32">
        <f t="shared" si="9"/>
        <v>24.444444444444446</v>
      </c>
      <c r="Y23" s="35">
        <f t="shared" si="10"/>
        <v>30.555555555555557</v>
      </c>
      <c r="Z23" s="33">
        <f t="shared" si="11"/>
        <v>36.666666666666671</v>
      </c>
      <c r="AA23" s="34">
        <f t="shared" si="12"/>
        <v>48.888888888888893</v>
      </c>
      <c r="AB23" s="33">
        <f t="shared" si="13"/>
        <v>58.666666666666671</v>
      </c>
    </row>
    <row r="24" spans="1:28" s="4" customFormat="1" ht="19.5" customHeight="1" x14ac:dyDescent="0.3">
      <c r="A24" s="26">
        <v>22</v>
      </c>
      <c r="B24" s="27" t="s">
        <v>71</v>
      </c>
      <c r="C24" s="28" t="s">
        <v>72</v>
      </c>
      <c r="D24" s="28">
        <v>135</v>
      </c>
      <c r="E24" s="28">
        <v>20</v>
      </c>
      <c r="F24" s="28">
        <v>420</v>
      </c>
      <c r="G24" s="28" t="s">
        <v>73</v>
      </c>
      <c r="H24" s="28" t="s">
        <v>40</v>
      </c>
      <c r="I24" s="29">
        <v>1000</v>
      </c>
      <c r="J24" s="29" t="s">
        <v>15</v>
      </c>
      <c r="K24" s="28" t="s">
        <v>60</v>
      </c>
      <c r="L24" s="30">
        <v>0.154</v>
      </c>
      <c r="M24" s="31">
        <v>0.9</v>
      </c>
      <c r="N24" s="32">
        <f t="shared" si="14"/>
        <v>5.8441558441558445</v>
      </c>
      <c r="O24" s="33">
        <f t="shared" si="0"/>
        <v>11.688311688311689</v>
      </c>
      <c r="P24" s="34">
        <f t="shared" si="1"/>
        <v>17.532467532467535</v>
      </c>
      <c r="Q24" s="35">
        <f t="shared" si="2"/>
        <v>23.376623376623378</v>
      </c>
      <c r="R24" s="36">
        <f t="shared" si="3"/>
        <v>29.220779220779221</v>
      </c>
      <c r="S24" s="32">
        <f t="shared" si="4"/>
        <v>58.441558441558442</v>
      </c>
      <c r="T24" s="35">
        <f t="shared" si="5"/>
        <v>70.129870129870142</v>
      </c>
      <c r="U24" s="33">
        <f t="shared" si="6"/>
        <v>87.662337662337663</v>
      </c>
      <c r="V24" s="34">
        <f t="shared" si="7"/>
        <v>87.662337662337663</v>
      </c>
      <c r="W24" s="36">
        <f t="shared" si="8"/>
        <v>116.88311688311688</v>
      </c>
      <c r="X24" s="32">
        <f t="shared" si="9"/>
        <v>116.88311688311688</v>
      </c>
      <c r="Y24" s="35">
        <f t="shared" si="10"/>
        <v>146.10389610389612</v>
      </c>
      <c r="Z24" s="33">
        <f t="shared" si="11"/>
        <v>175.32467532467533</v>
      </c>
      <c r="AA24" s="34">
        <f t="shared" si="12"/>
        <v>233.76623376623377</v>
      </c>
      <c r="AB24" s="33">
        <f t="shared" si="13"/>
        <v>280.51948051948057</v>
      </c>
    </row>
    <row r="25" spans="1:28" s="4" customFormat="1" ht="19.5" customHeight="1" x14ac:dyDescent="0.3">
      <c r="A25" s="26">
        <v>23</v>
      </c>
      <c r="B25" s="27" t="s">
        <v>74</v>
      </c>
      <c r="C25" s="28" t="s">
        <v>75</v>
      </c>
      <c r="D25" s="28">
        <v>70</v>
      </c>
      <c r="E25" s="28">
        <v>40</v>
      </c>
      <c r="F25" s="28">
        <v>210</v>
      </c>
      <c r="G25" s="28" t="s">
        <v>76</v>
      </c>
      <c r="H25" s="28" t="s">
        <v>40</v>
      </c>
      <c r="I25" s="29">
        <v>3000</v>
      </c>
      <c r="J25" s="29" t="s">
        <v>15</v>
      </c>
      <c r="K25" s="28" t="s">
        <v>60</v>
      </c>
      <c r="L25" s="30">
        <v>0.24</v>
      </c>
      <c r="M25" s="31">
        <v>1.1000000000000001</v>
      </c>
      <c r="N25" s="32">
        <f t="shared" si="14"/>
        <v>4.5833333333333339</v>
      </c>
      <c r="O25" s="33">
        <f t="shared" si="0"/>
        <v>9.1666666666666679</v>
      </c>
      <c r="P25" s="34">
        <f t="shared" si="1"/>
        <v>13.750000000000002</v>
      </c>
      <c r="Q25" s="35">
        <f t="shared" si="2"/>
        <v>18.333333333333336</v>
      </c>
      <c r="R25" s="36">
        <f t="shared" si="3"/>
        <v>22.916666666666671</v>
      </c>
      <c r="S25" s="32">
        <f t="shared" si="4"/>
        <v>45.833333333333343</v>
      </c>
      <c r="T25" s="35">
        <f t="shared" si="5"/>
        <v>55.000000000000007</v>
      </c>
      <c r="U25" s="33">
        <f t="shared" si="6"/>
        <v>68.750000000000014</v>
      </c>
      <c r="V25" s="34">
        <f t="shared" si="7"/>
        <v>68.750000000000014</v>
      </c>
      <c r="W25" s="36">
        <f t="shared" si="8"/>
        <v>91.666666666666686</v>
      </c>
      <c r="X25" s="32">
        <f t="shared" si="9"/>
        <v>91.666666666666686</v>
      </c>
      <c r="Y25" s="35">
        <f t="shared" si="10"/>
        <v>114.58333333333334</v>
      </c>
      <c r="Z25" s="33">
        <f t="shared" si="11"/>
        <v>137.50000000000003</v>
      </c>
      <c r="AA25" s="34">
        <f t="shared" si="12"/>
        <v>183.33333333333337</v>
      </c>
      <c r="AB25" s="33">
        <f t="shared" si="13"/>
        <v>220.00000000000003</v>
      </c>
    </row>
    <row r="26" spans="1:28" s="4" customFormat="1" ht="19.5" customHeight="1" x14ac:dyDescent="0.3">
      <c r="A26" s="26">
        <v>24</v>
      </c>
      <c r="B26" s="27" t="s">
        <v>77</v>
      </c>
      <c r="C26" s="28" t="s">
        <v>72</v>
      </c>
      <c r="D26" s="28">
        <v>135</v>
      </c>
      <c r="E26" s="28">
        <v>20</v>
      </c>
      <c r="F26" s="28">
        <v>1260</v>
      </c>
      <c r="G26" s="28" t="s">
        <v>78</v>
      </c>
      <c r="H26" s="28" t="s">
        <v>40</v>
      </c>
      <c r="I26" s="29">
        <v>1500</v>
      </c>
      <c r="J26" s="29" t="s">
        <v>15</v>
      </c>
      <c r="K26" s="28" t="s">
        <v>60</v>
      </c>
      <c r="L26" s="30">
        <v>0.22500000000000001</v>
      </c>
      <c r="M26" s="31">
        <v>0.9</v>
      </c>
      <c r="N26" s="32">
        <f t="shared" si="14"/>
        <v>4</v>
      </c>
      <c r="O26" s="33">
        <f t="shared" si="0"/>
        <v>8</v>
      </c>
      <c r="P26" s="34">
        <f t="shared" si="1"/>
        <v>12</v>
      </c>
      <c r="Q26" s="35">
        <f t="shared" si="2"/>
        <v>16</v>
      </c>
      <c r="R26" s="36">
        <f t="shared" si="3"/>
        <v>20</v>
      </c>
      <c r="S26" s="32">
        <f t="shared" si="4"/>
        <v>40</v>
      </c>
      <c r="T26" s="35">
        <f t="shared" si="5"/>
        <v>48</v>
      </c>
      <c r="U26" s="33">
        <f t="shared" si="6"/>
        <v>60</v>
      </c>
      <c r="V26" s="34">
        <f t="shared" si="7"/>
        <v>60</v>
      </c>
      <c r="W26" s="36">
        <f t="shared" si="8"/>
        <v>80</v>
      </c>
      <c r="X26" s="32">
        <f t="shared" si="9"/>
        <v>80</v>
      </c>
      <c r="Y26" s="35">
        <f t="shared" si="10"/>
        <v>100</v>
      </c>
      <c r="Z26" s="33">
        <f t="shared" si="11"/>
        <v>120</v>
      </c>
      <c r="AA26" s="34">
        <f t="shared" si="12"/>
        <v>160</v>
      </c>
      <c r="AB26" s="33">
        <f t="shared" si="13"/>
        <v>192</v>
      </c>
    </row>
    <row r="27" spans="1:28" s="4" customFormat="1" ht="19.5" customHeight="1" x14ac:dyDescent="0.3">
      <c r="A27" s="26">
        <v>25</v>
      </c>
      <c r="B27" s="27" t="s">
        <v>79</v>
      </c>
      <c r="C27" s="28" t="s">
        <v>75</v>
      </c>
      <c r="D27" s="28">
        <v>70</v>
      </c>
      <c r="E27" s="28">
        <v>40</v>
      </c>
      <c r="F27" s="28">
        <v>210</v>
      </c>
      <c r="G27" s="28" t="s">
        <v>63</v>
      </c>
      <c r="H27" s="28" t="s">
        <v>40</v>
      </c>
      <c r="I27" s="29">
        <v>3000</v>
      </c>
      <c r="J27" s="29" t="s">
        <v>15</v>
      </c>
      <c r="K27" s="28" t="s">
        <v>60</v>
      </c>
      <c r="L27" s="30">
        <v>0.24</v>
      </c>
      <c r="M27" s="31">
        <v>1.1000000000000001</v>
      </c>
      <c r="N27" s="32">
        <f t="shared" si="14"/>
        <v>4.5833333333333339</v>
      </c>
      <c r="O27" s="33">
        <f t="shared" si="0"/>
        <v>9.1666666666666679</v>
      </c>
      <c r="P27" s="34">
        <f t="shared" si="1"/>
        <v>13.750000000000002</v>
      </c>
      <c r="Q27" s="35">
        <f t="shared" si="2"/>
        <v>18.333333333333336</v>
      </c>
      <c r="R27" s="36">
        <f t="shared" si="3"/>
        <v>22.916666666666671</v>
      </c>
      <c r="S27" s="32">
        <f t="shared" si="4"/>
        <v>45.833333333333343</v>
      </c>
      <c r="T27" s="35">
        <f t="shared" si="5"/>
        <v>55.000000000000007</v>
      </c>
      <c r="U27" s="33">
        <f t="shared" si="6"/>
        <v>68.750000000000014</v>
      </c>
      <c r="V27" s="34">
        <f t="shared" si="7"/>
        <v>68.750000000000014</v>
      </c>
      <c r="W27" s="36">
        <f t="shared" si="8"/>
        <v>91.666666666666686</v>
      </c>
      <c r="X27" s="32">
        <f t="shared" si="9"/>
        <v>91.666666666666686</v>
      </c>
      <c r="Y27" s="35">
        <f t="shared" si="10"/>
        <v>114.58333333333334</v>
      </c>
      <c r="Z27" s="33">
        <f t="shared" si="11"/>
        <v>137.50000000000003</v>
      </c>
      <c r="AA27" s="34">
        <f t="shared" si="12"/>
        <v>183.33333333333337</v>
      </c>
      <c r="AB27" s="33">
        <f t="shared" si="13"/>
        <v>220.00000000000003</v>
      </c>
    </row>
    <row r="28" spans="1:28" s="4" customFormat="1" ht="19.5" customHeight="1" x14ac:dyDescent="0.3">
      <c r="A28" s="26">
        <v>26</v>
      </c>
      <c r="B28" s="27" t="s">
        <v>80</v>
      </c>
      <c r="C28" s="28" t="s">
        <v>72</v>
      </c>
      <c r="D28" s="28">
        <v>135</v>
      </c>
      <c r="E28" s="28">
        <v>20</v>
      </c>
      <c r="F28" s="28">
        <v>420</v>
      </c>
      <c r="G28" s="28" t="s">
        <v>73</v>
      </c>
      <c r="H28" s="28" t="s">
        <v>40</v>
      </c>
      <c r="I28" s="29">
        <v>1500</v>
      </c>
      <c r="J28" s="29" t="s">
        <v>15</v>
      </c>
      <c r="K28" s="28" t="s">
        <v>60</v>
      </c>
      <c r="L28" s="30">
        <v>0.24</v>
      </c>
      <c r="M28" s="31">
        <v>0.9</v>
      </c>
      <c r="N28" s="32">
        <f t="shared" si="14"/>
        <v>3.7500000000000004</v>
      </c>
      <c r="O28" s="33">
        <f t="shared" si="0"/>
        <v>7.5000000000000009</v>
      </c>
      <c r="P28" s="34">
        <f t="shared" si="1"/>
        <v>11.250000000000002</v>
      </c>
      <c r="Q28" s="35">
        <f t="shared" si="2"/>
        <v>15.000000000000002</v>
      </c>
      <c r="R28" s="36">
        <f t="shared" si="3"/>
        <v>18.750000000000004</v>
      </c>
      <c r="S28" s="32">
        <f t="shared" si="4"/>
        <v>37.500000000000007</v>
      </c>
      <c r="T28" s="35">
        <f t="shared" si="5"/>
        <v>45.000000000000007</v>
      </c>
      <c r="U28" s="33">
        <f t="shared" si="6"/>
        <v>56.250000000000007</v>
      </c>
      <c r="V28" s="34">
        <f t="shared" si="7"/>
        <v>56.250000000000007</v>
      </c>
      <c r="W28" s="36">
        <f t="shared" si="8"/>
        <v>75.000000000000014</v>
      </c>
      <c r="X28" s="32">
        <f t="shared" si="9"/>
        <v>75.000000000000014</v>
      </c>
      <c r="Y28" s="35">
        <f t="shared" si="10"/>
        <v>93.750000000000014</v>
      </c>
      <c r="Z28" s="33">
        <f t="shared" si="11"/>
        <v>112.50000000000001</v>
      </c>
      <c r="AA28" s="34">
        <f t="shared" si="12"/>
        <v>150.00000000000003</v>
      </c>
      <c r="AB28" s="33">
        <f t="shared" si="13"/>
        <v>180.00000000000003</v>
      </c>
    </row>
    <row r="29" spans="1:28" s="4" customFormat="1" ht="19.5" customHeight="1" x14ac:dyDescent="0.3">
      <c r="A29" s="26">
        <v>27</v>
      </c>
      <c r="B29" s="27" t="s">
        <v>81</v>
      </c>
      <c r="C29" s="28" t="s">
        <v>82</v>
      </c>
      <c r="D29" s="28">
        <v>270</v>
      </c>
      <c r="E29" s="28">
        <v>10</v>
      </c>
      <c r="F29" s="28">
        <v>2520</v>
      </c>
      <c r="G29" s="28" t="s">
        <v>83</v>
      </c>
      <c r="H29" s="28" t="s">
        <v>40</v>
      </c>
      <c r="I29" s="29">
        <v>1000</v>
      </c>
      <c r="J29" s="29" t="s">
        <v>15</v>
      </c>
      <c r="K29" s="28" t="s">
        <v>60</v>
      </c>
      <c r="L29" s="30">
        <v>0.29499999999999998</v>
      </c>
      <c r="M29" s="31">
        <v>0.8</v>
      </c>
      <c r="N29" s="32">
        <f t="shared" si="14"/>
        <v>2.7118644067796613</v>
      </c>
      <c r="O29" s="33">
        <f t="shared" si="0"/>
        <v>5.4237288135593227</v>
      </c>
      <c r="P29" s="34">
        <f t="shared" si="1"/>
        <v>8.1355932203389845</v>
      </c>
      <c r="Q29" s="35">
        <f t="shared" si="2"/>
        <v>10.847457627118645</v>
      </c>
      <c r="R29" s="36">
        <f t="shared" si="3"/>
        <v>13.559322033898306</v>
      </c>
      <c r="S29" s="32">
        <f t="shared" si="4"/>
        <v>27.118644067796613</v>
      </c>
      <c r="T29" s="35">
        <f t="shared" si="5"/>
        <v>32.542372881355938</v>
      </c>
      <c r="U29" s="33">
        <f t="shared" si="6"/>
        <v>40.677966101694921</v>
      </c>
      <c r="V29" s="34">
        <f t="shared" si="7"/>
        <v>40.677966101694921</v>
      </c>
      <c r="W29" s="36">
        <f t="shared" si="8"/>
        <v>54.237288135593225</v>
      </c>
      <c r="X29" s="32">
        <f t="shared" si="9"/>
        <v>54.237288135593225</v>
      </c>
      <c r="Y29" s="35">
        <f t="shared" si="10"/>
        <v>67.79661016949153</v>
      </c>
      <c r="Z29" s="33">
        <f t="shared" si="11"/>
        <v>81.355932203389841</v>
      </c>
      <c r="AA29" s="34">
        <f t="shared" si="12"/>
        <v>108.47457627118645</v>
      </c>
      <c r="AB29" s="33">
        <f t="shared" si="13"/>
        <v>130.16949152542375</v>
      </c>
    </row>
    <row r="30" spans="1:28" s="4" customFormat="1" ht="19.5" customHeight="1" x14ac:dyDescent="0.3">
      <c r="A30" s="26">
        <v>28</v>
      </c>
      <c r="B30" s="27" t="s">
        <v>84</v>
      </c>
      <c r="C30" s="28" t="s">
        <v>75</v>
      </c>
      <c r="D30" s="28">
        <v>70</v>
      </c>
      <c r="E30" s="28">
        <v>40</v>
      </c>
      <c r="F30" s="28">
        <v>630</v>
      </c>
      <c r="G30" s="28" t="s">
        <v>76</v>
      </c>
      <c r="H30" s="28" t="s">
        <v>40</v>
      </c>
      <c r="I30" s="29">
        <v>6500</v>
      </c>
      <c r="J30" s="29" t="s">
        <v>15</v>
      </c>
      <c r="K30" s="28" t="s">
        <v>42</v>
      </c>
      <c r="L30" s="30">
        <v>0.49</v>
      </c>
      <c r="M30" s="31">
        <v>1.1000000000000001</v>
      </c>
      <c r="N30" s="32">
        <f t="shared" si="14"/>
        <v>2.2448979591836737</v>
      </c>
      <c r="O30" s="33">
        <f t="shared" si="0"/>
        <v>4.4897959183673475</v>
      </c>
      <c r="P30" s="34">
        <f t="shared" si="1"/>
        <v>6.7346938775510212</v>
      </c>
      <c r="Q30" s="35">
        <f t="shared" si="2"/>
        <v>8.979591836734695</v>
      </c>
      <c r="R30" s="36">
        <f t="shared" si="3"/>
        <v>11.22448979591837</v>
      </c>
      <c r="S30" s="32">
        <f t="shared" si="4"/>
        <v>22.448979591836739</v>
      </c>
      <c r="T30" s="35">
        <f t="shared" si="5"/>
        <v>26.938775510204085</v>
      </c>
      <c r="U30" s="33">
        <f t="shared" si="6"/>
        <v>33.673469387755105</v>
      </c>
      <c r="V30" s="34">
        <f t="shared" si="7"/>
        <v>33.673469387755105</v>
      </c>
      <c r="W30" s="36">
        <f t="shared" si="8"/>
        <v>44.897959183673478</v>
      </c>
      <c r="X30" s="32">
        <f t="shared" si="9"/>
        <v>44.897959183673478</v>
      </c>
      <c r="Y30" s="35">
        <f t="shared" si="10"/>
        <v>56.122448979591844</v>
      </c>
      <c r="Z30" s="33">
        <f t="shared" si="11"/>
        <v>67.34693877551021</v>
      </c>
      <c r="AA30" s="34">
        <f t="shared" si="12"/>
        <v>89.795918367346957</v>
      </c>
      <c r="AB30" s="33">
        <f t="shared" si="13"/>
        <v>107.75510204081634</v>
      </c>
    </row>
    <row r="31" spans="1:28" s="4" customFormat="1" ht="19.5" customHeight="1" x14ac:dyDescent="0.3">
      <c r="A31" s="26">
        <v>29</v>
      </c>
      <c r="B31" s="27" t="s">
        <v>85</v>
      </c>
      <c r="C31" s="28" t="s">
        <v>72</v>
      </c>
      <c r="D31" s="28">
        <v>135</v>
      </c>
      <c r="E31" s="28">
        <v>20</v>
      </c>
      <c r="F31" s="28">
        <v>420</v>
      </c>
      <c r="G31" s="28" t="s">
        <v>73</v>
      </c>
      <c r="H31" s="28" t="s">
        <v>40</v>
      </c>
      <c r="I31" s="29">
        <v>1000</v>
      </c>
      <c r="J31" s="29" t="s">
        <v>15</v>
      </c>
      <c r="K31" s="28" t="s">
        <v>60</v>
      </c>
      <c r="L31" s="30">
        <v>0.158</v>
      </c>
      <c r="M31" s="31">
        <v>0.9</v>
      </c>
      <c r="N31" s="32">
        <f t="shared" si="14"/>
        <v>5.6962025316455698</v>
      </c>
      <c r="O31" s="33">
        <f t="shared" si="0"/>
        <v>11.39240506329114</v>
      </c>
      <c r="P31" s="34">
        <f t="shared" si="1"/>
        <v>17.088607594936711</v>
      </c>
      <c r="Q31" s="35">
        <f t="shared" si="2"/>
        <v>22.784810126582279</v>
      </c>
      <c r="R31" s="36">
        <f t="shared" si="3"/>
        <v>28.481012658227847</v>
      </c>
      <c r="S31" s="32">
        <f t="shared" si="4"/>
        <v>56.962025316455694</v>
      </c>
      <c r="T31" s="35">
        <f t="shared" si="5"/>
        <v>68.354430379746844</v>
      </c>
      <c r="U31" s="33">
        <f t="shared" si="6"/>
        <v>85.443037974683548</v>
      </c>
      <c r="V31" s="34">
        <f t="shared" si="7"/>
        <v>85.443037974683548</v>
      </c>
      <c r="W31" s="36">
        <f t="shared" si="8"/>
        <v>113.92405063291139</v>
      </c>
      <c r="X31" s="32">
        <f t="shared" si="9"/>
        <v>113.92405063291139</v>
      </c>
      <c r="Y31" s="35">
        <f t="shared" si="10"/>
        <v>142.40506329113924</v>
      </c>
      <c r="Z31" s="33">
        <f t="shared" si="11"/>
        <v>170.8860759493671</v>
      </c>
      <c r="AA31" s="34">
        <f t="shared" si="12"/>
        <v>227.84810126582278</v>
      </c>
      <c r="AB31" s="33">
        <f t="shared" si="13"/>
        <v>273.41772151898738</v>
      </c>
    </row>
    <row r="32" spans="1:28" s="4" customFormat="1" ht="19.5" customHeight="1" x14ac:dyDescent="0.3">
      <c r="A32" s="26">
        <v>30</v>
      </c>
      <c r="B32" s="27" t="s">
        <v>86</v>
      </c>
      <c r="C32" s="28" t="s">
        <v>87</v>
      </c>
      <c r="D32" s="28">
        <v>90</v>
      </c>
      <c r="E32" s="28">
        <v>30</v>
      </c>
      <c r="F32" s="28">
        <v>750</v>
      </c>
      <c r="G32" s="28" t="s">
        <v>88</v>
      </c>
      <c r="H32" s="28" t="s">
        <v>40</v>
      </c>
      <c r="I32" s="29">
        <v>2500</v>
      </c>
      <c r="J32" s="29" t="s">
        <v>15</v>
      </c>
      <c r="K32" s="28" t="s">
        <v>60</v>
      </c>
      <c r="L32" s="30">
        <v>0.223</v>
      </c>
      <c r="M32" s="31">
        <v>1.1000000000000001</v>
      </c>
      <c r="N32" s="32">
        <f t="shared" si="14"/>
        <v>4.9327354260089686</v>
      </c>
      <c r="O32" s="33">
        <f t="shared" si="0"/>
        <v>9.8654708520179373</v>
      </c>
      <c r="P32" s="34">
        <f t="shared" si="1"/>
        <v>14.798206278026907</v>
      </c>
      <c r="Q32" s="35">
        <f t="shared" si="2"/>
        <v>19.730941704035875</v>
      </c>
      <c r="R32" s="36">
        <f t="shared" si="3"/>
        <v>24.663677130044842</v>
      </c>
      <c r="S32" s="32">
        <f t="shared" si="4"/>
        <v>49.327354260089685</v>
      </c>
      <c r="T32" s="35">
        <f t="shared" si="5"/>
        <v>59.192825112107627</v>
      </c>
      <c r="U32" s="33">
        <f t="shared" si="6"/>
        <v>73.991031390134523</v>
      </c>
      <c r="V32" s="34">
        <f t="shared" si="7"/>
        <v>73.991031390134523</v>
      </c>
      <c r="W32" s="36">
        <f t="shared" si="8"/>
        <v>98.654708520179369</v>
      </c>
      <c r="X32" s="32">
        <f t="shared" si="9"/>
        <v>98.654708520179369</v>
      </c>
      <c r="Y32" s="35">
        <f t="shared" si="10"/>
        <v>123.31838565022422</v>
      </c>
      <c r="Z32" s="33">
        <f t="shared" si="11"/>
        <v>147.98206278026905</v>
      </c>
      <c r="AA32" s="34">
        <f t="shared" si="12"/>
        <v>197.30941704035874</v>
      </c>
      <c r="AB32" s="33">
        <f t="shared" si="13"/>
        <v>236.77130044843051</v>
      </c>
    </row>
    <row r="33" spans="1:28" s="4" customFormat="1" ht="19.5" customHeight="1" x14ac:dyDescent="0.3">
      <c r="A33" s="26">
        <v>31</v>
      </c>
      <c r="B33" s="27" t="s">
        <v>89</v>
      </c>
      <c r="C33" s="28" t="s">
        <v>44</v>
      </c>
      <c r="D33" s="28">
        <v>80</v>
      </c>
      <c r="E33" s="28">
        <v>60</v>
      </c>
      <c r="F33" s="28">
        <v>450</v>
      </c>
      <c r="G33" s="28" t="s">
        <v>90</v>
      </c>
      <c r="H33" s="28" t="s">
        <v>40</v>
      </c>
      <c r="I33" s="29">
        <v>5000</v>
      </c>
      <c r="J33" s="29" t="s">
        <v>15</v>
      </c>
      <c r="K33" s="28" t="s">
        <v>60</v>
      </c>
      <c r="L33" s="30">
        <v>0.25</v>
      </c>
      <c r="M33" s="31">
        <v>1.1000000000000001</v>
      </c>
      <c r="N33" s="32">
        <f t="shared" si="14"/>
        <v>4.4000000000000004</v>
      </c>
      <c r="O33" s="33">
        <f t="shared" si="0"/>
        <v>8.8000000000000007</v>
      </c>
      <c r="P33" s="34">
        <f t="shared" si="1"/>
        <v>13.200000000000001</v>
      </c>
      <c r="Q33" s="35">
        <f t="shared" si="2"/>
        <v>17.600000000000001</v>
      </c>
      <c r="R33" s="36">
        <f t="shared" si="3"/>
        <v>22</v>
      </c>
      <c r="S33" s="32">
        <f t="shared" si="4"/>
        <v>44</v>
      </c>
      <c r="T33" s="35">
        <f t="shared" si="5"/>
        <v>52.800000000000004</v>
      </c>
      <c r="U33" s="33">
        <f t="shared" si="6"/>
        <v>66</v>
      </c>
      <c r="V33" s="34">
        <f t="shared" si="7"/>
        <v>66</v>
      </c>
      <c r="W33" s="36">
        <f t="shared" si="8"/>
        <v>88</v>
      </c>
      <c r="X33" s="32">
        <f t="shared" si="9"/>
        <v>88</v>
      </c>
      <c r="Y33" s="35">
        <f t="shared" si="10"/>
        <v>110.00000000000001</v>
      </c>
      <c r="Z33" s="33">
        <f t="shared" si="11"/>
        <v>132</v>
      </c>
      <c r="AA33" s="34">
        <f t="shared" si="12"/>
        <v>176</v>
      </c>
      <c r="AB33" s="33">
        <f t="shared" si="13"/>
        <v>211.20000000000002</v>
      </c>
    </row>
    <row r="34" spans="1:28" s="4" customFormat="1" ht="19.5" customHeight="1" x14ac:dyDescent="0.3">
      <c r="A34" s="26">
        <v>32</v>
      </c>
      <c r="B34" s="27" t="s">
        <v>91</v>
      </c>
      <c r="C34" s="28" t="s">
        <v>72</v>
      </c>
      <c r="D34" s="28">
        <v>135</v>
      </c>
      <c r="E34" s="28">
        <v>20</v>
      </c>
      <c r="F34" s="28">
        <v>1260</v>
      </c>
      <c r="G34" s="28" t="s">
        <v>78</v>
      </c>
      <c r="H34" s="28" t="s">
        <v>40</v>
      </c>
      <c r="I34" s="29">
        <v>1500</v>
      </c>
      <c r="J34" s="29" t="s">
        <v>15</v>
      </c>
      <c r="K34" s="28" t="s">
        <v>60</v>
      </c>
      <c r="L34" s="30">
        <v>0.23</v>
      </c>
      <c r="M34" s="31">
        <v>0.9</v>
      </c>
      <c r="N34" s="32">
        <f t="shared" si="14"/>
        <v>3.9130434782608696</v>
      </c>
      <c r="O34" s="33">
        <f t="shared" si="0"/>
        <v>7.8260869565217392</v>
      </c>
      <c r="P34" s="34">
        <f t="shared" si="1"/>
        <v>11.739130434782609</v>
      </c>
      <c r="Q34" s="35">
        <f t="shared" si="2"/>
        <v>15.652173913043478</v>
      </c>
      <c r="R34" s="36">
        <f t="shared" si="3"/>
        <v>19.565217391304348</v>
      </c>
      <c r="S34" s="32">
        <f t="shared" si="4"/>
        <v>39.130434782608695</v>
      </c>
      <c r="T34" s="35">
        <f t="shared" si="5"/>
        <v>46.956521739130437</v>
      </c>
      <c r="U34" s="33">
        <f t="shared" si="6"/>
        <v>58.695652173913047</v>
      </c>
      <c r="V34" s="34">
        <f t="shared" si="7"/>
        <v>58.695652173913047</v>
      </c>
      <c r="W34" s="36">
        <f t="shared" si="8"/>
        <v>78.260869565217391</v>
      </c>
      <c r="X34" s="32">
        <f t="shared" si="9"/>
        <v>78.260869565217391</v>
      </c>
      <c r="Y34" s="35">
        <f t="shared" si="10"/>
        <v>97.826086956521735</v>
      </c>
      <c r="Z34" s="33">
        <f t="shared" si="11"/>
        <v>117.39130434782609</v>
      </c>
      <c r="AA34" s="34">
        <f t="shared" si="12"/>
        <v>156.52173913043478</v>
      </c>
      <c r="AB34" s="33">
        <f t="shared" si="13"/>
        <v>187.82608695652175</v>
      </c>
    </row>
    <row r="35" spans="1:28" s="4" customFormat="1" ht="19.5" customHeight="1" x14ac:dyDescent="0.3">
      <c r="A35" s="26">
        <v>33</v>
      </c>
      <c r="B35" s="27" t="s">
        <v>92</v>
      </c>
      <c r="C35" s="28" t="s">
        <v>75</v>
      </c>
      <c r="D35" s="28">
        <v>70</v>
      </c>
      <c r="E35" s="28">
        <v>40</v>
      </c>
      <c r="F35" s="28">
        <v>630</v>
      </c>
      <c r="G35" s="28" t="s">
        <v>76</v>
      </c>
      <c r="H35" s="28" t="s">
        <v>40</v>
      </c>
      <c r="I35" s="29">
        <v>3000</v>
      </c>
      <c r="J35" s="29" t="s">
        <v>15</v>
      </c>
      <c r="K35" s="28" t="s">
        <v>60</v>
      </c>
      <c r="L35" s="30">
        <v>0.23</v>
      </c>
      <c r="M35" s="31">
        <v>1.1000000000000001</v>
      </c>
      <c r="N35" s="32">
        <f t="shared" si="14"/>
        <v>4.7826086956521738</v>
      </c>
      <c r="O35" s="33">
        <f t="shared" si="0"/>
        <v>9.5652173913043477</v>
      </c>
      <c r="P35" s="34">
        <f t="shared" si="1"/>
        <v>14.347826086956522</v>
      </c>
      <c r="Q35" s="35">
        <f t="shared" si="2"/>
        <v>19.130434782608695</v>
      </c>
      <c r="R35" s="36">
        <f t="shared" si="3"/>
        <v>23.913043478260867</v>
      </c>
      <c r="S35" s="32">
        <f t="shared" si="4"/>
        <v>47.826086956521735</v>
      </c>
      <c r="T35" s="35">
        <f t="shared" si="5"/>
        <v>57.391304347826086</v>
      </c>
      <c r="U35" s="33">
        <f t="shared" si="6"/>
        <v>71.739130434782609</v>
      </c>
      <c r="V35" s="34">
        <f t="shared" si="7"/>
        <v>71.739130434782609</v>
      </c>
      <c r="W35" s="36">
        <f t="shared" si="8"/>
        <v>95.65217391304347</v>
      </c>
      <c r="X35" s="32">
        <f t="shared" si="9"/>
        <v>95.65217391304347</v>
      </c>
      <c r="Y35" s="35">
        <f t="shared" si="10"/>
        <v>119.56521739130434</v>
      </c>
      <c r="Z35" s="33">
        <f t="shared" si="11"/>
        <v>143.47826086956522</v>
      </c>
      <c r="AA35" s="34">
        <f t="shared" si="12"/>
        <v>191.30434782608694</v>
      </c>
      <c r="AB35" s="33">
        <f t="shared" si="13"/>
        <v>229.56521739130434</v>
      </c>
    </row>
    <row r="36" spans="1:28" s="4" customFormat="1" ht="19.5" customHeight="1" thickBot="1" x14ac:dyDescent="0.35">
      <c r="A36" s="38">
        <v>34</v>
      </c>
      <c r="B36" s="39" t="s">
        <v>93</v>
      </c>
      <c r="C36" s="40" t="s">
        <v>94</v>
      </c>
      <c r="D36" s="40">
        <v>330</v>
      </c>
      <c r="E36" s="40">
        <v>8</v>
      </c>
      <c r="F36" s="40">
        <v>3000</v>
      </c>
      <c r="G36" s="40" t="s">
        <v>83</v>
      </c>
      <c r="H36" s="40" t="s">
        <v>40</v>
      </c>
      <c r="I36" s="41">
        <v>500</v>
      </c>
      <c r="J36" s="41" t="s">
        <v>15</v>
      </c>
      <c r="K36" s="40" t="s">
        <v>60</v>
      </c>
      <c r="L36" s="42">
        <v>0.29499999999999998</v>
      </c>
      <c r="M36" s="43">
        <v>0.75</v>
      </c>
      <c r="N36" s="44">
        <f t="shared" si="14"/>
        <v>2.5423728813559325</v>
      </c>
      <c r="O36" s="45">
        <f t="shared" si="0"/>
        <v>5.0847457627118651</v>
      </c>
      <c r="P36" s="46">
        <f t="shared" si="1"/>
        <v>7.6271186440677976</v>
      </c>
      <c r="Q36" s="47">
        <f t="shared" si="2"/>
        <v>10.16949152542373</v>
      </c>
      <c r="R36" s="48">
        <f t="shared" si="3"/>
        <v>12.711864406779663</v>
      </c>
      <c r="S36" s="44">
        <f t="shared" si="4"/>
        <v>25.423728813559325</v>
      </c>
      <c r="T36" s="47">
        <f t="shared" si="5"/>
        <v>30.50847457627119</v>
      </c>
      <c r="U36" s="45">
        <f t="shared" si="6"/>
        <v>38.13559322033899</v>
      </c>
      <c r="V36" s="46">
        <f t="shared" si="7"/>
        <v>38.13559322033899</v>
      </c>
      <c r="W36" s="48">
        <f t="shared" si="8"/>
        <v>50.847457627118651</v>
      </c>
      <c r="X36" s="44">
        <f t="shared" si="9"/>
        <v>50.847457627118651</v>
      </c>
      <c r="Y36" s="47">
        <f t="shared" si="10"/>
        <v>63.559322033898312</v>
      </c>
      <c r="Z36" s="45">
        <f t="shared" si="11"/>
        <v>76.27118644067798</v>
      </c>
      <c r="AA36" s="46">
        <f t="shared" si="12"/>
        <v>101.6949152542373</v>
      </c>
      <c r="AB36" s="45">
        <f t="shared" si="13"/>
        <v>122.03389830508476</v>
      </c>
    </row>
    <row r="37" spans="1:28" s="4" customFormat="1" ht="19.5" customHeight="1" x14ac:dyDescent="0.3">
      <c r="A37" s="15">
        <v>35</v>
      </c>
      <c r="B37" s="16" t="s">
        <v>95</v>
      </c>
      <c r="C37" s="17" t="s">
        <v>96</v>
      </c>
      <c r="D37" s="17">
        <v>50</v>
      </c>
      <c r="E37" s="17">
        <v>60</v>
      </c>
      <c r="F37" s="17">
        <v>210</v>
      </c>
      <c r="G37" s="17" t="s">
        <v>98</v>
      </c>
      <c r="H37" s="17" t="s">
        <v>97</v>
      </c>
      <c r="I37" s="18">
        <v>1000</v>
      </c>
      <c r="J37" s="18" t="s">
        <v>15</v>
      </c>
      <c r="K37" s="17" t="s">
        <v>45</v>
      </c>
      <c r="L37" s="19">
        <v>4.9000000000000002E-2</v>
      </c>
      <c r="M37" s="20">
        <v>1</v>
      </c>
      <c r="N37" s="49">
        <f t="shared" si="14"/>
        <v>20.408163265306122</v>
      </c>
      <c r="O37" s="50">
        <f t="shared" si="0"/>
        <v>40.816326530612244</v>
      </c>
      <c r="P37" s="51">
        <f t="shared" si="1"/>
        <v>61.224489795918366</v>
      </c>
      <c r="Q37" s="52">
        <f t="shared" si="2"/>
        <v>81.632653061224488</v>
      </c>
      <c r="R37" s="53">
        <f t="shared" si="3"/>
        <v>102.0408163265306</v>
      </c>
      <c r="S37" s="49">
        <f t="shared" si="4"/>
        <v>204.08163265306121</v>
      </c>
      <c r="T37" s="52">
        <f t="shared" si="5"/>
        <v>244.89795918367346</v>
      </c>
      <c r="U37" s="50">
        <f t="shared" si="6"/>
        <v>306.12244897959181</v>
      </c>
      <c r="V37" s="51">
        <f t="shared" si="7"/>
        <v>306.12244897959181</v>
      </c>
      <c r="W37" s="53">
        <f t="shared" si="8"/>
        <v>408.16326530612241</v>
      </c>
      <c r="X37" s="49">
        <f t="shared" si="9"/>
        <v>408.16326530612241</v>
      </c>
      <c r="Y37" s="52">
        <f t="shared" si="10"/>
        <v>510.20408163265307</v>
      </c>
      <c r="Z37" s="50">
        <f t="shared" si="11"/>
        <v>612.24489795918362</v>
      </c>
      <c r="AA37" s="51">
        <f t="shared" si="12"/>
        <v>816.32653061224482</v>
      </c>
      <c r="AB37" s="50">
        <f t="shared" si="13"/>
        <v>979.59183673469386</v>
      </c>
    </row>
    <row r="38" spans="1:28" s="4" customFormat="1" ht="19.5" customHeight="1" x14ac:dyDescent="0.3">
      <c r="A38" s="26">
        <v>36</v>
      </c>
      <c r="B38" s="27" t="s">
        <v>99</v>
      </c>
      <c r="C38" s="28" t="s">
        <v>100</v>
      </c>
      <c r="D38" s="28">
        <v>50</v>
      </c>
      <c r="E38" s="28">
        <v>60</v>
      </c>
      <c r="F38" s="28">
        <v>210</v>
      </c>
      <c r="G38" s="28" t="s">
        <v>98</v>
      </c>
      <c r="H38" s="28" t="s">
        <v>97</v>
      </c>
      <c r="I38" s="29">
        <v>2000</v>
      </c>
      <c r="J38" s="29" t="s">
        <v>15</v>
      </c>
      <c r="K38" s="28" t="s">
        <v>45</v>
      </c>
      <c r="L38" s="30">
        <v>9.8000000000000004E-2</v>
      </c>
      <c r="M38" s="31">
        <v>1</v>
      </c>
      <c r="N38" s="32">
        <f t="shared" si="14"/>
        <v>10.204081632653061</v>
      </c>
      <c r="O38" s="33">
        <f t="shared" si="0"/>
        <v>20.408163265306122</v>
      </c>
      <c r="P38" s="34">
        <f t="shared" si="1"/>
        <v>30.612244897959183</v>
      </c>
      <c r="Q38" s="35">
        <f t="shared" si="2"/>
        <v>40.816326530612244</v>
      </c>
      <c r="R38" s="36">
        <f t="shared" si="3"/>
        <v>51.020408163265301</v>
      </c>
      <c r="S38" s="32">
        <f t="shared" si="4"/>
        <v>102.0408163265306</v>
      </c>
      <c r="T38" s="35">
        <f t="shared" si="5"/>
        <v>122.44897959183673</v>
      </c>
      <c r="U38" s="33">
        <f t="shared" si="6"/>
        <v>153.0612244897959</v>
      </c>
      <c r="V38" s="34">
        <f t="shared" si="7"/>
        <v>153.0612244897959</v>
      </c>
      <c r="W38" s="36">
        <f t="shared" si="8"/>
        <v>204.08163265306121</v>
      </c>
      <c r="X38" s="32">
        <f t="shared" si="9"/>
        <v>204.08163265306121</v>
      </c>
      <c r="Y38" s="35">
        <f t="shared" si="10"/>
        <v>255.10204081632654</v>
      </c>
      <c r="Z38" s="33">
        <f t="shared" si="11"/>
        <v>306.12244897959181</v>
      </c>
      <c r="AA38" s="34">
        <f t="shared" si="12"/>
        <v>408.16326530612241</v>
      </c>
      <c r="AB38" s="33">
        <f t="shared" si="13"/>
        <v>489.79591836734693</v>
      </c>
    </row>
    <row r="39" spans="1:28" s="4" customFormat="1" ht="19.5" customHeight="1" x14ac:dyDescent="0.3">
      <c r="A39" s="26">
        <v>37</v>
      </c>
      <c r="B39" s="27" t="s">
        <v>101</v>
      </c>
      <c r="C39" s="28" t="s">
        <v>96</v>
      </c>
      <c r="D39" s="28">
        <v>50</v>
      </c>
      <c r="E39" s="28">
        <v>60</v>
      </c>
      <c r="F39" s="28">
        <v>420</v>
      </c>
      <c r="G39" s="28" t="s">
        <v>98</v>
      </c>
      <c r="H39" s="28" t="s">
        <v>97</v>
      </c>
      <c r="I39" s="29">
        <v>500</v>
      </c>
      <c r="J39" s="29" t="s">
        <v>15</v>
      </c>
      <c r="K39" s="28" t="s">
        <v>102</v>
      </c>
      <c r="L39" s="30">
        <v>2.5000000000000001E-2</v>
      </c>
      <c r="M39" s="31">
        <v>1</v>
      </c>
      <c r="N39" s="32">
        <f t="shared" si="14"/>
        <v>40</v>
      </c>
      <c r="O39" s="33">
        <f t="shared" si="0"/>
        <v>80</v>
      </c>
      <c r="P39" s="34">
        <f t="shared" si="1"/>
        <v>120</v>
      </c>
      <c r="Q39" s="35">
        <f t="shared" si="2"/>
        <v>160</v>
      </c>
      <c r="R39" s="36">
        <f t="shared" si="3"/>
        <v>200</v>
      </c>
      <c r="S39" s="32">
        <f t="shared" si="4"/>
        <v>400</v>
      </c>
      <c r="T39" s="35">
        <f t="shared" si="5"/>
        <v>480</v>
      </c>
      <c r="U39" s="33">
        <f t="shared" si="6"/>
        <v>600</v>
      </c>
      <c r="V39" s="34">
        <f t="shared" si="7"/>
        <v>600</v>
      </c>
      <c r="W39" s="36">
        <f t="shared" si="8"/>
        <v>800</v>
      </c>
      <c r="X39" s="32">
        <f t="shared" si="9"/>
        <v>800</v>
      </c>
      <c r="Y39" s="35">
        <f t="shared" si="10"/>
        <v>1000</v>
      </c>
      <c r="Z39" s="33">
        <f t="shared" si="11"/>
        <v>1200</v>
      </c>
      <c r="AA39" s="34">
        <f t="shared" si="12"/>
        <v>1600</v>
      </c>
      <c r="AB39" s="33">
        <f t="shared" si="13"/>
        <v>1920</v>
      </c>
    </row>
    <row r="40" spans="1:28" s="4" customFormat="1" ht="19.5" customHeight="1" x14ac:dyDescent="0.3">
      <c r="A40" s="26">
        <v>38</v>
      </c>
      <c r="B40" s="27" t="s">
        <v>103</v>
      </c>
      <c r="C40" s="28" t="s">
        <v>104</v>
      </c>
      <c r="D40" s="28">
        <v>70</v>
      </c>
      <c r="E40" s="28">
        <v>40</v>
      </c>
      <c r="F40" s="28">
        <v>210</v>
      </c>
      <c r="G40" s="28" t="s">
        <v>105</v>
      </c>
      <c r="H40" s="28" t="s">
        <v>97</v>
      </c>
      <c r="I40" s="29">
        <v>500</v>
      </c>
      <c r="J40" s="29" t="s">
        <v>15</v>
      </c>
      <c r="K40" s="28" t="s">
        <v>68</v>
      </c>
      <c r="L40" s="30">
        <v>3.7999999999999999E-2</v>
      </c>
      <c r="M40" s="31">
        <v>0.9</v>
      </c>
      <c r="N40" s="32">
        <f t="shared" si="14"/>
        <v>23.684210526315791</v>
      </c>
      <c r="O40" s="33">
        <f t="shared" si="0"/>
        <v>47.368421052631582</v>
      </c>
      <c r="P40" s="34">
        <f t="shared" si="1"/>
        <v>71.05263157894737</v>
      </c>
      <c r="Q40" s="35">
        <f t="shared" si="2"/>
        <v>94.736842105263165</v>
      </c>
      <c r="R40" s="36">
        <f t="shared" si="3"/>
        <v>118.42105263157896</v>
      </c>
      <c r="S40" s="32">
        <f t="shared" si="4"/>
        <v>236.84210526315792</v>
      </c>
      <c r="T40" s="35">
        <f t="shared" si="5"/>
        <v>284.21052631578948</v>
      </c>
      <c r="U40" s="33">
        <f t="shared" si="6"/>
        <v>355.26315789473688</v>
      </c>
      <c r="V40" s="34">
        <f t="shared" si="7"/>
        <v>355.26315789473688</v>
      </c>
      <c r="W40" s="36">
        <f t="shared" si="8"/>
        <v>473.68421052631584</v>
      </c>
      <c r="X40" s="32">
        <f t="shared" si="9"/>
        <v>473.68421052631584</v>
      </c>
      <c r="Y40" s="35">
        <f t="shared" si="10"/>
        <v>592.1052631578948</v>
      </c>
      <c r="Z40" s="33">
        <f t="shared" si="11"/>
        <v>710.52631578947376</v>
      </c>
      <c r="AA40" s="34">
        <f t="shared" si="12"/>
        <v>947.36842105263167</v>
      </c>
      <c r="AB40" s="33">
        <f t="shared" si="13"/>
        <v>1136.8421052631579</v>
      </c>
    </row>
    <row r="41" spans="1:28" s="4" customFormat="1" ht="19.5" customHeight="1" x14ac:dyDescent="0.3">
      <c r="A41" s="26">
        <v>39</v>
      </c>
      <c r="B41" s="27" t="s">
        <v>106</v>
      </c>
      <c r="C41" s="28" t="s">
        <v>107</v>
      </c>
      <c r="D41" s="28">
        <v>70</v>
      </c>
      <c r="E41" s="28">
        <v>40</v>
      </c>
      <c r="F41" s="28">
        <v>210</v>
      </c>
      <c r="G41" s="28" t="s">
        <v>105</v>
      </c>
      <c r="H41" s="28" t="s">
        <v>97</v>
      </c>
      <c r="I41" s="29">
        <v>1500</v>
      </c>
      <c r="J41" s="29" t="s">
        <v>15</v>
      </c>
      <c r="K41" s="28" t="s">
        <v>45</v>
      </c>
      <c r="L41" s="30">
        <v>0.114</v>
      </c>
      <c r="M41" s="31">
        <v>0.9</v>
      </c>
      <c r="N41" s="32">
        <f t="shared" si="14"/>
        <v>7.8947368421052628</v>
      </c>
      <c r="O41" s="33">
        <f t="shared" si="0"/>
        <v>15.789473684210526</v>
      </c>
      <c r="P41" s="34">
        <f t="shared" si="1"/>
        <v>23.684210526315788</v>
      </c>
      <c r="Q41" s="35">
        <f t="shared" si="2"/>
        <v>31.578947368421051</v>
      </c>
      <c r="R41" s="36">
        <f t="shared" si="3"/>
        <v>39.473684210526315</v>
      </c>
      <c r="S41" s="32">
        <f t="shared" si="4"/>
        <v>78.94736842105263</v>
      </c>
      <c r="T41" s="35">
        <f t="shared" si="5"/>
        <v>94.73684210526315</v>
      </c>
      <c r="U41" s="33">
        <f t="shared" si="6"/>
        <v>118.42105263157895</v>
      </c>
      <c r="V41" s="34">
        <f t="shared" si="7"/>
        <v>118.42105263157895</v>
      </c>
      <c r="W41" s="36">
        <f t="shared" si="8"/>
        <v>157.89473684210526</v>
      </c>
      <c r="X41" s="32">
        <f t="shared" si="9"/>
        <v>157.89473684210526</v>
      </c>
      <c r="Y41" s="35">
        <f t="shared" si="10"/>
        <v>197.36842105263156</v>
      </c>
      <c r="Z41" s="33">
        <f t="shared" si="11"/>
        <v>236.84210526315789</v>
      </c>
      <c r="AA41" s="34">
        <f t="shared" si="12"/>
        <v>315.78947368421052</v>
      </c>
      <c r="AB41" s="33">
        <f t="shared" si="13"/>
        <v>378.9473684210526</v>
      </c>
    </row>
    <row r="42" spans="1:28" s="4" customFormat="1" ht="19.5" customHeight="1" x14ac:dyDescent="0.3">
      <c r="A42" s="26">
        <v>40</v>
      </c>
      <c r="B42" s="27" t="s">
        <v>108</v>
      </c>
      <c r="C42" s="28" t="s">
        <v>109</v>
      </c>
      <c r="D42" s="28">
        <v>70</v>
      </c>
      <c r="E42" s="28">
        <v>40</v>
      </c>
      <c r="F42" s="28">
        <v>210</v>
      </c>
      <c r="G42" s="28" t="s">
        <v>105</v>
      </c>
      <c r="H42" s="28" t="s">
        <v>97</v>
      </c>
      <c r="I42" s="29">
        <v>1000</v>
      </c>
      <c r="J42" s="29" t="s">
        <v>15</v>
      </c>
      <c r="K42" s="28" t="s">
        <v>45</v>
      </c>
      <c r="L42" s="30">
        <v>7.3999999999999996E-2</v>
      </c>
      <c r="M42" s="31">
        <v>0.9</v>
      </c>
      <c r="N42" s="32">
        <f t="shared" si="14"/>
        <v>12.162162162162163</v>
      </c>
      <c r="O42" s="33">
        <f t="shared" si="0"/>
        <v>24.324324324324326</v>
      </c>
      <c r="P42" s="34">
        <f t="shared" si="1"/>
        <v>36.486486486486491</v>
      </c>
      <c r="Q42" s="35">
        <f t="shared" si="2"/>
        <v>48.648648648648653</v>
      </c>
      <c r="R42" s="36">
        <f t="shared" si="3"/>
        <v>60.810810810810814</v>
      </c>
      <c r="S42" s="32">
        <f t="shared" si="4"/>
        <v>121.62162162162163</v>
      </c>
      <c r="T42" s="35">
        <f t="shared" si="5"/>
        <v>145.94594594594597</v>
      </c>
      <c r="U42" s="33">
        <f t="shared" si="6"/>
        <v>182.43243243243245</v>
      </c>
      <c r="V42" s="34">
        <f t="shared" si="7"/>
        <v>182.43243243243245</v>
      </c>
      <c r="W42" s="36">
        <f t="shared" si="8"/>
        <v>243.24324324324326</v>
      </c>
      <c r="X42" s="32">
        <f t="shared" si="9"/>
        <v>243.24324324324326</v>
      </c>
      <c r="Y42" s="35">
        <f t="shared" si="10"/>
        <v>304.05405405405406</v>
      </c>
      <c r="Z42" s="33">
        <f t="shared" si="11"/>
        <v>364.8648648648649</v>
      </c>
      <c r="AA42" s="34">
        <f t="shared" si="12"/>
        <v>486.48648648648651</v>
      </c>
      <c r="AB42" s="33">
        <f t="shared" si="13"/>
        <v>583.78378378378386</v>
      </c>
    </row>
    <row r="43" spans="1:28" s="4" customFormat="1" ht="19.5" customHeight="1" x14ac:dyDescent="0.3">
      <c r="A43" s="26">
        <v>41</v>
      </c>
      <c r="B43" s="27" t="s">
        <v>110</v>
      </c>
      <c r="C43" s="28" t="s">
        <v>111</v>
      </c>
      <c r="D43" s="28">
        <v>135</v>
      </c>
      <c r="E43" s="28">
        <v>20</v>
      </c>
      <c r="F43" s="28">
        <v>420</v>
      </c>
      <c r="G43" s="28" t="s">
        <v>112</v>
      </c>
      <c r="H43" s="28" t="s">
        <v>97</v>
      </c>
      <c r="I43" s="29">
        <v>500</v>
      </c>
      <c r="J43" s="29" t="s">
        <v>15</v>
      </c>
      <c r="K43" s="28" t="s">
        <v>45</v>
      </c>
      <c r="L43" s="30">
        <v>7.8E-2</v>
      </c>
      <c r="M43" s="31">
        <v>0.8</v>
      </c>
      <c r="N43" s="32">
        <f t="shared" si="14"/>
        <v>10.256410256410257</v>
      </c>
      <c r="O43" s="33">
        <f t="shared" si="0"/>
        <v>20.512820512820515</v>
      </c>
      <c r="P43" s="34">
        <f t="shared" si="1"/>
        <v>30.769230769230774</v>
      </c>
      <c r="Q43" s="35">
        <f t="shared" si="2"/>
        <v>41.025641025641029</v>
      </c>
      <c r="R43" s="36">
        <f t="shared" si="3"/>
        <v>51.282051282051285</v>
      </c>
      <c r="S43" s="32">
        <f t="shared" si="4"/>
        <v>102.56410256410257</v>
      </c>
      <c r="T43" s="35">
        <f t="shared" si="5"/>
        <v>123.07692307692309</v>
      </c>
      <c r="U43" s="33">
        <f t="shared" si="6"/>
        <v>153.84615384615387</v>
      </c>
      <c r="V43" s="34">
        <f t="shared" si="7"/>
        <v>153.84615384615387</v>
      </c>
      <c r="W43" s="36">
        <f t="shared" si="8"/>
        <v>205.12820512820514</v>
      </c>
      <c r="X43" s="32">
        <f t="shared" si="9"/>
        <v>205.12820512820514</v>
      </c>
      <c r="Y43" s="35">
        <f t="shared" si="10"/>
        <v>256.41025641025641</v>
      </c>
      <c r="Z43" s="33">
        <f t="shared" si="11"/>
        <v>307.69230769230774</v>
      </c>
      <c r="AA43" s="34">
        <f t="shared" si="12"/>
        <v>410.25641025641028</v>
      </c>
      <c r="AB43" s="33">
        <f t="shared" si="13"/>
        <v>492.30769230769238</v>
      </c>
    </row>
    <row r="44" spans="1:28" s="4" customFormat="1" ht="19.5" customHeight="1" x14ac:dyDescent="0.3">
      <c r="A44" s="26">
        <v>42</v>
      </c>
      <c r="B44" s="27" t="s">
        <v>113</v>
      </c>
      <c r="C44" s="28" t="s">
        <v>111</v>
      </c>
      <c r="D44" s="28">
        <v>135</v>
      </c>
      <c r="E44" s="28">
        <v>20</v>
      </c>
      <c r="F44" s="28">
        <v>420</v>
      </c>
      <c r="G44" s="28" t="s">
        <v>112</v>
      </c>
      <c r="H44" s="28" t="s">
        <v>97</v>
      </c>
      <c r="I44" s="29">
        <v>1000</v>
      </c>
      <c r="J44" s="29" t="s">
        <v>15</v>
      </c>
      <c r="K44" s="28" t="s">
        <v>60</v>
      </c>
      <c r="L44" s="30">
        <v>0.155</v>
      </c>
      <c r="M44" s="31">
        <v>0.8</v>
      </c>
      <c r="N44" s="32">
        <f t="shared" si="14"/>
        <v>5.1612903225806459</v>
      </c>
      <c r="O44" s="33">
        <f t="shared" si="0"/>
        <v>10.322580645161292</v>
      </c>
      <c r="P44" s="34">
        <f t="shared" si="1"/>
        <v>15.483870967741938</v>
      </c>
      <c r="Q44" s="35">
        <f t="shared" si="2"/>
        <v>20.645161290322584</v>
      </c>
      <c r="R44" s="36">
        <f t="shared" si="3"/>
        <v>25.806451612903231</v>
      </c>
      <c r="S44" s="32">
        <f t="shared" si="4"/>
        <v>51.612903225806463</v>
      </c>
      <c r="T44" s="35">
        <f t="shared" si="5"/>
        <v>61.935483870967751</v>
      </c>
      <c r="U44" s="33">
        <f t="shared" si="6"/>
        <v>77.419354838709694</v>
      </c>
      <c r="V44" s="34">
        <f t="shared" si="7"/>
        <v>77.419354838709694</v>
      </c>
      <c r="W44" s="36">
        <f t="shared" si="8"/>
        <v>103.22580645161293</v>
      </c>
      <c r="X44" s="32">
        <f t="shared" si="9"/>
        <v>103.22580645161293</v>
      </c>
      <c r="Y44" s="35">
        <f t="shared" si="10"/>
        <v>129.03225806451616</v>
      </c>
      <c r="Z44" s="33">
        <f t="shared" si="11"/>
        <v>154.83870967741939</v>
      </c>
      <c r="AA44" s="34">
        <f t="shared" si="12"/>
        <v>206.45161290322585</v>
      </c>
      <c r="AB44" s="33">
        <f t="shared" si="13"/>
        <v>247.741935483871</v>
      </c>
    </row>
    <row r="45" spans="1:28" s="4" customFormat="1" ht="19.5" customHeight="1" thickBot="1" x14ac:dyDescent="0.35">
      <c r="A45" s="38">
        <v>43</v>
      </c>
      <c r="B45" s="39" t="s">
        <v>114</v>
      </c>
      <c r="C45" s="40" t="s">
        <v>115</v>
      </c>
      <c r="D45" s="40">
        <v>270</v>
      </c>
      <c r="E45" s="40">
        <v>10</v>
      </c>
      <c r="F45" s="40">
        <v>840</v>
      </c>
      <c r="G45" s="40" t="s">
        <v>116</v>
      </c>
      <c r="H45" s="40" t="s">
        <v>97</v>
      </c>
      <c r="I45" s="41">
        <v>500</v>
      </c>
      <c r="J45" s="41" t="s">
        <v>15</v>
      </c>
      <c r="K45" s="40" t="s">
        <v>60</v>
      </c>
      <c r="L45" s="42">
        <v>0.152</v>
      </c>
      <c r="M45" s="43">
        <v>0.8</v>
      </c>
      <c r="N45" s="54">
        <f t="shared" si="14"/>
        <v>5.2631578947368425</v>
      </c>
      <c r="O45" s="55">
        <f t="shared" si="0"/>
        <v>10.526315789473685</v>
      </c>
      <c r="P45" s="56">
        <f t="shared" si="1"/>
        <v>15.789473684210527</v>
      </c>
      <c r="Q45" s="57">
        <f t="shared" si="2"/>
        <v>21.05263157894737</v>
      </c>
      <c r="R45" s="58">
        <f t="shared" si="3"/>
        <v>26.315789473684212</v>
      </c>
      <c r="S45" s="54">
        <f t="shared" si="4"/>
        <v>52.631578947368425</v>
      </c>
      <c r="T45" s="57">
        <f t="shared" si="5"/>
        <v>63.15789473684211</v>
      </c>
      <c r="U45" s="55">
        <f t="shared" si="6"/>
        <v>78.94736842105263</v>
      </c>
      <c r="V45" s="56">
        <f t="shared" si="7"/>
        <v>78.94736842105263</v>
      </c>
      <c r="W45" s="58">
        <f t="shared" si="8"/>
        <v>105.26315789473685</v>
      </c>
      <c r="X45" s="54">
        <f t="shared" si="9"/>
        <v>105.26315789473685</v>
      </c>
      <c r="Y45" s="57">
        <f t="shared" si="10"/>
        <v>131.57894736842107</v>
      </c>
      <c r="Z45" s="55">
        <f t="shared" si="11"/>
        <v>157.89473684210526</v>
      </c>
      <c r="AA45" s="56">
        <f t="shared" si="12"/>
        <v>210.5263157894737</v>
      </c>
      <c r="AB45" s="55">
        <f t="shared" si="13"/>
        <v>252.63157894736844</v>
      </c>
    </row>
    <row r="46" spans="1:28" s="4" customFormat="1" ht="19.5" customHeight="1" x14ac:dyDescent="0.3">
      <c r="A46" s="15">
        <v>44</v>
      </c>
      <c r="B46" s="16" t="s">
        <v>117</v>
      </c>
      <c r="C46" s="17" t="s">
        <v>118</v>
      </c>
      <c r="D46" s="17">
        <v>40</v>
      </c>
      <c r="E46" s="17">
        <v>75</v>
      </c>
      <c r="F46" s="17">
        <v>29</v>
      </c>
      <c r="G46" s="17" t="s">
        <v>120</v>
      </c>
      <c r="H46" s="17" t="s">
        <v>119</v>
      </c>
      <c r="I46" s="18">
        <v>2000</v>
      </c>
      <c r="J46" s="18" t="s">
        <v>15</v>
      </c>
      <c r="K46" s="17" t="s">
        <v>14</v>
      </c>
      <c r="L46" s="19">
        <v>8.4000000000000005E-2</v>
      </c>
      <c r="M46" s="20">
        <v>1.3</v>
      </c>
      <c r="N46" s="21">
        <f t="shared" si="14"/>
        <v>15.476190476190476</v>
      </c>
      <c r="O46" s="22">
        <f t="shared" si="0"/>
        <v>30.952380952380953</v>
      </c>
      <c r="P46" s="23">
        <f t="shared" si="1"/>
        <v>46.428571428571431</v>
      </c>
      <c r="Q46" s="24">
        <f t="shared" si="2"/>
        <v>61.904761904761905</v>
      </c>
      <c r="R46" s="25">
        <f t="shared" si="3"/>
        <v>77.38095238095238</v>
      </c>
      <c r="S46" s="21">
        <f t="shared" si="4"/>
        <v>154.76190476190476</v>
      </c>
      <c r="T46" s="24">
        <f t="shared" si="5"/>
        <v>185.71428571428572</v>
      </c>
      <c r="U46" s="22">
        <f t="shared" si="6"/>
        <v>232.14285714285714</v>
      </c>
      <c r="V46" s="23">
        <f t="shared" si="7"/>
        <v>232.14285714285714</v>
      </c>
      <c r="W46" s="25">
        <f t="shared" si="8"/>
        <v>309.52380952380952</v>
      </c>
      <c r="X46" s="21">
        <f t="shared" si="9"/>
        <v>309.52380952380952</v>
      </c>
      <c r="Y46" s="24">
        <f t="shared" si="10"/>
        <v>386.90476190476193</v>
      </c>
      <c r="Z46" s="22">
        <f t="shared" si="11"/>
        <v>464.28571428571428</v>
      </c>
      <c r="AA46" s="23">
        <f t="shared" si="12"/>
        <v>619.04761904761904</v>
      </c>
      <c r="AB46" s="22">
        <f t="shared" si="13"/>
        <v>742.85714285714289</v>
      </c>
    </row>
    <row r="47" spans="1:28" s="4" customFormat="1" ht="19.5" customHeight="1" thickBot="1" x14ac:dyDescent="0.35">
      <c r="A47" s="38">
        <v>45</v>
      </c>
      <c r="B47" s="39" t="s">
        <v>121</v>
      </c>
      <c r="C47" s="40" t="s">
        <v>118</v>
      </c>
      <c r="D47" s="40">
        <v>24</v>
      </c>
      <c r="E47" s="40">
        <v>120</v>
      </c>
      <c r="F47" s="40">
        <v>24</v>
      </c>
      <c r="G47" s="40" t="s">
        <v>122</v>
      </c>
      <c r="H47" s="40" t="s">
        <v>119</v>
      </c>
      <c r="I47" s="41">
        <v>5000</v>
      </c>
      <c r="J47" s="41" t="s">
        <v>15</v>
      </c>
      <c r="K47" s="40" t="s">
        <v>14</v>
      </c>
      <c r="L47" s="42">
        <v>0.124</v>
      </c>
      <c r="M47" s="43">
        <v>1.3</v>
      </c>
      <c r="N47" s="44">
        <f t="shared" si="14"/>
        <v>10.483870967741936</v>
      </c>
      <c r="O47" s="45">
        <f t="shared" si="0"/>
        <v>20.967741935483872</v>
      </c>
      <c r="P47" s="46">
        <f t="shared" si="1"/>
        <v>31.451612903225808</v>
      </c>
      <c r="Q47" s="47">
        <f t="shared" si="2"/>
        <v>41.935483870967744</v>
      </c>
      <c r="R47" s="48">
        <f t="shared" si="3"/>
        <v>52.41935483870968</v>
      </c>
      <c r="S47" s="44">
        <f t="shared" si="4"/>
        <v>104.83870967741936</v>
      </c>
      <c r="T47" s="47">
        <f t="shared" si="5"/>
        <v>125.80645161290323</v>
      </c>
      <c r="U47" s="45">
        <f t="shared" si="6"/>
        <v>157.25806451612902</v>
      </c>
      <c r="V47" s="46">
        <f t="shared" si="7"/>
        <v>157.25806451612902</v>
      </c>
      <c r="W47" s="48">
        <f t="shared" si="8"/>
        <v>209.67741935483872</v>
      </c>
      <c r="X47" s="44">
        <f t="shared" si="9"/>
        <v>209.67741935483872</v>
      </c>
      <c r="Y47" s="47">
        <f t="shared" si="10"/>
        <v>262.09677419354841</v>
      </c>
      <c r="Z47" s="45">
        <f t="shared" si="11"/>
        <v>314.51612903225805</v>
      </c>
      <c r="AA47" s="46">
        <f t="shared" si="12"/>
        <v>419.35483870967744</v>
      </c>
      <c r="AB47" s="45">
        <f t="shared" si="13"/>
        <v>503.22580645161293</v>
      </c>
    </row>
    <row r="48" spans="1:28" s="4" customFormat="1" ht="19.5" customHeight="1" x14ac:dyDescent="0.3">
      <c r="A48" s="15">
        <v>46</v>
      </c>
      <c r="B48" s="16" t="s">
        <v>123</v>
      </c>
      <c r="C48" s="17" t="s">
        <v>124</v>
      </c>
      <c r="D48" s="17">
        <v>70</v>
      </c>
      <c r="E48" s="17">
        <v>40</v>
      </c>
      <c r="F48" s="17">
        <v>210</v>
      </c>
      <c r="G48" s="17" t="s">
        <v>126</v>
      </c>
      <c r="H48" s="17" t="s">
        <v>125</v>
      </c>
      <c r="I48" s="18">
        <v>1500</v>
      </c>
      <c r="J48" s="18" t="s">
        <v>15</v>
      </c>
      <c r="K48" s="17" t="s">
        <v>45</v>
      </c>
      <c r="L48" s="19">
        <v>0.121</v>
      </c>
      <c r="M48" s="20">
        <v>1.2</v>
      </c>
      <c r="N48" s="21">
        <f t="shared" si="14"/>
        <v>9.9173553719008272</v>
      </c>
      <c r="O48" s="22">
        <f t="shared" si="0"/>
        <v>19.834710743801654</v>
      </c>
      <c r="P48" s="23">
        <f t="shared" si="1"/>
        <v>29.752066115702483</v>
      </c>
      <c r="Q48" s="24">
        <f t="shared" si="2"/>
        <v>39.669421487603309</v>
      </c>
      <c r="R48" s="25">
        <f t="shared" si="3"/>
        <v>49.586776859504134</v>
      </c>
      <c r="S48" s="21">
        <f t="shared" si="4"/>
        <v>99.173553719008268</v>
      </c>
      <c r="T48" s="24">
        <f t="shared" si="5"/>
        <v>119.00826446280993</v>
      </c>
      <c r="U48" s="22">
        <f t="shared" si="6"/>
        <v>148.7603305785124</v>
      </c>
      <c r="V48" s="23">
        <f t="shared" si="7"/>
        <v>148.7603305785124</v>
      </c>
      <c r="W48" s="25">
        <f t="shared" si="8"/>
        <v>198.34710743801654</v>
      </c>
      <c r="X48" s="21">
        <f t="shared" si="9"/>
        <v>198.34710743801654</v>
      </c>
      <c r="Y48" s="24">
        <f t="shared" si="10"/>
        <v>247.93388429752068</v>
      </c>
      <c r="Z48" s="22">
        <f t="shared" si="11"/>
        <v>297.52066115702479</v>
      </c>
      <c r="AA48" s="23">
        <f t="shared" si="12"/>
        <v>396.69421487603307</v>
      </c>
      <c r="AB48" s="22">
        <f t="shared" si="13"/>
        <v>476.03305785123973</v>
      </c>
    </row>
    <row r="49" spans="1:28" s="4" customFormat="1" ht="19.5" customHeight="1" x14ac:dyDescent="0.3">
      <c r="A49" s="26">
        <v>47</v>
      </c>
      <c r="B49" s="27" t="s">
        <v>127</v>
      </c>
      <c r="C49" s="28" t="s">
        <v>124</v>
      </c>
      <c r="D49" s="28">
        <v>135</v>
      </c>
      <c r="E49" s="28">
        <v>20</v>
      </c>
      <c r="F49" s="28">
        <v>420</v>
      </c>
      <c r="G49" s="28" t="s">
        <v>128</v>
      </c>
      <c r="H49" s="28" t="s">
        <v>125</v>
      </c>
      <c r="I49" s="29">
        <v>1500</v>
      </c>
      <c r="J49" s="29" t="s">
        <v>15</v>
      </c>
      <c r="K49" s="28" t="s">
        <v>60</v>
      </c>
      <c r="L49" s="30">
        <v>0.24199999999999999</v>
      </c>
      <c r="M49" s="31">
        <v>1.2</v>
      </c>
      <c r="N49" s="32">
        <f t="shared" si="14"/>
        <v>4.9586776859504136</v>
      </c>
      <c r="O49" s="33">
        <f t="shared" si="0"/>
        <v>9.9173553719008272</v>
      </c>
      <c r="P49" s="34">
        <f t="shared" si="1"/>
        <v>14.876033057851242</v>
      </c>
      <c r="Q49" s="35">
        <f t="shared" si="2"/>
        <v>19.834710743801654</v>
      </c>
      <c r="R49" s="36">
        <f t="shared" si="3"/>
        <v>24.793388429752067</v>
      </c>
      <c r="S49" s="32">
        <f t="shared" si="4"/>
        <v>49.586776859504134</v>
      </c>
      <c r="T49" s="35">
        <f t="shared" si="5"/>
        <v>59.504132231404967</v>
      </c>
      <c r="U49" s="33">
        <f t="shared" si="6"/>
        <v>74.380165289256198</v>
      </c>
      <c r="V49" s="34">
        <f t="shared" si="7"/>
        <v>74.380165289256198</v>
      </c>
      <c r="W49" s="36">
        <f t="shared" si="8"/>
        <v>99.173553719008268</v>
      </c>
      <c r="X49" s="32">
        <f t="shared" si="9"/>
        <v>99.173553719008268</v>
      </c>
      <c r="Y49" s="35">
        <f t="shared" si="10"/>
        <v>123.96694214876034</v>
      </c>
      <c r="Z49" s="33">
        <f t="shared" si="11"/>
        <v>148.7603305785124</v>
      </c>
      <c r="AA49" s="34">
        <f t="shared" si="12"/>
        <v>198.34710743801654</v>
      </c>
      <c r="AB49" s="33">
        <f t="shared" si="13"/>
        <v>238.01652892561987</v>
      </c>
    </row>
    <row r="50" spans="1:28" s="4" customFormat="1" ht="19.5" customHeight="1" x14ac:dyDescent="0.3">
      <c r="A50" s="26">
        <v>48</v>
      </c>
      <c r="B50" s="27" t="s">
        <v>129</v>
      </c>
      <c r="C50" s="28" t="s">
        <v>124</v>
      </c>
      <c r="D50" s="28">
        <v>135</v>
      </c>
      <c r="E50" s="28">
        <v>20</v>
      </c>
      <c r="F50" s="28">
        <v>1260</v>
      </c>
      <c r="G50" s="28" t="s">
        <v>128</v>
      </c>
      <c r="H50" s="28" t="s">
        <v>125</v>
      </c>
      <c r="I50" s="29">
        <v>1500</v>
      </c>
      <c r="J50" s="29" t="s">
        <v>15</v>
      </c>
      <c r="K50" s="28" t="s">
        <v>60</v>
      </c>
      <c r="L50" s="30">
        <v>0.25</v>
      </c>
      <c r="M50" s="31">
        <v>1.2</v>
      </c>
      <c r="N50" s="32">
        <f t="shared" si="14"/>
        <v>4.8</v>
      </c>
      <c r="O50" s="33">
        <f t="shared" si="0"/>
        <v>9.6</v>
      </c>
      <c r="P50" s="34">
        <f t="shared" si="1"/>
        <v>14.399999999999999</v>
      </c>
      <c r="Q50" s="35">
        <f t="shared" si="2"/>
        <v>19.2</v>
      </c>
      <c r="R50" s="36">
        <f t="shared" si="3"/>
        <v>24</v>
      </c>
      <c r="S50" s="32">
        <f t="shared" si="4"/>
        <v>48</v>
      </c>
      <c r="T50" s="35">
        <f t="shared" si="5"/>
        <v>57.599999999999994</v>
      </c>
      <c r="U50" s="33">
        <f t="shared" si="6"/>
        <v>72</v>
      </c>
      <c r="V50" s="34">
        <f t="shared" si="7"/>
        <v>72</v>
      </c>
      <c r="W50" s="36">
        <f t="shared" si="8"/>
        <v>96</v>
      </c>
      <c r="X50" s="32">
        <f t="shared" si="9"/>
        <v>96</v>
      </c>
      <c r="Y50" s="35">
        <f t="shared" si="10"/>
        <v>120</v>
      </c>
      <c r="Z50" s="33">
        <f t="shared" si="11"/>
        <v>144</v>
      </c>
      <c r="AA50" s="34">
        <f t="shared" si="12"/>
        <v>192</v>
      </c>
      <c r="AB50" s="33">
        <f t="shared" si="13"/>
        <v>230.39999999999998</v>
      </c>
    </row>
    <row r="51" spans="1:28" s="4" customFormat="1" ht="19.5" customHeight="1" x14ac:dyDescent="0.3">
      <c r="A51" s="26">
        <v>49</v>
      </c>
      <c r="B51" s="27" t="s">
        <v>130</v>
      </c>
      <c r="C51" s="28" t="s">
        <v>131</v>
      </c>
      <c r="D51" s="28">
        <v>70</v>
      </c>
      <c r="E51" s="28">
        <v>40</v>
      </c>
      <c r="F51" s="28">
        <v>210</v>
      </c>
      <c r="G51" s="28" t="s">
        <v>133</v>
      </c>
      <c r="H51" s="28" t="s">
        <v>132</v>
      </c>
      <c r="I51" s="29">
        <v>1500</v>
      </c>
      <c r="J51" s="29" t="s">
        <v>15</v>
      </c>
      <c r="K51" s="28" t="s">
        <v>45</v>
      </c>
      <c r="L51" s="30">
        <v>0.12</v>
      </c>
      <c r="M51" s="31">
        <v>1.2</v>
      </c>
      <c r="N51" s="32">
        <f t="shared" si="14"/>
        <v>10</v>
      </c>
      <c r="O51" s="33">
        <f t="shared" si="0"/>
        <v>20</v>
      </c>
      <c r="P51" s="34">
        <f t="shared" si="1"/>
        <v>30</v>
      </c>
      <c r="Q51" s="35">
        <f t="shared" si="2"/>
        <v>40</v>
      </c>
      <c r="R51" s="36">
        <f t="shared" si="3"/>
        <v>50</v>
      </c>
      <c r="S51" s="32">
        <f t="shared" si="4"/>
        <v>100</v>
      </c>
      <c r="T51" s="35">
        <f t="shared" si="5"/>
        <v>120</v>
      </c>
      <c r="U51" s="33">
        <f t="shared" si="6"/>
        <v>150</v>
      </c>
      <c r="V51" s="34">
        <f t="shared" si="7"/>
        <v>150</v>
      </c>
      <c r="W51" s="36">
        <f t="shared" si="8"/>
        <v>200</v>
      </c>
      <c r="X51" s="32">
        <f t="shared" si="9"/>
        <v>200</v>
      </c>
      <c r="Y51" s="35">
        <f t="shared" si="10"/>
        <v>250</v>
      </c>
      <c r="Z51" s="33">
        <f t="shared" si="11"/>
        <v>300</v>
      </c>
      <c r="AA51" s="34">
        <f t="shared" si="12"/>
        <v>400</v>
      </c>
      <c r="AB51" s="33">
        <f t="shared" si="13"/>
        <v>480</v>
      </c>
    </row>
    <row r="52" spans="1:28" s="4" customFormat="1" ht="19.5" customHeight="1" thickBot="1" x14ac:dyDescent="0.35">
      <c r="A52" s="38">
        <v>50</v>
      </c>
      <c r="B52" s="39" t="s">
        <v>134</v>
      </c>
      <c r="C52" s="40" t="s">
        <v>131</v>
      </c>
      <c r="D52" s="40">
        <v>135</v>
      </c>
      <c r="E52" s="40">
        <v>20</v>
      </c>
      <c r="F52" s="40">
        <v>420</v>
      </c>
      <c r="G52" s="40" t="s">
        <v>135</v>
      </c>
      <c r="H52" s="40" t="s">
        <v>132</v>
      </c>
      <c r="I52" s="41">
        <v>1000</v>
      </c>
      <c r="J52" s="41" t="s">
        <v>15</v>
      </c>
      <c r="K52" s="40" t="s">
        <v>60</v>
      </c>
      <c r="L52" s="42">
        <v>0.16200000000000001</v>
      </c>
      <c r="M52" s="43">
        <v>1.2</v>
      </c>
      <c r="N52" s="44">
        <f t="shared" si="14"/>
        <v>7.4074074074074066</v>
      </c>
      <c r="O52" s="45">
        <f t="shared" si="0"/>
        <v>14.814814814814813</v>
      </c>
      <c r="P52" s="46">
        <f t="shared" si="1"/>
        <v>22.222222222222221</v>
      </c>
      <c r="Q52" s="47">
        <f t="shared" si="2"/>
        <v>29.629629629629626</v>
      </c>
      <c r="R52" s="48">
        <f t="shared" si="3"/>
        <v>37.037037037037031</v>
      </c>
      <c r="S52" s="44">
        <f t="shared" si="4"/>
        <v>74.074074074074062</v>
      </c>
      <c r="T52" s="47">
        <f t="shared" si="5"/>
        <v>88.888888888888886</v>
      </c>
      <c r="U52" s="45">
        <f t="shared" si="6"/>
        <v>111.1111111111111</v>
      </c>
      <c r="V52" s="46">
        <f t="shared" si="7"/>
        <v>111.1111111111111</v>
      </c>
      <c r="W52" s="48">
        <f t="shared" si="8"/>
        <v>148.14814814814812</v>
      </c>
      <c r="X52" s="44">
        <f t="shared" si="9"/>
        <v>148.14814814814812</v>
      </c>
      <c r="Y52" s="47">
        <f t="shared" si="10"/>
        <v>185.18518518518516</v>
      </c>
      <c r="Z52" s="45">
        <f t="shared" si="11"/>
        <v>222.2222222222222</v>
      </c>
      <c r="AA52" s="46">
        <f t="shared" si="12"/>
        <v>296.29629629629625</v>
      </c>
      <c r="AB52" s="45">
        <f t="shared" si="13"/>
        <v>355.55555555555554</v>
      </c>
    </row>
    <row r="53" spans="1:28" s="4" customFormat="1" ht="19.5" customHeight="1" x14ac:dyDescent="0.3">
      <c r="A53" s="15">
        <v>51</v>
      </c>
      <c r="B53" s="16" t="s">
        <v>136</v>
      </c>
      <c r="C53" s="17" t="s">
        <v>137</v>
      </c>
      <c r="D53" s="17">
        <v>17</v>
      </c>
      <c r="E53" s="17">
        <v>160</v>
      </c>
      <c r="F53" s="17">
        <v>150</v>
      </c>
      <c r="G53" s="17" t="s">
        <v>139</v>
      </c>
      <c r="H53" s="17" t="s">
        <v>138</v>
      </c>
      <c r="I53" s="18">
        <v>5000</v>
      </c>
      <c r="J53" s="18" t="s">
        <v>15</v>
      </c>
      <c r="K53" s="17" t="s">
        <v>14</v>
      </c>
      <c r="L53" s="19">
        <v>8.4000000000000005E-2</v>
      </c>
      <c r="M53" s="20"/>
      <c r="N53" s="49"/>
      <c r="O53" s="50"/>
      <c r="P53" s="51"/>
      <c r="Q53" s="52"/>
      <c r="R53" s="53"/>
      <c r="S53" s="49"/>
      <c r="T53" s="52"/>
      <c r="U53" s="50"/>
      <c r="V53" s="51"/>
      <c r="W53" s="53"/>
      <c r="X53" s="49"/>
      <c r="Y53" s="52"/>
      <c r="Z53" s="50"/>
      <c r="AA53" s="51"/>
      <c r="AB53" s="50"/>
    </row>
    <row r="54" spans="1:28" s="4" customFormat="1" ht="19.5" customHeight="1" x14ac:dyDescent="0.3">
      <c r="A54" s="26">
        <v>52</v>
      </c>
      <c r="B54" s="27" t="s">
        <v>140</v>
      </c>
      <c r="C54" s="28" t="s">
        <v>141</v>
      </c>
      <c r="D54" s="28">
        <v>35</v>
      </c>
      <c r="E54" s="28">
        <v>80</v>
      </c>
      <c r="F54" s="28">
        <v>300</v>
      </c>
      <c r="G54" s="28" t="s">
        <v>142</v>
      </c>
      <c r="H54" s="28" t="s">
        <v>138</v>
      </c>
      <c r="I54" s="29">
        <v>5000</v>
      </c>
      <c r="J54" s="29" t="s">
        <v>15</v>
      </c>
      <c r="K54" s="28" t="s">
        <v>14</v>
      </c>
      <c r="L54" s="30">
        <v>0.16800000000000001</v>
      </c>
      <c r="M54" s="31"/>
      <c r="N54" s="32"/>
      <c r="O54" s="33"/>
      <c r="P54" s="34"/>
      <c r="Q54" s="35"/>
      <c r="R54" s="36"/>
      <c r="S54" s="32"/>
      <c r="T54" s="35"/>
      <c r="U54" s="33"/>
      <c r="V54" s="34"/>
      <c r="W54" s="36"/>
      <c r="X54" s="32"/>
      <c r="Y54" s="35"/>
      <c r="Z54" s="33"/>
      <c r="AA54" s="34"/>
      <c r="AB54" s="33"/>
    </row>
    <row r="55" spans="1:28" s="4" customFormat="1" ht="19.5" customHeight="1" x14ac:dyDescent="0.3">
      <c r="A55" s="26">
        <v>53</v>
      </c>
      <c r="B55" s="27" t="s">
        <v>143</v>
      </c>
      <c r="C55" s="28" t="s">
        <v>144</v>
      </c>
      <c r="D55" s="28">
        <v>35</v>
      </c>
      <c r="E55" s="28">
        <v>80</v>
      </c>
      <c r="F55" s="28">
        <v>300</v>
      </c>
      <c r="G55" s="28" t="s">
        <v>142</v>
      </c>
      <c r="H55" s="28" t="s">
        <v>138</v>
      </c>
      <c r="I55" s="29">
        <v>950</v>
      </c>
      <c r="J55" s="29" t="s">
        <v>19</v>
      </c>
      <c r="K55" s="28" t="s">
        <v>47</v>
      </c>
      <c r="L55" s="30">
        <v>0.87</v>
      </c>
      <c r="M55" s="31">
        <v>1.8</v>
      </c>
      <c r="N55" s="32">
        <f>SUM(M55/L55*1)</f>
        <v>2.0689655172413794</v>
      </c>
      <c r="O55" s="33">
        <f t="shared" si="0"/>
        <v>4.1379310344827589</v>
      </c>
      <c r="P55" s="34">
        <f t="shared" si="1"/>
        <v>6.2068965517241388</v>
      </c>
      <c r="Q55" s="35">
        <f t="shared" si="2"/>
        <v>8.2758620689655178</v>
      </c>
      <c r="R55" s="36">
        <f t="shared" si="3"/>
        <v>10.344827586206897</v>
      </c>
      <c r="S55" s="32">
        <f t="shared" si="4"/>
        <v>20.689655172413794</v>
      </c>
      <c r="T55" s="35">
        <f t="shared" si="5"/>
        <v>24.827586206896555</v>
      </c>
      <c r="U55" s="33">
        <f t="shared" si="6"/>
        <v>31.03448275862069</v>
      </c>
      <c r="V55" s="34">
        <f t="shared" si="7"/>
        <v>31.03448275862069</v>
      </c>
      <c r="W55" s="36">
        <f t="shared" si="8"/>
        <v>41.379310344827587</v>
      </c>
      <c r="X55" s="32">
        <f t="shared" si="9"/>
        <v>41.379310344827587</v>
      </c>
      <c r="Y55" s="35">
        <f t="shared" si="10"/>
        <v>51.724137931034484</v>
      </c>
      <c r="Z55" s="33">
        <f t="shared" si="11"/>
        <v>62.068965517241381</v>
      </c>
      <c r="AA55" s="34">
        <f t="shared" si="12"/>
        <v>82.758620689655174</v>
      </c>
      <c r="AB55" s="33">
        <f t="shared" si="13"/>
        <v>99.310344827586221</v>
      </c>
    </row>
    <row r="56" spans="1:28" s="4" customFormat="1" ht="19.5" customHeight="1" thickBot="1" x14ac:dyDescent="0.35">
      <c r="A56" s="38">
        <v>54</v>
      </c>
      <c r="B56" s="39" t="s">
        <v>145</v>
      </c>
      <c r="C56" s="40" t="s">
        <v>146</v>
      </c>
      <c r="D56" s="40">
        <v>18</v>
      </c>
      <c r="E56" s="40">
        <v>150</v>
      </c>
      <c r="F56" s="40">
        <v>150</v>
      </c>
      <c r="G56" s="40" t="s">
        <v>147</v>
      </c>
      <c r="H56" s="40" t="s">
        <v>138</v>
      </c>
      <c r="I56" s="41">
        <v>10000</v>
      </c>
      <c r="J56" s="41" t="s">
        <v>15</v>
      </c>
      <c r="K56" s="40" t="s">
        <v>14</v>
      </c>
      <c r="L56" s="42">
        <v>0.185</v>
      </c>
      <c r="M56" s="43"/>
      <c r="N56" s="44"/>
      <c r="O56" s="45"/>
      <c r="P56" s="46"/>
      <c r="Q56" s="47"/>
      <c r="R56" s="48"/>
      <c r="S56" s="44"/>
      <c r="T56" s="47"/>
      <c r="U56" s="45"/>
      <c r="V56" s="46"/>
      <c r="W56" s="48"/>
      <c r="X56" s="44"/>
      <c r="Y56" s="47"/>
      <c r="Z56" s="45"/>
      <c r="AA56" s="46"/>
      <c r="AB56" s="45"/>
    </row>
    <row r="61" spans="1:28" x14ac:dyDescent="0.3">
      <c r="G61" s="2" t="s">
        <v>159</v>
      </c>
      <c r="I61" s="2">
        <v>19</v>
      </c>
      <c r="J61" s="2" t="s">
        <v>48</v>
      </c>
      <c r="L61" s="2">
        <f>L21*I61</f>
        <v>2.1659999999999999</v>
      </c>
    </row>
    <row r="62" spans="1:28" x14ac:dyDescent="0.3">
      <c r="L62" s="2">
        <f>L61/M21</f>
        <v>1.9690909090909088</v>
      </c>
      <c r="N62" s="60"/>
      <c r="O62" s="60"/>
    </row>
  </sheetData>
  <autoFilter ref="A2:AC56" xr:uid="{00000000-0009-0000-0000-000000000000}"/>
  <mergeCells count="6">
    <mergeCell ref="N1:O1"/>
    <mergeCell ref="P1:R1"/>
    <mergeCell ref="S1:U1"/>
    <mergeCell ref="V1:W1"/>
    <mergeCell ref="X1:Z1"/>
    <mergeCell ref="AA1:AB1"/>
  </mergeCells>
  <pageMargins left="0.43" right="0.16" top="0.65" bottom="0.16" header="0.22" footer="0.16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C62"/>
  <sheetViews>
    <sheetView topLeftCell="G1" zoomScaleNormal="100" workbookViewId="0">
      <selection activeCell="G1" sqref="A1:XFD1048576"/>
    </sheetView>
  </sheetViews>
  <sheetFormatPr defaultRowHeight="15.6" x14ac:dyDescent="0.3"/>
  <cols>
    <col min="1" max="1" width="9"/>
    <col min="2" max="2" width="12.19921875" style="2" customWidth="1"/>
    <col min="3" max="3" width="16.09765625" bestFit="1" customWidth="1"/>
    <col min="4" max="4" width="7.5" bestFit="1" customWidth="1"/>
    <col min="5" max="5" width="3.8984375" bestFit="1" customWidth="1"/>
    <col min="6" max="6" width="6" bestFit="1" customWidth="1"/>
    <col min="7" max="7" width="37.19921875" customWidth="1"/>
    <col min="8" max="8" width="38" hidden="1" customWidth="1"/>
    <col min="9" max="9" width="8.09765625" style="2" customWidth="1"/>
    <col min="10" max="10" width="8.59765625" style="2" customWidth="1"/>
    <col min="11" max="11" width="20.69921875" hidden="1" customWidth="1"/>
    <col min="12" max="12" width="9" style="2" customWidth="1"/>
    <col min="13" max="13" width="11.69921875" style="2" customWidth="1"/>
    <col min="14" max="29" width="7" customWidth="1"/>
  </cols>
  <sheetData>
    <row r="1" spans="1:29" s="4" customFormat="1" ht="26.25" customHeight="1" thickBot="1" x14ac:dyDescent="0.35">
      <c r="A1" s="61" t="s">
        <v>157</v>
      </c>
      <c r="B1" s="62"/>
      <c r="C1" s="62"/>
      <c r="D1" s="62"/>
      <c r="E1" s="62"/>
      <c r="F1" s="62"/>
      <c r="G1" s="62"/>
      <c r="H1" s="59"/>
      <c r="I1" s="62"/>
      <c r="J1" s="62"/>
      <c r="K1" s="59"/>
      <c r="L1" s="62"/>
      <c r="M1" s="63"/>
      <c r="N1" s="66" t="s">
        <v>150</v>
      </c>
      <c r="O1" s="65"/>
      <c r="P1" s="64" t="s">
        <v>151</v>
      </c>
      <c r="Q1" s="67"/>
      <c r="R1" s="68"/>
      <c r="S1" s="69" t="s">
        <v>152</v>
      </c>
      <c r="T1" s="67"/>
      <c r="U1" s="65"/>
      <c r="V1" s="64" t="s">
        <v>154</v>
      </c>
      <c r="W1" s="68"/>
      <c r="X1" s="69" t="s">
        <v>153</v>
      </c>
      <c r="Y1" s="67"/>
      <c r="Z1" s="65"/>
      <c r="AA1" s="64" t="s">
        <v>155</v>
      </c>
      <c r="AB1" s="65"/>
    </row>
    <row r="2" spans="1:29" s="1" customFormat="1" ht="31.2" x14ac:dyDescent="0.3">
      <c r="A2" s="5" t="s">
        <v>158</v>
      </c>
      <c r="B2" s="6" t="s">
        <v>0</v>
      </c>
      <c r="C2" s="7" t="s">
        <v>1</v>
      </c>
      <c r="D2" s="7" t="s">
        <v>2</v>
      </c>
      <c r="E2" s="7" t="s">
        <v>5</v>
      </c>
      <c r="F2" s="7" t="s">
        <v>6</v>
      </c>
      <c r="G2" s="7" t="s">
        <v>4</v>
      </c>
      <c r="H2" s="7" t="s">
        <v>3</v>
      </c>
      <c r="I2" s="7" t="s">
        <v>7</v>
      </c>
      <c r="J2" s="7" t="s">
        <v>9</v>
      </c>
      <c r="K2" s="7" t="s">
        <v>8</v>
      </c>
      <c r="L2" s="8" t="s">
        <v>148</v>
      </c>
      <c r="M2" s="9" t="s">
        <v>149</v>
      </c>
      <c r="N2" s="10">
        <v>1</v>
      </c>
      <c r="O2" s="11">
        <v>2</v>
      </c>
      <c r="P2" s="12">
        <v>3</v>
      </c>
      <c r="Q2" s="13">
        <v>4</v>
      </c>
      <c r="R2" s="14">
        <v>5</v>
      </c>
      <c r="S2" s="10">
        <v>10</v>
      </c>
      <c r="T2" s="13">
        <v>12</v>
      </c>
      <c r="U2" s="11">
        <v>15</v>
      </c>
      <c r="V2" s="12">
        <v>15</v>
      </c>
      <c r="W2" s="14">
        <v>20</v>
      </c>
      <c r="X2" s="10">
        <v>20</v>
      </c>
      <c r="Y2" s="13">
        <v>25</v>
      </c>
      <c r="Z2" s="11">
        <v>30</v>
      </c>
      <c r="AA2" s="12">
        <v>40</v>
      </c>
      <c r="AB2" s="11">
        <v>48</v>
      </c>
    </row>
    <row r="3" spans="1:29" s="4" customFormat="1" ht="19.5" hidden="1" customHeight="1" x14ac:dyDescent="0.3">
      <c r="A3" s="15">
        <v>1</v>
      </c>
      <c r="B3" s="16" t="s">
        <v>10</v>
      </c>
      <c r="C3" s="17" t="s">
        <v>11</v>
      </c>
      <c r="D3" s="17">
        <v>20</v>
      </c>
      <c r="E3" s="17">
        <v>60</v>
      </c>
      <c r="F3" s="17">
        <v>60</v>
      </c>
      <c r="G3" s="17" t="s">
        <v>13</v>
      </c>
      <c r="H3" s="17" t="s">
        <v>12</v>
      </c>
      <c r="I3" s="18">
        <v>10000</v>
      </c>
      <c r="J3" s="18" t="s">
        <v>15</v>
      </c>
      <c r="K3" s="17" t="s">
        <v>14</v>
      </c>
      <c r="L3" s="19">
        <v>0.214</v>
      </c>
      <c r="M3" s="20">
        <v>1.4</v>
      </c>
      <c r="N3" s="21">
        <f t="shared" ref="N3:N17" si="0">SUM(M3/L3*1)</f>
        <v>6.5420560747663545</v>
      </c>
      <c r="O3" s="22">
        <f t="shared" ref="O3:O17" si="1">SUM(M3/L3*2)</f>
        <v>13.084112149532709</v>
      </c>
      <c r="P3" s="23">
        <f t="shared" ref="P3:P17" si="2">SUM(M3/L3*3)</f>
        <v>19.626168224299064</v>
      </c>
      <c r="Q3" s="24">
        <f t="shared" ref="Q3:Q17" si="3">SUM(M3/L3*4)</f>
        <v>26.168224299065418</v>
      </c>
      <c r="R3" s="25">
        <f t="shared" ref="R3:R17" si="4">SUM(M3/L3*5)</f>
        <v>32.710280373831772</v>
      </c>
      <c r="S3" s="21">
        <f t="shared" ref="S3:S17" si="5">SUM(M3/L3*10)</f>
        <v>65.420560747663544</v>
      </c>
      <c r="T3" s="24">
        <f t="shared" ref="T3:T17" si="6">SUM(M3/L3*12)</f>
        <v>78.504672897196258</v>
      </c>
      <c r="U3" s="22">
        <f t="shared" ref="U3:U17" si="7">SUM(M3/L3*15)</f>
        <v>98.130841121495322</v>
      </c>
      <c r="V3" s="23">
        <f t="shared" ref="V3:V17" si="8">SUM(M3/L3*15)</f>
        <v>98.130841121495322</v>
      </c>
      <c r="W3" s="25">
        <f t="shared" ref="W3:W17" si="9">SUM(M3/L3*20)</f>
        <v>130.84112149532709</v>
      </c>
      <c r="X3" s="21">
        <f t="shared" ref="X3:X17" si="10">SUM(M3/L3*20)</f>
        <v>130.84112149532709</v>
      </c>
      <c r="Y3" s="24">
        <f t="shared" ref="Y3:Y17" si="11">SUM(M3/L3*25)</f>
        <v>163.55140186915887</v>
      </c>
      <c r="Z3" s="22">
        <f t="shared" ref="Z3:Z17" si="12">SUM(M3/L3*30)</f>
        <v>196.26168224299064</v>
      </c>
      <c r="AA3" s="23">
        <f t="shared" ref="AA3:AA17" si="13">SUM(M3/L3*40)</f>
        <v>261.68224299065417</v>
      </c>
      <c r="AB3" s="22">
        <f t="shared" ref="AB3:AB17" si="14">SUM(M3/L3*48)</f>
        <v>314.01869158878503</v>
      </c>
    </row>
    <row r="4" spans="1:29" s="4" customFormat="1" ht="19.5" hidden="1" customHeight="1" x14ac:dyDescent="0.3">
      <c r="A4" s="26">
        <v>2</v>
      </c>
      <c r="B4" s="27" t="s">
        <v>16</v>
      </c>
      <c r="C4" s="28" t="s">
        <v>17</v>
      </c>
      <c r="D4" s="28">
        <v>20</v>
      </c>
      <c r="E4" s="28">
        <v>60</v>
      </c>
      <c r="F4" s="28">
        <v>57</v>
      </c>
      <c r="G4" s="28" t="s">
        <v>18</v>
      </c>
      <c r="H4" s="28" t="s">
        <v>12</v>
      </c>
      <c r="I4" s="29">
        <v>200</v>
      </c>
      <c r="J4" s="29" t="s">
        <v>19</v>
      </c>
      <c r="K4" s="28" t="s">
        <v>14</v>
      </c>
      <c r="L4" s="30">
        <v>0.2</v>
      </c>
      <c r="M4" s="31">
        <v>1.4</v>
      </c>
      <c r="N4" s="32">
        <f t="shared" si="0"/>
        <v>6.9999999999999991</v>
      </c>
      <c r="O4" s="33">
        <f t="shared" si="1"/>
        <v>13.999999999999998</v>
      </c>
      <c r="P4" s="34">
        <f t="shared" si="2"/>
        <v>20.999999999999996</v>
      </c>
      <c r="Q4" s="35">
        <f t="shared" si="3"/>
        <v>27.999999999999996</v>
      </c>
      <c r="R4" s="36">
        <f t="shared" si="4"/>
        <v>34.999999999999993</v>
      </c>
      <c r="S4" s="32">
        <f t="shared" si="5"/>
        <v>69.999999999999986</v>
      </c>
      <c r="T4" s="35">
        <f t="shared" si="6"/>
        <v>83.999999999999986</v>
      </c>
      <c r="U4" s="33">
        <f t="shared" si="7"/>
        <v>104.99999999999999</v>
      </c>
      <c r="V4" s="34">
        <f t="shared" si="8"/>
        <v>104.99999999999999</v>
      </c>
      <c r="W4" s="36">
        <f t="shared" si="9"/>
        <v>139.99999999999997</v>
      </c>
      <c r="X4" s="32">
        <f t="shared" si="10"/>
        <v>139.99999999999997</v>
      </c>
      <c r="Y4" s="35">
        <f t="shared" si="11"/>
        <v>174.99999999999997</v>
      </c>
      <c r="Z4" s="33">
        <f t="shared" si="12"/>
        <v>209.99999999999997</v>
      </c>
      <c r="AA4" s="34">
        <f t="shared" si="13"/>
        <v>279.99999999999994</v>
      </c>
      <c r="AB4" s="33">
        <f t="shared" si="14"/>
        <v>335.99999999999994</v>
      </c>
    </row>
    <row r="5" spans="1:29" s="4" customFormat="1" ht="19.5" hidden="1" customHeight="1" x14ac:dyDescent="0.3">
      <c r="A5" s="26">
        <v>3</v>
      </c>
      <c r="B5" s="27" t="s">
        <v>20</v>
      </c>
      <c r="C5" s="28" t="s">
        <v>21</v>
      </c>
      <c r="D5" s="28">
        <v>60</v>
      </c>
      <c r="E5" s="28">
        <v>50</v>
      </c>
      <c r="F5" s="28">
        <v>20</v>
      </c>
      <c r="G5" s="28" t="s">
        <v>22</v>
      </c>
      <c r="H5" s="28" t="s">
        <v>12</v>
      </c>
      <c r="I5" s="29">
        <v>2000</v>
      </c>
      <c r="J5" s="29" t="s">
        <v>15</v>
      </c>
      <c r="K5" s="28" t="s">
        <v>14</v>
      </c>
      <c r="L5" s="30">
        <v>0.12</v>
      </c>
      <c r="M5" s="31">
        <v>1.4</v>
      </c>
      <c r="N5" s="32">
        <f t="shared" si="0"/>
        <v>11.666666666666666</v>
      </c>
      <c r="O5" s="33">
        <f t="shared" si="1"/>
        <v>23.333333333333332</v>
      </c>
      <c r="P5" s="34">
        <f t="shared" si="2"/>
        <v>35</v>
      </c>
      <c r="Q5" s="35">
        <f t="shared" si="3"/>
        <v>46.666666666666664</v>
      </c>
      <c r="R5" s="36">
        <f t="shared" si="4"/>
        <v>58.333333333333329</v>
      </c>
      <c r="S5" s="32">
        <f t="shared" si="5"/>
        <v>116.66666666666666</v>
      </c>
      <c r="T5" s="35">
        <f t="shared" si="6"/>
        <v>140</v>
      </c>
      <c r="U5" s="33">
        <f t="shared" si="7"/>
        <v>175</v>
      </c>
      <c r="V5" s="34">
        <f t="shared" si="8"/>
        <v>175</v>
      </c>
      <c r="W5" s="36">
        <f t="shared" si="9"/>
        <v>233.33333333333331</v>
      </c>
      <c r="X5" s="32">
        <f t="shared" si="10"/>
        <v>233.33333333333331</v>
      </c>
      <c r="Y5" s="35">
        <f t="shared" si="11"/>
        <v>291.66666666666663</v>
      </c>
      <c r="Z5" s="33">
        <f t="shared" si="12"/>
        <v>350</v>
      </c>
      <c r="AA5" s="34">
        <f t="shared" si="13"/>
        <v>466.66666666666663</v>
      </c>
      <c r="AB5" s="33">
        <f t="shared" si="14"/>
        <v>560</v>
      </c>
    </row>
    <row r="6" spans="1:29" s="4" customFormat="1" ht="19.5" hidden="1" customHeight="1" x14ac:dyDescent="0.3">
      <c r="A6" s="26">
        <v>4</v>
      </c>
      <c r="B6" s="27" t="s">
        <v>23</v>
      </c>
      <c r="C6" s="28" t="s">
        <v>24</v>
      </c>
      <c r="D6" s="28">
        <v>20</v>
      </c>
      <c r="E6" s="28">
        <v>60</v>
      </c>
      <c r="F6" s="28">
        <v>57</v>
      </c>
      <c r="G6" s="28" t="s">
        <v>18</v>
      </c>
      <c r="H6" s="28" t="s">
        <v>12</v>
      </c>
      <c r="I6" s="37">
        <v>180</v>
      </c>
      <c r="J6" s="29" t="s">
        <v>15</v>
      </c>
      <c r="K6" s="28" t="s">
        <v>14</v>
      </c>
      <c r="L6" s="30">
        <v>7.6999999999999999E-2</v>
      </c>
      <c r="M6" s="31">
        <v>1.4</v>
      </c>
      <c r="N6" s="32">
        <f t="shared" si="0"/>
        <v>18.18181818181818</v>
      </c>
      <c r="O6" s="33">
        <f t="shared" si="1"/>
        <v>36.36363636363636</v>
      </c>
      <c r="P6" s="34">
        <f t="shared" si="2"/>
        <v>54.54545454545454</v>
      </c>
      <c r="Q6" s="35">
        <f t="shared" si="3"/>
        <v>72.72727272727272</v>
      </c>
      <c r="R6" s="36">
        <f t="shared" si="4"/>
        <v>90.909090909090907</v>
      </c>
      <c r="S6" s="32">
        <f t="shared" si="5"/>
        <v>181.81818181818181</v>
      </c>
      <c r="T6" s="35">
        <f t="shared" si="6"/>
        <v>218.18181818181816</v>
      </c>
      <c r="U6" s="33">
        <f t="shared" si="7"/>
        <v>272.72727272727269</v>
      </c>
      <c r="V6" s="34">
        <f t="shared" si="8"/>
        <v>272.72727272727269</v>
      </c>
      <c r="W6" s="36">
        <f t="shared" si="9"/>
        <v>363.63636363636363</v>
      </c>
      <c r="X6" s="32">
        <f t="shared" si="10"/>
        <v>363.63636363636363</v>
      </c>
      <c r="Y6" s="35">
        <f t="shared" si="11"/>
        <v>454.5454545454545</v>
      </c>
      <c r="Z6" s="33">
        <f t="shared" si="12"/>
        <v>545.45454545454538</v>
      </c>
      <c r="AA6" s="34">
        <f t="shared" si="13"/>
        <v>727.27272727272725</v>
      </c>
      <c r="AB6" s="33">
        <f t="shared" si="14"/>
        <v>872.72727272727263</v>
      </c>
      <c r="AC6" s="3" t="s">
        <v>156</v>
      </c>
    </row>
    <row r="7" spans="1:29" s="4" customFormat="1" ht="19.5" hidden="1" customHeight="1" x14ac:dyDescent="0.3">
      <c r="A7" s="26">
        <v>5</v>
      </c>
      <c r="B7" s="27" t="s">
        <v>25</v>
      </c>
      <c r="C7" s="28" t="s">
        <v>24</v>
      </c>
      <c r="D7" s="28">
        <v>20</v>
      </c>
      <c r="E7" s="28">
        <v>60</v>
      </c>
      <c r="F7" s="28">
        <v>57</v>
      </c>
      <c r="G7" s="28" t="s">
        <v>18</v>
      </c>
      <c r="H7" s="28" t="s">
        <v>12</v>
      </c>
      <c r="I7" s="37">
        <v>800</v>
      </c>
      <c r="J7" s="29" t="s">
        <v>15</v>
      </c>
      <c r="K7" s="28" t="s">
        <v>26</v>
      </c>
      <c r="L7" s="30">
        <v>0.17</v>
      </c>
      <c r="M7" s="31">
        <v>1.4</v>
      </c>
      <c r="N7" s="32">
        <f t="shared" si="0"/>
        <v>8.235294117647058</v>
      </c>
      <c r="O7" s="33">
        <f t="shared" si="1"/>
        <v>16.470588235294116</v>
      </c>
      <c r="P7" s="34">
        <f t="shared" si="2"/>
        <v>24.705882352941174</v>
      </c>
      <c r="Q7" s="35">
        <f t="shared" si="3"/>
        <v>32.941176470588232</v>
      </c>
      <c r="R7" s="36">
        <f t="shared" si="4"/>
        <v>41.17647058823529</v>
      </c>
      <c r="S7" s="32">
        <f t="shared" si="5"/>
        <v>82.35294117647058</v>
      </c>
      <c r="T7" s="35">
        <f t="shared" si="6"/>
        <v>98.823529411764696</v>
      </c>
      <c r="U7" s="33">
        <f t="shared" si="7"/>
        <v>123.52941176470587</v>
      </c>
      <c r="V7" s="34">
        <f t="shared" si="8"/>
        <v>123.52941176470587</v>
      </c>
      <c r="W7" s="36">
        <f t="shared" si="9"/>
        <v>164.70588235294116</v>
      </c>
      <c r="X7" s="32">
        <f t="shared" si="10"/>
        <v>164.70588235294116</v>
      </c>
      <c r="Y7" s="35">
        <f t="shared" si="11"/>
        <v>205.88235294117646</v>
      </c>
      <c r="Z7" s="33">
        <f t="shared" si="12"/>
        <v>247.05882352941174</v>
      </c>
      <c r="AA7" s="34">
        <f t="shared" si="13"/>
        <v>329.41176470588232</v>
      </c>
      <c r="AB7" s="33">
        <f t="shared" si="14"/>
        <v>395.29411764705878</v>
      </c>
      <c r="AC7" s="3" t="s">
        <v>156</v>
      </c>
    </row>
    <row r="8" spans="1:29" s="4" customFormat="1" ht="19.5" hidden="1" customHeight="1" x14ac:dyDescent="0.3">
      <c r="A8" s="26">
        <v>6</v>
      </c>
      <c r="B8" s="27" t="s">
        <v>27</v>
      </c>
      <c r="C8" s="28" t="s">
        <v>28</v>
      </c>
      <c r="D8" s="28">
        <v>20</v>
      </c>
      <c r="E8" s="28">
        <v>60</v>
      </c>
      <c r="F8" s="28">
        <v>60</v>
      </c>
      <c r="G8" s="28" t="s">
        <v>13</v>
      </c>
      <c r="H8" s="28" t="s">
        <v>12</v>
      </c>
      <c r="I8" s="29">
        <v>5000</v>
      </c>
      <c r="J8" s="29" t="s">
        <v>15</v>
      </c>
      <c r="K8" s="28" t="s">
        <v>14</v>
      </c>
      <c r="L8" s="30">
        <v>0.108</v>
      </c>
      <c r="M8" s="31">
        <v>1.4</v>
      </c>
      <c r="N8" s="32">
        <f t="shared" si="0"/>
        <v>12.962962962962962</v>
      </c>
      <c r="O8" s="33">
        <f t="shared" si="1"/>
        <v>25.925925925925924</v>
      </c>
      <c r="P8" s="34">
        <f t="shared" si="2"/>
        <v>38.888888888888886</v>
      </c>
      <c r="Q8" s="35">
        <f t="shared" si="3"/>
        <v>51.851851851851848</v>
      </c>
      <c r="R8" s="36">
        <f t="shared" si="4"/>
        <v>64.81481481481481</v>
      </c>
      <c r="S8" s="32">
        <f t="shared" si="5"/>
        <v>129.62962962962962</v>
      </c>
      <c r="T8" s="35">
        <f t="shared" si="6"/>
        <v>155.55555555555554</v>
      </c>
      <c r="U8" s="33">
        <f t="shared" si="7"/>
        <v>194.44444444444443</v>
      </c>
      <c r="V8" s="34">
        <f t="shared" si="8"/>
        <v>194.44444444444443</v>
      </c>
      <c r="W8" s="36">
        <f t="shared" si="9"/>
        <v>259.25925925925924</v>
      </c>
      <c r="X8" s="32">
        <f t="shared" si="10"/>
        <v>259.25925925925924</v>
      </c>
      <c r="Y8" s="35">
        <f t="shared" si="11"/>
        <v>324.07407407407402</v>
      </c>
      <c r="Z8" s="33">
        <f t="shared" si="12"/>
        <v>388.88888888888886</v>
      </c>
      <c r="AA8" s="34">
        <f t="shared" si="13"/>
        <v>518.51851851851848</v>
      </c>
      <c r="AB8" s="33">
        <f t="shared" si="14"/>
        <v>622.22222222222217</v>
      </c>
    </row>
    <row r="9" spans="1:29" s="4" customFormat="1" ht="19.5" hidden="1" customHeight="1" x14ac:dyDescent="0.3">
      <c r="A9" s="26">
        <v>7</v>
      </c>
      <c r="B9" s="27" t="s">
        <v>29</v>
      </c>
      <c r="C9" s="28" t="s">
        <v>30</v>
      </c>
      <c r="D9" s="28">
        <v>30</v>
      </c>
      <c r="E9" s="28">
        <v>100</v>
      </c>
      <c r="F9" s="28">
        <v>60</v>
      </c>
      <c r="G9" s="28" t="s">
        <v>31</v>
      </c>
      <c r="H9" s="28" t="s">
        <v>12</v>
      </c>
      <c r="I9" s="37">
        <v>135</v>
      </c>
      <c r="J9" s="29" t="s">
        <v>15</v>
      </c>
      <c r="K9" s="28" t="s">
        <v>32</v>
      </c>
      <c r="L9" s="30">
        <v>8.2000000000000003E-2</v>
      </c>
      <c r="M9" s="31">
        <v>1.3</v>
      </c>
      <c r="N9" s="32">
        <f t="shared" si="0"/>
        <v>15.853658536585366</v>
      </c>
      <c r="O9" s="33">
        <f t="shared" si="1"/>
        <v>31.707317073170731</v>
      </c>
      <c r="P9" s="34">
        <f t="shared" si="2"/>
        <v>47.560975609756099</v>
      </c>
      <c r="Q9" s="35">
        <f t="shared" si="3"/>
        <v>63.414634146341463</v>
      </c>
      <c r="R9" s="36">
        <f t="shared" si="4"/>
        <v>79.268292682926827</v>
      </c>
      <c r="S9" s="32">
        <f t="shared" si="5"/>
        <v>158.53658536585365</v>
      </c>
      <c r="T9" s="35">
        <f t="shared" si="6"/>
        <v>190.2439024390244</v>
      </c>
      <c r="U9" s="33">
        <f t="shared" si="7"/>
        <v>237.80487804878049</v>
      </c>
      <c r="V9" s="34">
        <f t="shared" si="8"/>
        <v>237.80487804878049</v>
      </c>
      <c r="W9" s="36">
        <f t="shared" si="9"/>
        <v>317.07317073170731</v>
      </c>
      <c r="X9" s="32">
        <f t="shared" si="10"/>
        <v>317.07317073170731</v>
      </c>
      <c r="Y9" s="35">
        <f t="shared" si="11"/>
        <v>396.34146341463412</v>
      </c>
      <c r="Z9" s="33">
        <f t="shared" si="12"/>
        <v>475.60975609756099</v>
      </c>
      <c r="AA9" s="34">
        <f t="shared" si="13"/>
        <v>634.14634146341461</v>
      </c>
      <c r="AB9" s="33">
        <f t="shared" si="14"/>
        <v>760.97560975609758</v>
      </c>
      <c r="AC9" s="3" t="s">
        <v>156</v>
      </c>
    </row>
    <row r="10" spans="1:29" s="4" customFormat="1" ht="19.5" hidden="1" customHeight="1" x14ac:dyDescent="0.3">
      <c r="A10" s="26">
        <v>8</v>
      </c>
      <c r="B10" s="27" t="s">
        <v>33</v>
      </c>
      <c r="C10" s="28" t="s">
        <v>34</v>
      </c>
      <c r="D10" s="28">
        <v>30</v>
      </c>
      <c r="E10" s="28">
        <v>100</v>
      </c>
      <c r="F10" s="28">
        <v>270</v>
      </c>
      <c r="G10" s="28" t="s">
        <v>31</v>
      </c>
      <c r="H10" s="28" t="s">
        <v>12</v>
      </c>
      <c r="I10" s="29">
        <v>5000</v>
      </c>
      <c r="J10" s="29" t="s">
        <v>15</v>
      </c>
      <c r="K10" s="28" t="s">
        <v>14</v>
      </c>
      <c r="L10" s="30">
        <v>0.16200000000000001</v>
      </c>
      <c r="M10" s="31">
        <v>1.3</v>
      </c>
      <c r="N10" s="32">
        <f t="shared" si="0"/>
        <v>8.0246913580246915</v>
      </c>
      <c r="O10" s="33">
        <f t="shared" si="1"/>
        <v>16.049382716049383</v>
      </c>
      <c r="P10" s="34">
        <f t="shared" si="2"/>
        <v>24.074074074074076</v>
      </c>
      <c r="Q10" s="35">
        <f t="shared" si="3"/>
        <v>32.098765432098766</v>
      </c>
      <c r="R10" s="36">
        <f t="shared" si="4"/>
        <v>40.123456790123456</v>
      </c>
      <c r="S10" s="32">
        <f t="shared" si="5"/>
        <v>80.246913580246911</v>
      </c>
      <c r="T10" s="35">
        <f t="shared" si="6"/>
        <v>96.296296296296305</v>
      </c>
      <c r="U10" s="33">
        <f t="shared" si="7"/>
        <v>120.37037037037037</v>
      </c>
      <c r="V10" s="34">
        <f t="shared" si="8"/>
        <v>120.37037037037037</v>
      </c>
      <c r="W10" s="36">
        <f t="shared" si="9"/>
        <v>160.49382716049382</v>
      </c>
      <c r="X10" s="32">
        <f t="shared" si="10"/>
        <v>160.49382716049382</v>
      </c>
      <c r="Y10" s="35">
        <f t="shared" si="11"/>
        <v>200.61728395061729</v>
      </c>
      <c r="Z10" s="33">
        <f t="shared" si="12"/>
        <v>240.74074074074073</v>
      </c>
      <c r="AA10" s="34">
        <f t="shared" si="13"/>
        <v>320.98765432098764</v>
      </c>
      <c r="AB10" s="33">
        <f t="shared" si="14"/>
        <v>385.18518518518522</v>
      </c>
    </row>
    <row r="11" spans="1:29" s="4" customFormat="1" ht="19.5" hidden="1" customHeight="1" thickBot="1" x14ac:dyDescent="0.35">
      <c r="A11" s="38">
        <v>9</v>
      </c>
      <c r="B11" s="39" t="s">
        <v>35</v>
      </c>
      <c r="C11" s="40" t="s">
        <v>36</v>
      </c>
      <c r="D11" s="40">
        <v>125</v>
      </c>
      <c r="E11" s="40">
        <v>20</v>
      </c>
      <c r="F11" s="40">
        <v>20</v>
      </c>
      <c r="G11" s="40" t="s">
        <v>37</v>
      </c>
      <c r="H11" s="40" t="s">
        <v>12</v>
      </c>
      <c r="I11" s="41">
        <v>1500</v>
      </c>
      <c r="J11" s="41" t="s">
        <v>15</v>
      </c>
      <c r="K11" s="40" t="s">
        <v>14</v>
      </c>
      <c r="L11" s="42">
        <v>0.18</v>
      </c>
      <c r="M11" s="43">
        <v>1.4</v>
      </c>
      <c r="N11" s="44">
        <f t="shared" si="0"/>
        <v>7.7777777777777777</v>
      </c>
      <c r="O11" s="45">
        <f t="shared" si="1"/>
        <v>15.555555555555555</v>
      </c>
      <c r="P11" s="46">
        <f t="shared" si="2"/>
        <v>23.333333333333332</v>
      </c>
      <c r="Q11" s="47">
        <f t="shared" si="3"/>
        <v>31.111111111111111</v>
      </c>
      <c r="R11" s="48">
        <f t="shared" si="4"/>
        <v>38.888888888888886</v>
      </c>
      <c r="S11" s="44">
        <f t="shared" si="5"/>
        <v>77.777777777777771</v>
      </c>
      <c r="T11" s="47">
        <f t="shared" si="6"/>
        <v>93.333333333333329</v>
      </c>
      <c r="U11" s="45">
        <f t="shared" si="7"/>
        <v>116.66666666666667</v>
      </c>
      <c r="V11" s="46">
        <f t="shared" si="8"/>
        <v>116.66666666666667</v>
      </c>
      <c r="W11" s="48">
        <f t="shared" si="9"/>
        <v>155.55555555555554</v>
      </c>
      <c r="X11" s="44">
        <f t="shared" si="10"/>
        <v>155.55555555555554</v>
      </c>
      <c r="Y11" s="47">
        <f t="shared" si="11"/>
        <v>194.44444444444443</v>
      </c>
      <c r="Z11" s="45">
        <f t="shared" si="12"/>
        <v>233.33333333333334</v>
      </c>
      <c r="AA11" s="46">
        <f t="shared" si="13"/>
        <v>311.11111111111109</v>
      </c>
      <c r="AB11" s="45">
        <f t="shared" si="14"/>
        <v>373.33333333333331</v>
      </c>
    </row>
    <row r="12" spans="1:29" s="4" customFormat="1" ht="19.5" hidden="1" customHeight="1" x14ac:dyDescent="0.3">
      <c r="A12" s="15">
        <v>10</v>
      </c>
      <c r="B12" s="16" t="s">
        <v>38</v>
      </c>
      <c r="C12" s="17" t="s">
        <v>39</v>
      </c>
      <c r="D12" s="17">
        <v>50</v>
      </c>
      <c r="E12" s="17">
        <v>60</v>
      </c>
      <c r="F12" s="17">
        <v>210</v>
      </c>
      <c r="G12" s="17" t="s">
        <v>41</v>
      </c>
      <c r="H12" s="17" t="s">
        <v>40</v>
      </c>
      <c r="I12" s="18">
        <v>10000</v>
      </c>
      <c r="J12" s="18" t="s">
        <v>15</v>
      </c>
      <c r="K12" s="17" t="s">
        <v>42</v>
      </c>
      <c r="L12" s="19">
        <v>0.49</v>
      </c>
      <c r="M12" s="20">
        <v>1.1000000000000001</v>
      </c>
      <c r="N12" s="21">
        <f t="shared" si="0"/>
        <v>2.2448979591836737</v>
      </c>
      <c r="O12" s="22">
        <f t="shared" si="1"/>
        <v>4.4897959183673475</v>
      </c>
      <c r="P12" s="23">
        <f t="shared" si="2"/>
        <v>6.7346938775510212</v>
      </c>
      <c r="Q12" s="24">
        <f t="shared" si="3"/>
        <v>8.979591836734695</v>
      </c>
      <c r="R12" s="25">
        <f t="shared" si="4"/>
        <v>11.22448979591837</v>
      </c>
      <c r="S12" s="21">
        <f t="shared" si="5"/>
        <v>22.448979591836739</v>
      </c>
      <c r="T12" s="24">
        <f t="shared" si="6"/>
        <v>26.938775510204085</v>
      </c>
      <c r="U12" s="22">
        <f t="shared" si="7"/>
        <v>33.673469387755105</v>
      </c>
      <c r="V12" s="23">
        <f t="shared" si="8"/>
        <v>33.673469387755105</v>
      </c>
      <c r="W12" s="25">
        <f t="shared" si="9"/>
        <v>44.897959183673478</v>
      </c>
      <c r="X12" s="21">
        <f t="shared" si="10"/>
        <v>44.897959183673478</v>
      </c>
      <c r="Y12" s="24">
        <f t="shared" si="11"/>
        <v>56.122448979591844</v>
      </c>
      <c r="Z12" s="22">
        <f t="shared" si="12"/>
        <v>67.34693877551021</v>
      </c>
      <c r="AA12" s="23">
        <f t="shared" si="13"/>
        <v>89.795918367346957</v>
      </c>
      <c r="AB12" s="22">
        <f t="shared" si="14"/>
        <v>107.75510204081634</v>
      </c>
    </row>
    <row r="13" spans="1:29" s="4" customFormat="1" ht="19.5" hidden="1" customHeight="1" x14ac:dyDescent="0.3">
      <c r="A13" s="26">
        <v>11</v>
      </c>
      <c r="B13" s="27" t="s">
        <v>43</v>
      </c>
      <c r="C13" s="28" t="s">
        <v>44</v>
      </c>
      <c r="D13" s="28">
        <v>50</v>
      </c>
      <c r="E13" s="28">
        <v>60</v>
      </c>
      <c r="F13" s="28">
        <v>210</v>
      </c>
      <c r="G13" s="28" t="s">
        <v>41</v>
      </c>
      <c r="H13" s="28" t="s">
        <v>40</v>
      </c>
      <c r="I13" s="29">
        <v>2000</v>
      </c>
      <c r="J13" s="29" t="s">
        <v>15</v>
      </c>
      <c r="K13" s="28" t="s">
        <v>45</v>
      </c>
      <c r="L13" s="30">
        <v>9.8000000000000004E-2</v>
      </c>
      <c r="M13" s="31">
        <v>1.1000000000000001</v>
      </c>
      <c r="N13" s="32">
        <f t="shared" si="0"/>
        <v>11.224489795918368</v>
      </c>
      <c r="O13" s="33">
        <f t="shared" si="1"/>
        <v>22.448979591836736</v>
      </c>
      <c r="P13" s="34">
        <f t="shared" si="2"/>
        <v>33.673469387755105</v>
      </c>
      <c r="Q13" s="35">
        <f t="shared" si="3"/>
        <v>44.897959183673471</v>
      </c>
      <c r="R13" s="36">
        <f t="shared" si="4"/>
        <v>56.122448979591837</v>
      </c>
      <c r="S13" s="32">
        <f t="shared" si="5"/>
        <v>112.24489795918367</v>
      </c>
      <c r="T13" s="35">
        <f t="shared" si="6"/>
        <v>134.69387755102042</v>
      </c>
      <c r="U13" s="33">
        <f t="shared" si="7"/>
        <v>168.36734693877551</v>
      </c>
      <c r="V13" s="34">
        <f t="shared" si="8"/>
        <v>168.36734693877551</v>
      </c>
      <c r="W13" s="36">
        <f t="shared" si="9"/>
        <v>224.48979591836735</v>
      </c>
      <c r="X13" s="32">
        <f t="shared" si="10"/>
        <v>224.48979591836735</v>
      </c>
      <c r="Y13" s="35">
        <f t="shared" si="11"/>
        <v>280.61224489795921</v>
      </c>
      <c r="Z13" s="33">
        <f t="shared" si="12"/>
        <v>336.73469387755102</v>
      </c>
      <c r="AA13" s="34">
        <f t="shared" si="13"/>
        <v>448.9795918367347</v>
      </c>
      <c r="AB13" s="33">
        <f t="shared" si="14"/>
        <v>538.77551020408168</v>
      </c>
    </row>
    <row r="14" spans="1:29" s="4" customFormat="1" ht="19.5" hidden="1" customHeight="1" x14ac:dyDescent="0.3">
      <c r="A14" s="26">
        <v>12</v>
      </c>
      <c r="B14" s="27" t="s">
        <v>46</v>
      </c>
      <c r="C14" s="28" t="s">
        <v>39</v>
      </c>
      <c r="D14" s="28">
        <v>50</v>
      </c>
      <c r="E14" s="28">
        <v>60</v>
      </c>
      <c r="F14" s="28">
        <v>210</v>
      </c>
      <c r="G14" s="28" t="s">
        <v>41</v>
      </c>
      <c r="H14" s="28" t="s">
        <v>40</v>
      </c>
      <c r="I14" s="29">
        <v>1</v>
      </c>
      <c r="J14" s="29" t="s">
        <v>48</v>
      </c>
      <c r="K14" s="28" t="s">
        <v>47</v>
      </c>
      <c r="L14" s="30">
        <v>0.89</v>
      </c>
      <c r="M14" s="31">
        <v>0.89</v>
      </c>
      <c r="N14" s="32">
        <f t="shared" si="0"/>
        <v>1</v>
      </c>
      <c r="O14" s="33">
        <f t="shared" si="1"/>
        <v>2</v>
      </c>
      <c r="P14" s="34">
        <f t="shared" si="2"/>
        <v>3</v>
      </c>
      <c r="Q14" s="35">
        <f t="shared" si="3"/>
        <v>4</v>
      </c>
      <c r="R14" s="36">
        <f t="shared" si="4"/>
        <v>5</v>
      </c>
      <c r="S14" s="32">
        <f t="shared" si="5"/>
        <v>10</v>
      </c>
      <c r="T14" s="35">
        <f t="shared" si="6"/>
        <v>12</v>
      </c>
      <c r="U14" s="33">
        <f t="shared" si="7"/>
        <v>15</v>
      </c>
      <c r="V14" s="34">
        <f t="shared" si="8"/>
        <v>15</v>
      </c>
      <c r="W14" s="36">
        <f t="shared" si="9"/>
        <v>20</v>
      </c>
      <c r="X14" s="32">
        <f t="shared" si="10"/>
        <v>20</v>
      </c>
      <c r="Y14" s="35">
        <f t="shared" si="11"/>
        <v>25</v>
      </c>
      <c r="Z14" s="33">
        <f t="shared" si="12"/>
        <v>30</v>
      </c>
      <c r="AA14" s="34">
        <f t="shared" si="13"/>
        <v>40</v>
      </c>
      <c r="AB14" s="33">
        <f t="shared" si="14"/>
        <v>48</v>
      </c>
    </row>
    <row r="15" spans="1:29" s="4" customFormat="1" ht="19.5" hidden="1" customHeight="1" x14ac:dyDescent="0.3">
      <c r="A15" s="26">
        <v>13</v>
      </c>
      <c r="B15" s="27" t="s">
        <v>49</v>
      </c>
      <c r="C15" s="28" t="s">
        <v>50</v>
      </c>
      <c r="D15" s="28">
        <v>35</v>
      </c>
      <c r="E15" s="28">
        <v>80</v>
      </c>
      <c r="F15" s="28">
        <v>150</v>
      </c>
      <c r="G15" s="28" t="s">
        <v>51</v>
      </c>
      <c r="H15" s="28" t="s">
        <v>40</v>
      </c>
      <c r="I15" s="29">
        <v>950</v>
      </c>
      <c r="J15" s="29" t="s">
        <v>19</v>
      </c>
      <c r="K15" s="28" t="s">
        <v>47</v>
      </c>
      <c r="L15" s="30">
        <v>0.84499999999999997</v>
      </c>
      <c r="M15" s="31">
        <v>0.84</v>
      </c>
      <c r="N15" s="32">
        <f t="shared" si="0"/>
        <v>0.99408284023668636</v>
      </c>
      <c r="O15" s="33">
        <f t="shared" si="1"/>
        <v>1.9881656804733727</v>
      </c>
      <c r="P15" s="34">
        <f t="shared" si="2"/>
        <v>2.9822485207100593</v>
      </c>
      <c r="Q15" s="35">
        <f t="shared" si="3"/>
        <v>3.9763313609467454</v>
      </c>
      <c r="R15" s="36">
        <f t="shared" si="4"/>
        <v>4.9704142011834316</v>
      </c>
      <c r="S15" s="32">
        <f t="shared" si="5"/>
        <v>9.9408284023668632</v>
      </c>
      <c r="T15" s="35">
        <f t="shared" si="6"/>
        <v>11.928994082840237</v>
      </c>
      <c r="U15" s="33">
        <f t="shared" si="7"/>
        <v>14.911242603550296</v>
      </c>
      <c r="V15" s="34">
        <f t="shared" si="8"/>
        <v>14.911242603550296</v>
      </c>
      <c r="W15" s="36">
        <f t="shared" si="9"/>
        <v>19.881656804733726</v>
      </c>
      <c r="X15" s="32">
        <f t="shared" si="10"/>
        <v>19.881656804733726</v>
      </c>
      <c r="Y15" s="35">
        <f t="shared" si="11"/>
        <v>24.852071005917161</v>
      </c>
      <c r="Z15" s="33">
        <f t="shared" si="12"/>
        <v>29.822485207100591</v>
      </c>
      <c r="AA15" s="34">
        <f t="shared" si="13"/>
        <v>39.763313609467453</v>
      </c>
      <c r="AB15" s="33">
        <f t="shared" si="14"/>
        <v>47.715976331360949</v>
      </c>
    </row>
    <row r="16" spans="1:29" s="4" customFormat="1" ht="19.5" hidden="1" customHeight="1" x14ac:dyDescent="0.3">
      <c r="A16" s="26">
        <v>14</v>
      </c>
      <c r="B16" s="27" t="s">
        <v>52</v>
      </c>
      <c r="C16" s="28" t="s">
        <v>39</v>
      </c>
      <c r="D16" s="28">
        <v>50</v>
      </c>
      <c r="E16" s="28">
        <v>60</v>
      </c>
      <c r="F16" s="28">
        <v>210</v>
      </c>
      <c r="G16" s="28" t="s">
        <v>53</v>
      </c>
      <c r="H16" s="28" t="s">
        <v>40</v>
      </c>
      <c r="I16" s="29">
        <v>950</v>
      </c>
      <c r="J16" s="29" t="s">
        <v>19</v>
      </c>
      <c r="K16" s="28" t="s">
        <v>47</v>
      </c>
      <c r="L16" s="30">
        <v>0.84499999999999997</v>
      </c>
      <c r="M16" s="31">
        <v>0.84</v>
      </c>
      <c r="N16" s="32">
        <f t="shared" si="0"/>
        <v>0.99408284023668636</v>
      </c>
      <c r="O16" s="33">
        <f t="shared" si="1"/>
        <v>1.9881656804733727</v>
      </c>
      <c r="P16" s="34">
        <f t="shared" si="2"/>
        <v>2.9822485207100593</v>
      </c>
      <c r="Q16" s="35">
        <f t="shared" si="3"/>
        <v>3.9763313609467454</v>
      </c>
      <c r="R16" s="36">
        <f t="shared" si="4"/>
        <v>4.9704142011834316</v>
      </c>
      <c r="S16" s="32">
        <f t="shared" si="5"/>
        <v>9.9408284023668632</v>
      </c>
      <c r="T16" s="35">
        <f t="shared" si="6"/>
        <v>11.928994082840237</v>
      </c>
      <c r="U16" s="33">
        <f t="shared" si="7"/>
        <v>14.911242603550296</v>
      </c>
      <c r="V16" s="34">
        <f t="shared" si="8"/>
        <v>14.911242603550296</v>
      </c>
      <c r="W16" s="36">
        <f t="shared" si="9"/>
        <v>19.881656804733726</v>
      </c>
      <c r="X16" s="32">
        <f t="shared" si="10"/>
        <v>19.881656804733726</v>
      </c>
      <c r="Y16" s="35">
        <f t="shared" si="11"/>
        <v>24.852071005917161</v>
      </c>
      <c r="Z16" s="33">
        <f t="shared" si="12"/>
        <v>29.822485207100591</v>
      </c>
      <c r="AA16" s="34">
        <f t="shared" si="13"/>
        <v>39.763313609467453</v>
      </c>
      <c r="AB16" s="33">
        <f t="shared" si="14"/>
        <v>47.715976331360949</v>
      </c>
    </row>
    <row r="17" spans="1:28" s="4" customFormat="1" ht="19.5" hidden="1" customHeight="1" x14ac:dyDescent="0.3">
      <c r="A17" s="26">
        <v>15</v>
      </c>
      <c r="B17" s="27" t="s">
        <v>54</v>
      </c>
      <c r="C17" s="28" t="s">
        <v>39</v>
      </c>
      <c r="D17" s="28">
        <v>50</v>
      </c>
      <c r="E17" s="28">
        <v>60</v>
      </c>
      <c r="F17" s="28">
        <v>210</v>
      </c>
      <c r="G17" s="28" t="s">
        <v>53</v>
      </c>
      <c r="H17" s="28" t="s">
        <v>40</v>
      </c>
      <c r="I17" s="29">
        <v>580</v>
      </c>
      <c r="J17" s="29" t="s">
        <v>19</v>
      </c>
      <c r="K17" s="28" t="s">
        <v>42</v>
      </c>
      <c r="L17" s="30">
        <v>0.52</v>
      </c>
      <c r="M17" s="31">
        <v>1.1000000000000001</v>
      </c>
      <c r="N17" s="32">
        <f t="shared" si="0"/>
        <v>2.1153846153846154</v>
      </c>
      <c r="O17" s="33">
        <f t="shared" si="1"/>
        <v>4.2307692307692308</v>
      </c>
      <c r="P17" s="34">
        <f t="shared" si="2"/>
        <v>6.3461538461538467</v>
      </c>
      <c r="Q17" s="35">
        <f t="shared" si="3"/>
        <v>8.4615384615384617</v>
      </c>
      <c r="R17" s="36">
        <f t="shared" si="4"/>
        <v>10.576923076923077</v>
      </c>
      <c r="S17" s="32">
        <f t="shared" si="5"/>
        <v>21.153846153846153</v>
      </c>
      <c r="T17" s="35">
        <f t="shared" si="6"/>
        <v>25.384615384615387</v>
      </c>
      <c r="U17" s="33">
        <f t="shared" si="7"/>
        <v>31.73076923076923</v>
      </c>
      <c r="V17" s="34">
        <f t="shared" si="8"/>
        <v>31.73076923076923</v>
      </c>
      <c r="W17" s="36">
        <f t="shared" si="9"/>
        <v>42.307692307692307</v>
      </c>
      <c r="X17" s="32">
        <f t="shared" si="10"/>
        <v>42.307692307692307</v>
      </c>
      <c r="Y17" s="35">
        <f t="shared" si="11"/>
        <v>52.884615384615387</v>
      </c>
      <c r="Z17" s="33">
        <f t="shared" si="12"/>
        <v>63.46153846153846</v>
      </c>
      <c r="AA17" s="34">
        <f t="shared" si="13"/>
        <v>84.615384615384613</v>
      </c>
      <c r="AB17" s="33">
        <f t="shared" si="14"/>
        <v>101.53846153846155</v>
      </c>
    </row>
    <row r="18" spans="1:28" s="4" customFormat="1" ht="19.5" hidden="1" customHeight="1" x14ac:dyDescent="0.3">
      <c r="A18" s="26">
        <v>16</v>
      </c>
      <c r="B18" s="27" t="s">
        <v>55</v>
      </c>
      <c r="C18" s="28" t="s">
        <v>56</v>
      </c>
      <c r="D18" s="28">
        <v>27</v>
      </c>
      <c r="E18" s="28">
        <v>120</v>
      </c>
      <c r="F18" s="28">
        <v>240</v>
      </c>
      <c r="G18" s="28" t="s">
        <v>57</v>
      </c>
      <c r="H18" s="28" t="s">
        <v>40</v>
      </c>
      <c r="I18" s="29">
        <v>5000</v>
      </c>
      <c r="J18" s="29" t="s">
        <v>15</v>
      </c>
      <c r="K18" s="28" t="s">
        <v>45</v>
      </c>
      <c r="L18" s="30">
        <v>0.13500000000000001</v>
      </c>
      <c r="M18" s="31">
        <v>1.2</v>
      </c>
      <c r="N18" s="32">
        <f t="shared" ref="N18:N55" si="15">SUM(M18/L18*1)</f>
        <v>8.8888888888888875</v>
      </c>
      <c r="O18" s="33">
        <f t="shared" ref="O18:O55" si="16">SUM(M18/L18*2)</f>
        <v>17.777777777777775</v>
      </c>
      <c r="P18" s="34">
        <f t="shared" ref="P18:P55" si="17">SUM(M18/L18*3)</f>
        <v>26.666666666666664</v>
      </c>
      <c r="Q18" s="35">
        <f t="shared" ref="Q18:Q55" si="18">SUM(M18/L18*4)</f>
        <v>35.55555555555555</v>
      </c>
      <c r="R18" s="36">
        <f t="shared" ref="R18:R55" si="19">SUM(M18/L18*5)</f>
        <v>44.444444444444436</v>
      </c>
      <c r="S18" s="32">
        <f t="shared" ref="S18:S55" si="20">SUM(M18/L18*10)</f>
        <v>88.888888888888872</v>
      </c>
      <c r="T18" s="35">
        <f t="shared" ref="T18:T55" si="21">SUM(M18/L18*12)</f>
        <v>106.66666666666666</v>
      </c>
      <c r="U18" s="33">
        <f t="shared" ref="U18:U55" si="22">SUM(M18/L18*15)</f>
        <v>133.33333333333331</v>
      </c>
      <c r="V18" s="34">
        <f t="shared" ref="V18:V55" si="23">SUM(M18/L18*15)</f>
        <v>133.33333333333331</v>
      </c>
      <c r="W18" s="36">
        <f t="shared" ref="W18:W55" si="24">SUM(M18/L18*20)</f>
        <v>177.77777777777774</v>
      </c>
      <c r="X18" s="32">
        <f t="shared" ref="X18:X55" si="25">SUM(M18/L18*20)</f>
        <v>177.77777777777774</v>
      </c>
      <c r="Y18" s="35">
        <f t="shared" ref="Y18:Y55" si="26">SUM(M18/L18*25)</f>
        <v>222.2222222222222</v>
      </c>
      <c r="Z18" s="33">
        <f t="shared" ref="Z18:Z55" si="27">SUM(M18/L18*30)</f>
        <v>266.66666666666663</v>
      </c>
      <c r="AA18" s="34">
        <f t="shared" ref="AA18:AA55" si="28">SUM(M18/L18*40)</f>
        <v>355.55555555555549</v>
      </c>
      <c r="AB18" s="33">
        <f t="shared" ref="AB18:AB55" si="29">SUM(M18/L18*48)</f>
        <v>426.66666666666663</v>
      </c>
    </row>
    <row r="19" spans="1:28" s="4" customFormat="1" ht="19.5" hidden="1" customHeight="1" x14ac:dyDescent="0.3">
      <c r="A19" s="26">
        <v>17</v>
      </c>
      <c r="B19" s="27" t="s">
        <v>58</v>
      </c>
      <c r="C19" s="28" t="s">
        <v>59</v>
      </c>
      <c r="D19" s="28">
        <v>30</v>
      </c>
      <c r="E19" s="28">
        <v>80</v>
      </c>
      <c r="F19" s="28">
        <v>300</v>
      </c>
      <c r="G19" s="28" t="s">
        <v>51</v>
      </c>
      <c r="H19" s="28" t="s">
        <v>40</v>
      </c>
      <c r="I19" s="29">
        <v>5000</v>
      </c>
      <c r="J19" s="29" t="s">
        <v>15</v>
      </c>
      <c r="K19" s="28" t="s">
        <v>60</v>
      </c>
      <c r="L19" s="30">
        <v>0.16</v>
      </c>
      <c r="M19" s="31">
        <v>1.2</v>
      </c>
      <c r="N19" s="32">
        <f t="shared" si="15"/>
        <v>7.5</v>
      </c>
      <c r="O19" s="33">
        <f t="shared" si="16"/>
        <v>15</v>
      </c>
      <c r="P19" s="34">
        <f t="shared" si="17"/>
        <v>22.5</v>
      </c>
      <c r="Q19" s="35">
        <f t="shared" si="18"/>
        <v>30</v>
      </c>
      <c r="R19" s="36">
        <f t="shared" si="19"/>
        <v>37.5</v>
      </c>
      <c r="S19" s="32">
        <f t="shared" si="20"/>
        <v>75</v>
      </c>
      <c r="T19" s="35">
        <f t="shared" si="21"/>
        <v>90</v>
      </c>
      <c r="U19" s="33">
        <f t="shared" si="22"/>
        <v>112.5</v>
      </c>
      <c r="V19" s="34">
        <f t="shared" si="23"/>
        <v>112.5</v>
      </c>
      <c r="W19" s="36">
        <f t="shared" si="24"/>
        <v>150</v>
      </c>
      <c r="X19" s="32">
        <f t="shared" si="25"/>
        <v>150</v>
      </c>
      <c r="Y19" s="35">
        <f t="shared" si="26"/>
        <v>187.5</v>
      </c>
      <c r="Z19" s="33">
        <f t="shared" si="27"/>
        <v>225</v>
      </c>
      <c r="AA19" s="34">
        <f t="shared" si="28"/>
        <v>300</v>
      </c>
      <c r="AB19" s="33">
        <f t="shared" si="29"/>
        <v>360</v>
      </c>
    </row>
    <row r="20" spans="1:28" s="4" customFormat="1" ht="19.5" hidden="1" customHeight="1" x14ac:dyDescent="0.3">
      <c r="A20" s="26">
        <v>18</v>
      </c>
      <c r="B20" s="27" t="s">
        <v>61</v>
      </c>
      <c r="C20" s="28" t="s">
        <v>62</v>
      </c>
      <c r="D20" s="28">
        <v>70</v>
      </c>
      <c r="E20" s="28">
        <v>40</v>
      </c>
      <c r="F20" s="28">
        <v>210</v>
      </c>
      <c r="G20" s="28" t="s">
        <v>63</v>
      </c>
      <c r="H20" s="28" t="s">
        <v>40</v>
      </c>
      <c r="I20" s="29">
        <v>7000</v>
      </c>
      <c r="J20" s="29" t="s">
        <v>15</v>
      </c>
      <c r="K20" s="28" t="s">
        <v>42</v>
      </c>
      <c r="L20" s="30">
        <v>0.51</v>
      </c>
      <c r="M20" s="31">
        <v>1.1000000000000001</v>
      </c>
      <c r="N20" s="32">
        <f t="shared" si="15"/>
        <v>2.1568627450980395</v>
      </c>
      <c r="O20" s="33">
        <f t="shared" si="16"/>
        <v>4.3137254901960791</v>
      </c>
      <c r="P20" s="34">
        <f t="shared" si="17"/>
        <v>6.4705882352941186</v>
      </c>
      <c r="Q20" s="35">
        <f t="shared" si="18"/>
        <v>8.6274509803921582</v>
      </c>
      <c r="R20" s="36">
        <f t="shared" si="19"/>
        <v>10.784313725490197</v>
      </c>
      <c r="S20" s="32">
        <f t="shared" si="20"/>
        <v>21.568627450980394</v>
      </c>
      <c r="T20" s="35">
        <f t="shared" si="21"/>
        <v>25.882352941176475</v>
      </c>
      <c r="U20" s="33">
        <f t="shared" si="22"/>
        <v>32.352941176470594</v>
      </c>
      <c r="V20" s="34">
        <f t="shared" si="23"/>
        <v>32.352941176470594</v>
      </c>
      <c r="W20" s="36">
        <f t="shared" si="24"/>
        <v>43.137254901960787</v>
      </c>
      <c r="X20" s="32">
        <f t="shared" si="25"/>
        <v>43.137254901960787</v>
      </c>
      <c r="Y20" s="35">
        <f t="shared" si="26"/>
        <v>53.921568627450988</v>
      </c>
      <c r="Z20" s="33">
        <f t="shared" si="27"/>
        <v>64.705882352941188</v>
      </c>
      <c r="AA20" s="34">
        <f t="shared" si="28"/>
        <v>86.274509803921575</v>
      </c>
      <c r="AB20" s="33">
        <f t="shared" si="29"/>
        <v>103.5294117647059</v>
      </c>
    </row>
    <row r="21" spans="1:28" s="4" customFormat="1" ht="19.5" customHeight="1" x14ac:dyDescent="0.3">
      <c r="A21" s="26">
        <v>19</v>
      </c>
      <c r="B21" s="27" t="s">
        <v>64</v>
      </c>
      <c r="C21" s="28" t="s">
        <v>65</v>
      </c>
      <c r="D21" s="28">
        <v>70</v>
      </c>
      <c r="E21" s="28">
        <v>40</v>
      </c>
      <c r="F21" s="28">
        <v>210</v>
      </c>
      <c r="G21" s="28" t="s">
        <v>63</v>
      </c>
      <c r="H21" s="28" t="s">
        <v>40</v>
      </c>
      <c r="I21" s="29">
        <v>1500</v>
      </c>
      <c r="J21" s="29" t="s">
        <v>15</v>
      </c>
      <c r="K21" s="28" t="s">
        <v>45</v>
      </c>
      <c r="L21" s="30">
        <v>0.114</v>
      </c>
      <c r="M21" s="31">
        <v>1.1000000000000001</v>
      </c>
      <c r="N21" s="32">
        <f t="shared" si="15"/>
        <v>9.6491228070175445</v>
      </c>
      <c r="O21" s="33">
        <f t="shared" si="16"/>
        <v>19.298245614035089</v>
      </c>
      <c r="P21" s="34">
        <f t="shared" si="17"/>
        <v>28.947368421052634</v>
      </c>
      <c r="Q21" s="35">
        <f t="shared" si="18"/>
        <v>38.596491228070178</v>
      </c>
      <c r="R21" s="36">
        <f t="shared" si="19"/>
        <v>48.245614035087726</v>
      </c>
      <c r="S21" s="32">
        <f t="shared" si="20"/>
        <v>96.491228070175453</v>
      </c>
      <c r="T21" s="35">
        <f t="shared" si="21"/>
        <v>115.78947368421053</v>
      </c>
      <c r="U21" s="33">
        <f t="shared" si="22"/>
        <v>144.73684210526318</v>
      </c>
      <c r="V21" s="34">
        <f t="shared" si="23"/>
        <v>144.73684210526318</v>
      </c>
      <c r="W21" s="36">
        <f t="shared" si="24"/>
        <v>192.98245614035091</v>
      </c>
      <c r="X21" s="32">
        <f t="shared" si="25"/>
        <v>192.98245614035091</v>
      </c>
      <c r="Y21" s="35">
        <f t="shared" si="26"/>
        <v>241.2280701754386</v>
      </c>
      <c r="Z21" s="33">
        <f t="shared" si="27"/>
        <v>289.47368421052636</v>
      </c>
      <c r="AA21" s="34">
        <f t="shared" si="28"/>
        <v>385.96491228070181</v>
      </c>
      <c r="AB21" s="33">
        <f t="shared" si="29"/>
        <v>463.15789473684214</v>
      </c>
    </row>
    <row r="22" spans="1:28" s="4" customFormat="1" ht="19.5" hidden="1" customHeight="1" x14ac:dyDescent="0.3">
      <c r="A22" s="26">
        <v>20</v>
      </c>
      <c r="B22" s="27" t="s">
        <v>66</v>
      </c>
      <c r="C22" s="28" t="s">
        <v>67</v>
      </c>
      <c r="D22" s="28">
        <v>70</v>
      </c>
      <c r="E22" s="28">
        <v>40</v>
      </c>
      <c r="F22" s="28">
        <v>630</v>
      </c>
      <c r="G22" s="28" t="s">
        <v>63</v>
      </c>
      <c r="H22" s="28" t="s">
        <v>40</v>
      </c>
      <c r="I22" s="29">
        <v>500</v>
      </c>
      <c r="J22" s="29" t="s">
        <v>15</v>
      </c>
      <c r="K22" s="28" t="s">
        <v>68</v>
      </c>
      <c r="L22" s="30">
        <v>4.7E-2</v>
      </c>
      <c r="M22" s="31">
        <v>1.1000000000000001</v>
      </c>
      <c r="N22" s="32">
        <f t="shared" si="15"/>
        <v>23.404255319148938</v>
      </c>
      <c r="O22" s="33">
        <f t="shared" si="16"/>
        <v>46.808510638297875</v>
      </c>
      <c r="P22" s="34">
        <f t="shared" si="17"/>
        <v>70.212765957446805</v>
      </c>
      <c r="Q22" s="35">
        <f t="shared" si="18"/>
        <v>93.61702127659575</v>
      </c>
      <c r="R22" s="36">
        <f t="shared" si="19"/>
        <v>117.02127659574469</v>
      </c>
      <c r="S22" s="32">
        <f t="shared" si="20"/>
        <v>234.04255319148939</v>
      </c>
      <c r="T22" s="35">
        <f t="shared" si="21"/>
        <v>280.85106382978722</v>
      </c>
      <c r="U22" s="33">
        <f t="shared" si="22"/>
        <v>351.06382978723406</v>
      </c>
      <c r="V22" s="34">
        <f t="shared" si="23"/>
        <v>351.06382978723406</v>
      </c>
      <c r="W22" s="36">
        <f t="shared" si="24"/>
        <v>468.08510638297878</v>
      </c>
      <c r="X22" s="32">
        <f t="shared" si="25"/>
        <v>468.08510638297878</v>
      </c>
      <c r="Y22" s="35">
        <f t="shared" si="26"/>
        <v>585.10638297872345</v>
      </c>
      <c r="Z22" s="33">
        <f t="shared" si="27"/>
        <v>702.12765957446811</v>
      </c>
      <c r="AA22" s="34">
        <f t="shared" si="28"/>
        <v>936.17021276595756</v>
      </c>
      <c r="AB22" s="33">
        <f t="shared" si="29"/>
        <v>1123.4042553191489</v>
      </c>
    </row>
    <row r="23" spans="1:28" s="4" customFormat="1" ht="19.5" hidden="1" customHeight="1" x14ac:dyDescent="0.3">
      <c r="A23" s="26">
        <v>21</v>
      </c>
      <c r="B23" s="27" t="s">
        <v>69</v>
      </c>
      <c r="C23" s="28" t="s">
        <v>70</v>
      </c>
      <c r="D23" s="28">
        <v>70</v>
      </c>
      <c r="E23" s="28">
        <v>40</v>
      </c>
      <c r="F23" s="28">
        <v>210</v>
      </c>
      <c r="G23" s="28" t="s">
        <v>63</v>
      </c>
      <c r="H23" s="28" t="s">
        <v>40</v>
      </c>
      <c r="I23" s="29">
        <v>10000</v>
      </c>
      <c r="J23" s="29" t="s">
        <v>15</v>
      </c>
      <c r="K23" s="28" t="s">
        <v>47</v>
      </c>
      <c r="L23" s="30">
        <v>0.9</v>
      </c>
      <c r="M23" s="31">
        <v>1.1000000000000001</v>
      </c>
      <c r="N23" s="32">
        <f t="shared" si="15"/>
        <v>1.2222222222222223</v>
      </c>
      <c r="O23" s="33">
        <f t="shared" si="16"/>
        <v>2.4444444444444446</v>
      </c>
      <c r="P23" s="34">
        <f t="shared" si="17"/>
        <v>3.666666666666667</v>
      </c>
      <c r="Q23" s="35">
        <f t="shared" si="18"/>
        <v>4.8888888888888893</v>
      </c>
      <c r="R23" s="36">
        <f t="shared" si="19"/>
        <v>6.1111111111111116</v>
      </c>
      <c r="S23" s="32">
        <f t="shared" si="20"/>
        <v>12.222222222222223</v>
      </c>
      <c r="T23" s="35">
        <f t="shared" si="21"/>
        <v>14.666666666666668</v>
      </c>
      <c r="U23" s="33">
        <f t="shared" si="22"/>
        <v>18.333333333333336</v>
      </c>
      <c r="V23" s="34">
        <f t="shared" si="23"/>
        <v>18.333333333333336</v>
      </c>
      <c r="W23" s="36">
        <f t="shared" si="24"/>
        <v>24.444444444444446</v>
      </c>
      <c r="X23" s="32">
        <f t="shared" si="25"/>
        <v>24.444444444444446</v>
      </c>
      <c r="Y23" s="35">
        <f t="shared" si="26"/>
        <v>30.555555555555557</v>
      </c>
      <c r="Z23" s="33">
        <f t="shared" si="27"/>
        <v>36.666666666666671</v>
      </c>
      <c r="AA23" s="34">
        <f t="shared" si="28"/>
        <v>48.888888888888893</v>
      </c>
      <c r="AB23" s="33">
        <f t="shared" si="29"/>
        <v>58.666666666666671</v>
      </c>
    </row>
    <row r="24" spans="1:28" s="4" customFormat="1" ht="19.5" hidden="1" customHeight="1" x14ac:dyDescent="0.3">
      <c r="A24" s="26">
        <v>22</v>
      </c>
      <c r="B24" s="27" t="s">
        <v>71</v>
      </c>
      <c r="C24" s="28" t="s">
        <v>72</v>
      </c>
      <c r="D24" s="28">
        <v>135</v>
      </c>
      <c r="E24" s="28">
        <v>20</v>
      </c>
      <c r="F24" s="28">
        <v>420</v>
      </c>
      <c r="G24" s="28" t="s">
        <v>73</v>
      </c>
      <c r="H24" s="28" t="s">
        <v>40</v>
      </c>
      <c r="I24" s="29">
        <v>1000</v>
      </c>
      <c r="J24" s="29" t="s">
        <v>15</v>
      </c>
      <c r="K24" s="28" t="s">
        <v>60</v>
      </c>
      <c r="L24" s="30">
        <v>0.154</v>
      </c>
      <c r="M24" s="31">
        <v>0.9</v>
      </c>
      <c r="N24" s="32">
        <f t="shared" si="15"/>
        <v>5.8441558441558445</v>
      </c>
      <c r="O24" s="33">
        <f t="shared" si="16"/>
        <v>11.688311688311689</v>
      </c>
      <c r="P24" s="34">
        <f t="shared" si="17"/>
        <v>17.532467532467535</v>
      </c>
      <c r="Q24" s="35">
        <f t="shared" si="18"/>
        <v>23.376623376623378</v>
      </c>
      <c r="R24" s="36">
        <f t="shared" si="19"/>
        <v>29.220779220779221</v>
      </c>
      <c r="S24" s="32">
        <f t="shared" si="20"/>
        <v>58.441558441558442</v>
      </c>
      <c r="T24" s="35">
        <f t="shared" si="21"/>
        <v>70.129870129870142</v>
      </c>
      <c r="U24" s="33">
        <f t="shared" si="22"/>
        <v>87.662337662337663</v>
      </c>
      <c r="V24" s="34">
        <f t="shared" si="23"/>
        <v>87.662337662337663</v>
      </c>
      <c r="W24" s="36">
        <f t="shared" si="24"/>
        <v>116.88311688311688</v>
      </c>
      <c r="X24" s="32">
        <f t="shared" si="25"/>
        <v>116.88311688311688</v>
      </c>
      <c r="Y24" s="35">
        <f t="shared" si="26"/>
        <v>146.10389610389612</v>
      </c>
      <c r="Z24" s="33">
        <f t="shared" si="27"/>
        <v>175.32467532467533</v>
      </c>
      <c r="AA24" s="34">
        <f t="shared" si="28"/>
        <v>233.76623376623377</v>
      </c>
      <c r="AB24" s="33">
        <f t="shared" si="29"/>
        <v>280.51948051948057</v>
      </c>
    </row>
    <row r="25" spans="1:28" s="4" customFormat="1" ht="19.5" hidden="1" customHeight="1" x14ac:dyDescent="0.3">
      <c r="A25" s="26">
        <v>23</v>
      </c>
      <c r="B25" s="27" t="s">
        <v>74</v>
      </c>
      <c r="C25" s="28" t="s">
        <v>75</v>
      </c>
      <c r="D25" s="28">
        <v>70</v>
      </c>
      <c r="E25" s="28">
        <v>40</v>
      </c>
      <c r="F25" s="28">
        <v>210</v>
      </c>
      <c r="G25" s="28" t="s">
        <v>76</v>
      </c>
      <c r="H25" s="28" t="s">
        <v>40</v>
      </c>
      <c r="I25" s="29">
        <v>3000</v>
      </c>
      <c r="J25" s="29" t="s">
        <v>15</v>
      </c>
      <c r="K25" s="28" t="s">
        <v>60</v>
      </c>
      <c r="L25" s="30">
        <v>0.24</v>
      </c>
      <c r="M25" s="31">
        <v>1.1000000000000001</v>
      </c>
      <c r="N25" s="32">
        <f t="shared" si="15"/>
        <v>4.5833333333333339</v>
      </c>
      <c r="O25" s="33">
        <f t="shared" si="16"/>
        <v>9.1666666666666679</v>
      </c>
      <c r="P25" s="34">
        <f t="shared" si="17"/>
        <v>13.750000000000002</v>
      </c>
      <c r="Q25" s="35">
        <f t="shared" si="18"/>
        <v>18.333333333333336</v>
      </c>
      <c r="R25" s="36">
        <f t="shared" si="19"/>
        <v>22.916666666666671</v>
      </c>
      <c r="S25" s="32">
        <f t="shared" si="20"/>
        <v>45.833333333333343</v>
      </c>
      <c r="T25" s="35">
        <f t="shared" si="21"/>
        <v>55.000000000000007</v>
      </c>
      <c r="U25" s="33">
        <f t="shared" si="22"/>
        <v>68.750000000000014</v>
      </c>
      <c r="V25" s="34">
        <f t="shared" si="23"/>
        <v>68.750000000000014</v>
      </c>
      <c r="W25" s="36">
        <f t="shared" si="24"/>
        <v>91.666666666666686</v>
      </c>
      <c r="X25" s="32">
        <f t="shared" si="25"/>
        <v>91.666666666666686</v>
      </c>
      <c r="Y25" s="35">
        <f t="shared" si="26"/>
        <v>114.58333333333334</v>
      </c>
      <c r="Z25" s="33">
        <f t="shared" si="27"/>
        <v>137.50000000000003</v>
      </c>
      <c r="AA25" s="34">
        <f t="shared" si="28"/>
        <v>183.33333333333337</v>
      </c>
      <c r="AB25" s="33">
        <f t="shared" si="29"/>
        <v>220.00000000000003</v>
      </c>
    </row>
    <row r="26" spans="1:28" s="4" customFormat="1" ht="19.5" hidden="1" customHeight="1" x14ac:dyDescent="0.3">
      <c r="A26" s="26">
        <v>24</v>
      </c>
      <c r="B26" s="27" t="s">
        <v>77</v>
      </c>
      <c r="C26" s="28" t="s">
        <v>72</v>
      </c>
      <c r="D26" s="28">
        <v>135</v>
      </c>
      <c r="E26" s="28">
        <v>20</v>
      </c>
      <c r="F26" s="28">
        <v>1260</v>
      </c>
      <c r="G26" s="28" t="s">
        <v>78</v>
      </c>
      <c r="H26" s="28" t="s">
        <v>40</v>
      </c>
      <c r="I26" s="29">
        <v>1500</v>
      </c>
      <c r="J26" s="29" t="s">
        <v>15</v>
      </c>
      <c r="K26" s="28" t="s">
        <v>60</v>
      </c>
      <c r="L26" s="30">
        <v>0.22500000000000001</v>
      </c>
      <c r="M26" s="31">
        <v>0.9</v>
      </c>
      <c r="N26" s="32">
        <f t="shared" si="15"/>
        <v>4</v>
      </c>
      <c r="O26" s="33">
        <f t="shared" si="16"/>
        <v>8</v>
      </c>
      <c r="P26" s="34">
        <f t="shared" si="17"/>
        <v>12</v>
      </c>
      <c r="Q26" s="35">
        <f t="shared" si="18"/>
        <v>16</v>
      </c>
      <c r="R26" s="36">
        <f t="shared" si="19"/>
        <v>20</v>
      </c>
      <c r="S26" s="32">
        <f t="shared" si="20"/>
        <v>40</v>
      </c>
      <c r="T26" s="35">
        <f t="shared" si="21"/>
        <v>48</v>
      </c>
      <c r="U26" s="33">
        <f t="shared" si="22"/>
        <v>60</v>
      </c>
      <c r="V26" s="34">
        <f t="shared" si="23"/>
        <v>60</v>
      </c>
      <c r="W26" s="36">
        <f t="shared" si="24"/>
        <v>80</v>
      </c>
      <c r="X26" s="32">
        <f t="shared" si="25"/>
        <v>80</v>
      </c>
      <c r="Y26" s="35">
        <f t="shared" si="26"/>
        <v>100</v>
      </c>
      <c r="Z26" s="33">
        <f t="shared" si="27"/>
        <v>120</v>
      </c>
      <c r="AA26" s="34">
        <f t="shared" si="28"/>
        <v>160</v>
      </c>
      <c r="AB26" s="33">
        <f t="shared" si="29"/>
        <v>192</v>
      </c>
    </row>
    <row r="27" spans="1:28" s="4" customFormat="1" ht="19.5" hidden="1" customHeight="1" x14ac:dyDescent="0.3">
      <c r="A27" s="26">
        <v>25</v>
      </c>
      <c r="B27" s="27" t="s">
        <v>79</v>
      </c>
      <c r="C27" s="28" t="s">
        <v>75</v>
      </c>
      <c r="D27" s="28">
        <v>70</v>
      </c>
      <c r="E27" s="28">
        <v>40</v>
      </c>
      <c r="F27" s="28">
        <v>210</v>
      </c>
      <c r="G27" s="28" t="s">
        <v>63</v>
      </c>
      <c r="H27" s="28" t="s">
        <v>40</v>
      </c>
      <c r="I27" s="29">
        <v>3000</v>
      </c>
      <c r="J27" s="29" t="s">
        <v>15</v>
      </c>
      <c r="K27" s="28" t="s">
        <v>60</v>
      </c>
      <c r="L27" s="30">
        <v>0.24</v>
      </c>
      <c r="M27" s="31">
        <v>1.1000000000000001</v>
      </c>
      <c r="N27" s="32">
        <f t="shared" si="15"/>
        <v>4.5833333333333339</v>
      </c>
      <c r="O27" s="33">
        <f t="shared" si="16"/>
        <v>9.1666666666666679</v>
      </c>
      <c r="P27" s="34">
        <f t="shared" si="17"/>
        <v>13.750000000000002</v>
      </c>
      <c r="Q27" s="35">
        <f t="shared" si="18"/>
        <v>18.333333333333336</v>
      </c>
      <c r="R27" s="36">
        <f t="shared" si="19"/>
        <v>22.916666666666671</v>
      </c>
      <c r="S27" s="32">
        <f t="shared" si="20"/>
        <v>45.833333333333343</v>
      </c>
      <c r="T27" s="35">
        <f t="shared" si="21"/>
        <v>55.000000000000007</v>
      </c>
      <c r="U27" s="33">
        <f t="shared" si="22"/>
        <v>68.750000000000014</v>
      </c>
      <c r="V27" s="34">
        <f t="shared" si="23"/>
        <v>68.750000000000014</v>
      </c>
      <c r="W27" s="36">
        <f t="shared" si="24"/>
        <v>91.666666666666686</v>
      </c>
      <c r="X27" s="32">
        <f t="shared" si="25"/>
        <v>91.666666666666686</v>
      </c>
      <c r="Y27" s="35">
        <f t="shared" si="26"/>
        <v>114.58333333333334</v>
      </c>
      <c r="Z27" s="33">
        <f t="shared" si="27"/>
        <v>137.50000000000003</v>
      </c>
      <c r="AA27" s="34">
        <f t="shared" si="28"/>
        <v>183.33333333333337</v>
      </c>
      <c r="AB27" s="33">
        <f t="shared" si="29"/>
        <v>220.00000000000003</v>
      </c>
    </row>
    <row r="28" spans="1:28" s="4" customFormat="1" ht="19.5" hidden="1" customHeight="1" x14ac:dyDescent="0.3">
      <c r="A28" s="26">
        <v>26</v>
      </c>
      <c r="B28" s="27" t="s">
        <v>80</v>
      </c>
      <c r="C28" s="28" t="s">
        <v>72</v>
      </c>
      <c r="D28" s="28">
        <v>135</v>
      </c>
      <c r="E28" s="28">
        <v>20</v>
      </c>
      <c r="F28" s="28">
        <v>420</v>
      </c>
      <c r="G28" s="28" t="s">
        <v>73</v>
      </c>
      <c r="H28" s="28" t="s">
        <v>40</v>
      </c>
      <c r="I28" s="29">
        <v>1500</v>
      </c>
      <c r="J28" s="29" t="s">
        <v>15</v>
      </c>
      <c r="K28" s="28" t="s">
        <v>60</v>
      </c>
      <c r="L28" s="30">
        <v>0.24</v>
      </c>
      <c r="M28" s="31">
        <v>0.9</v>
      </c>
      <c r="N28" s="32">
        <f t="shared" si="15"/>
        <v>3.7500000000000004</v>
      </c>
      <c r="O28" s="33">
        <f t="shared" si="16"/>
        <v>7.5000000000000009</v>
      </c>
      <c r="P28" s="34">
        <f t="shared" si="17"/>
        <v>11.250000000000002</v>
      </c>
      <c r="Q28" s="35">
        <f t="shared" si="18"/>
        <v>15.000000000000002</v>
      </c>
      <c r="R28" s="36">
        <f t="shared" si="19"/>
        <v>18.750000000000004</v>
      </c>
      <c r="S28" s="32">
        <f t="shared" si="20"/>
        <v>37.500000000000007</v>
      </c>
      <c r="T28" s="35">
        <f t="shared" si="21"/>
        <v>45.000000000000007</v>
      </c>
      <c r="U28" s="33">
        <f t="shared" si="22"/>
        <v>56.250000000000007</v>
      </c>
      <c r="V28" s="34">
        <f t="shared" si="23"/>
        <v>56.250000000000007</v>
      </c>
      <c r="W28" s="36">
        <f t="shared" si="24"/>
        <v>75.000000000000014</v>
      </c>
      <c r="X28" s="32">
        <f t="shared" si="25"/>
        <v>75.000000000000014</v>
      </c>
      <c r="Y28" s="35">
        <f t="shared" si="26"/>
        <v>93.750000000000014</v>
      </c>
      <c r="Z28" s="33">
        <f t="shared" si="27"/>
        <v>112.50000000000001</v>
      </c>
      <c r="AA28" s="34">
        <f t="shared" si="28"/>
        <v>150.00000000000003</v>
      </c>
      <c r="AB28" s="33">
        <f t="shared" si="29"/>
        <v>180.00000000000003</v>
      </c>
    </row>
    <row r="29" spans="1:28" s="4" customFormat="1" ht="19.5" hidden="1" customHeight="1" x14ac:dyDescent="0.3">
      <c r="A29" s="26">
        <v>27</v>
      </c>
      <c r="B29" s="27" t="s">
        <v>81</v>
      </c>
      <c r="C29" s="28" t="s">
        <v>82</v>
      </c>
      <c r="D29" s="28">
        <v>270</v>
      </c>
      <c r="E29" s="28">
        <v>10</v>
      </c>
      <c r="F29" s="28">
        <v>2520</v>
      </c>
      <c r="G29" s="28" t="s">
        <v>83</v>
      </c>
      <c r="H29" s="28" t="s">
        <v>40</v>
      </c>
      <c r="I29" s="29">
        <v>1000</v>
      </c>
      <c r="J29" s="29" t="s">
        <v>15</v>
      </c>
      <c r="K29" s="28" t="s">
        <v>60</v>
      </c>
      <c r="L29" s="30">
        <v>0.29499999999999998</v>
      </c>
      <c r="M29" s="31">
        <v>0.8</v>
      </c>
      <c r="N29" s="32">
        <f t="shared" si="15"/>
        <v>2.7118644067796613</v>
      </c>
      <c r="O29" s="33">
        <f t="shared" si="16"/>
        <v>5.4237288135593227</v>
      </c>
      <c r="P29" s="34">
        <f t="shared" si="17"/>
        <v>8.1355932203389845</v>
      </c>
      <c r="Q29" s="35">
        <f t="shared" si="18"/>
        <v>10.847457627118645</v>
      </c>
      <c r="R29" s="36">
        <f t="shared" si="19"/>
        <v>13.559322033898306</v>
      </c>
      <c r="S29" s="32">
        <f t="shared" si="20"/>
        <v>27.118644067796613</v>
      </c>
      <c r="T29" s="35">
        <f t="shared" si="21"/>
        <v>32.542372881355938</v>
      </c>
      <c r="U29" s="33">
        <f t="shared" si="22"/>
        <v>40.677966101694921</v>
      </c>
      <c r="V29" s="34">
        <f t="shared" si="23"/>
        <v>40.677966101694921</v>
      </c>
      <c r="W29" s="36">
        <f t="shared" si="24"/>
        <v>54.237288135593225</v>
      </c>
      <c r="X29" s="32">
        <f t="shared" si="25"/>
        <v>54.237288135593225</v>
      </c>
      <c r="Y29" s="35">
        <f t="shared" si="26"/>
        <v>67.79661016949153</v>
      </c>
      <c r="Z29" s="33">
        <f t="shared" si="27"/>
        <v>81.355932203389841</v>
      </c>
      <c r="AA29" s="34">
        <f t="shared" si="28"/>
        <v>108.47457627118645</v>
      </c>
      <c r="AB29" s="33">
        <f t="shared" si="29"/>
        <v>130.16949152542375</v>
      </c>
    </row>
    <row r="30" spans="1:28" s="4" customFormat="1" ht="19.5" hidden="1" customHeight="1" x14ac:dyDescent="0.3">
      <c r="A30" s="26">
        <v>28</v>
      </c>
      <c r="B30" s="27" t="s">
        <v>84</v>
      </c>
      <c r="C30" s="28" t="s">
        <v>75</v>
      </c>
      <c r="D30" s="28">
        <v>70</v>
      </c>
      <c r="E30" s="28">
        <v>40</v>
      </c>
      <c r="F30" s="28">
        <v>630</v>
      </c>
      <c r="G30" s="28" t="s">
        <v>76</v>
      </c>
      <c r="H30" s="28" t="s">
        <v>40</v>
      </c>
      <c r="I30" s="29">
        <v>6500</v>
      </c>
      <c r="J30" s="29" t="s">
        <v>15</v>
      </c>
      <c r="K30" s="28" t="s">
        <v>42</v>
      </c>
      <c r="L30" s="30">
        <v>0.49</v>
      </c>
      <c r="M30" s="31">
        <v>1.1000000000000001</v>
      </c>
      <c r="N30" s="32">
        <f t="shared" si="15"/>
        <v>2.2448979591836737</v>
      </c>
      <c r="O30" s="33">
        <f t="shared" si="16"/>
        <v>4.4897959183673475</v>
      </c>
      <c r="P30" s="34">
        <f t="shared" si="17"/>
        <v>6.7346938775510212</v>
      </c>
      <c r="Q30" s="35">
        <f t="shared" si="18"/>
        <v>8.979591836734695</v>
      </c>
      <c r="R30" s="36">
        <f t="shared" si="19"/>
        <v>11.22448979591837</v>
      </c>
      <c r="S30" s="32">
        <f t="shared" si="20"/>
        <v>22.448979591836739</v>
      </c>
      <c r="T30" s="35">
        <f t="shared" si="21"/>
        <v>26.938775510204085</v>
      </c>
      <c r="U30" s="33">
        <f t="shared" si="22"/>
        <v>33.673469387755105</v>
      </c>
      <c r="V30" s="34">
        <f t="shared" si="23"/>
        <v>33.673469387755105</v>
      </c>
      <c r="W30" s="36">
        <f t="shared" si="24"/>
        <v>44.897959183673478</v>
      </c>
      <c r="X30" s="32">
        <f t="shared" si="25"/>
        <v>44.897959183673478</v>
      </c>
      <c r="Y30" s="35">
        <f t="shared" si="26"/>
        <v>56.122448979591844</v>
      </c>
      <c r="Z30" s="33">
        <f t="shared" si="27"/>
        <v>67.34693877551021</v>
      </c>
      <c r="AA30" s="34">
        <f t="shared" si="28"/>
        <v>89.795918367346957</v>
      </c>
      <c r="AB30" s="33">
        <f t="shared" si="29"/>
        <v>107.75510204081634</v>
      </c>
    </row>
    <row r="31" spans="1:28" s="4" customFormat="1" ht="19.5" hidden="1" customHeight="1" x14ac:dyDescent="0.3">
      <c r="A31" s="26">
        <v>29</v>
      </c>
      <c r="B31" s="27" t="s">
        <v>85</v>
      </c>
      <c r="C31" s="28" t="s">
        <v>72</v>
      </c>
      <c r="D31" s="28">
        <v>135</v>
      </c>
      <c r="E31" s="28">
        <v>20</v>
      </c>
      <c r="F31" s="28">
        <v>420</v>
      </c>
      <c r="G31" s="28" t="s">
        <v>73</v>
      </c>
      <c r="H31" s="28" t="s">
        <v>40</v>
      </c>
      <c r="I31" s="29">
        <v>1000</v>
      </c>
      <c r="J31" s="29" t="s">
        <v>15</v>
      </c>
      <c r="K31" s="28" t="s">
        <v>60</v>
      </c>
      <c r="L31" s="30">
        <v>0.158</v>
      </c>
      <c r="M31" s="31">
        <v>0.9</v>
      </c>
      <c r="N31" s="32">
        <f t="shared" si="15"/>
        <v>5.6962025316455698</v>
      </c>
      <c r="O31" s="33">
        <f t="shared" si="16"/>
        <v>11.39240506329114</v>
      </c>
      <c r="P31" s="34">
        <f t="shared" si="17"/>
        <v>17.088607594936711</v>
      </c>
      <c r="Q31" s="35">
        <f t="shared" si="18"/>
        <v>22.784810126582279</v>
      </c>
      <c r="R31" s="36">
        <f t="shared" si="19"/>
        <v>28.481012658227847</v>
      </c>
      <c r="S31" s="32">
        <f t="shared" si="20"/>
        <v>56.962025316455694</v>
      </c>
      <c r="T31" s="35">
        <f t="shared" si="21"/>
        <v>68.354430379746844</v>
      </c>
      <c r="U31" s="33">
        <f t="shared" si="22"/>
        <v>85.443037974683548</v>
      </c>
      <c r="V31" s="34">
        <f t="shared" si="23"/>
        <v>85.443037974683548</v>
      </c>
      <c r="W31" s="36">
        <f t="shared" si="24"/>
        <v>113.92405063291139</v>
      </c>
      <c r="X31" s="32">
        <f t="shared" si="25"/>
        <v>113.92405063291139</v>
      </c>
      <c r="Y31" s="35">
        <f t="shared" si="26"/>
        <v>142.40506329113924</v>
      </c>
      <c r="Z31" s="33">
        <f t="shared" si="27"/>
        <v>170.8860759493671</v>
      </c>
      <c r="AA31" s="34">
        <f t="shared" si="28"/>
        <v>227.84810126582278</v>
      </c>
      <c r="AB31" s="33">
        <f t="shared" si="29"/>
        <v>273.41772151898738</v>
      </c>
    </row>
    <row r="32" spans="1:28" s="4" customFormat="1" ht="19.5" hidden="1" customHeight="1" x14ac:dyDescent="0.3">
      <c r="A32" s="26">
        <v>30</v>
      </c>
      <c r="B32" s="27" t="s">
        <v>86</v>
      </c>
      <c r="C32" s="28" t="s">
        <v>87</v>
      </c>
      <c r="D32" s="28">
        <v>90</v>
      </c>
      <c r="E32" s="28">
        <v>30</v>
      </c>
      <c r="F32" s="28">
        <v>750</v>
      </c>
      <c r="G32" s="28" t="s">
        <v>88</v>
      </c>
      <c r="H32" s="28" t="s">
        <v>40</v>
      </c>
      <c r="I32" s="29">
        <v>2500</v>
      </c>
      <c r="J32" s="29" t="s">
        <v>15</v>
      </c>
      <c r="K32" s="28" t="s">
        <v>60</v>
      </c>
      <c r="L32" s="30">
        <v>0.223</v>
      </c>
      <c r="M32" s="31">
        <v>1.1000000000000001</v>
      </c>
      <c r="N32" s="32">
        <f t="shared" si="15"/>
        <v>4.9327354260089686</v>
      </c>
      <c r="O32" s="33">
        <f t="shared" si="16"/>
        <v>9.8654708520179373</v>
      </c>
      <c r="P32" s="34">
        <f t="shared" si="17"/>
        <v>14.798206278026907</v>
      </c>
      <c r="Q32" s="35">
        <f t="shared" si="18"/>
        <v>19.730941704035875</v>
      </c>
      <c r="R32" s="36">
        <f t="shared" si="19"/>
        <v>24.663677130044842</v>
      </c>
      <c r="S32" s="32">
        <f t="shared" si="20"/>
        <v>49.327354260089685</v>
      </c>
      <c r="T32" s="35">
        <f t="shared" si="21"/>
        <v>59.192825112107627</v>
      </c>
      <c r="U32" s="33">
        <f t="shared" si="22"/>
        <v>73.991031390134523</v>
      </c>
      <c r="V32" s="34">
        <f t="shared" si="23"/>
        <v>73.991031390134523</v>
      </c>
      <c r="W32" s="36">
        <f t="shared" si="24"/>
        <v>98.654708520179369</v>
      </c>
      <c r="X32" s="32">
        <f t="shared" si="25"/>
        <v>98.654708520179369</v>
      </c>
      <c r="Y32" s="35">
        <f t="shared" si="26"/>
        <v>123.31838565022422</v>
      </c>
      <c r="Z32" s="33">
        <f t="shared" si="27"/>
        <v>147.98206278026905</v>
      </c>
      <c r="AA32" s="34">
        <f t="shared" si="28"/>
        <v>197.30941704035874</v>
      </c>
      <c r="AB32" s="33">
        <f t="shared" si="29"/>
        <v>236.77130044843051</v>
      </c>
    </row>
    <row r="33" spans="1:28" s="4" customFormat="1" ht="19.5" hidden="1" customHeight="1" x14ac:dyDescent="0.3">
      <c r="A33" s="26">
        <v>31</v>
      </c>
      <c r="B33" s="27" t="s">
        <v>89</v>
      </c>
      <c r="C33" s="28" t="s">
        <v>44</v>
      </c>
      <c r="D33" s="28">
        <v>80</v>
      </c>
      <c r="E33" s="28">
        <v>60</v>
      </c>
      <c r="F33" s="28">
        <v>450</v>
      </c>
      <c r="G33" s="28" t="s">
        <v>90</v>
      </c>
      <c r="H33" s="28" t="s">
        <v>40</v>
      </c>
      <c r="I33" s="29">
        <v>5000</v>
      </c>
      <c r="J33" s="29" t="s">
        <v>15</v>
      </c>
      <c r="K33" s="28" t="s">
        <v>60</v>
      </c>
      <c r="L33" s="30">
        <v>0.25</v>
      </c>
      <c r="M33" s="31">
        <v>1.1000000000000001</v>
      </c>
      <c r="N33" s="32">
        <f t="shared" si="15"/>
        <v>4.4000000000000004</v>
      </c>
      <c r="O33" s="33">
        <f t="shared" si="16"/>
        <v>8.8000000000000007</v>
      </c>
      <c r="P33" s="34">
        <f t="shared" si="17"/>
        <v>13.200000000000001</v>
      </c>
      <c r="Q33" s="35">
        <f t="shared" si="18"/>
        <v>17.600000000000001</v>
      </c>
      <c r="R33" s="36">
        <f t="shared" si="19"/>
        <v>22</v>
      </c>
      <c r="S33" s="32">
        <f t="shared" si="20"/>
        <v>44</v>
      </c>
      <c r="T33" s="35">
        <f t="shared" si="21"/>
        <v>52.800000000000004</v>
      </c>
      <c r="U33" s="33">
        <f t="shared" si="22"/>
        <v>66</v>
      </c>
      <c r="V33" s="34">
        <f t="shared" si="23"/>
        <v>66</v>
      </c>
      <c r="W33" s="36">
        <f t="shared" si="24"/>
        <v>88</v>
      </c>
      <c r="X33" s="32">
        <f t="shared" si="25"/>
        <v>88</v>
      </c>
      <c r="Y33" s="35">
        <f t="shared" si="26"/>
        <v>110.00000000000001</v>
      </c>
      <c r="Z33" s="33">
        <f t="shared" si="27"/>
        <v>132</v>
      </c>
      <c r="AA33" s="34">
        <f t="shared" si="28"/>
        <v>176</v>
      </c>
      <c r="AB33" s="33">
        <f t="shared" si="29"/>
        <v>211.20000000000002</v>
      </c>
    </row>
    <row r="34" spans="1:28" s="4" customFormat="1" ht="19.5" hidden="1" customHeight="1" x14ac:dyDescent="0.3">
      <c r="A34" s="26">
        <v>32</v>
      </c>
      <c r="B34" s="27" t="s">
        <v>91</v>
      </c>
      <c r="C34" s="28" t="s">
        <v>72</v>
      </c>
      <c r="D34" s="28">
        <v>135</v>
      </c>
      <c r="E34" s="28">
        <v>20</v>
      </c>
      <c r="F34" s="28">
        <v>1260</v>
      </c>
      <c r="G34" s="28" t="s">
        <v>78</v>
      </c>
      <c r="H34" s="28" t="s">
        <v>40</v>
      </c>
      <c r="I34" s="29">
        <v>1500</v>
      </c>
      <c r="J34" s="29" t="s">
        <v>15</v>
      </c>
      <c r="K34" s="28" t="s">
        <v>60</v>
      </c>
      <c r="L34" s="30">
        <v>0.23</v>
      </c>
      <c r="M34" s="31">
        <v>0.9</v>
      </c>
      <c r="N34" s="32">
        <f t="shared" si="15"/>
        <v>3.9130434782608696</v>
      </c>
      <c r="O34" s="33">
        <f t="shared" si="16"/>
        <v>7.8260869565217392</v>
      </c>
      <c r="P34" s="34">
        <f t="shared" si="17"/>
        <v>11.739130434782609</v>
      </c>
      <c r="Q34" s="35">
        <f t="shared" si="18"/>
        <v>15.652173913043478</v>
      </c>
      <c r="R34" s="36">
        <f t="shared" si="19"/>
        <v>19.565217391304348</v>
      </c>
      <c r="S34" s="32">
        <f t="shared" si="20"/>
        <v>39.130434782608695</v>
      </c>
      <c r="T34" s="35">
        <f t="shared" si="21"/>
        <v>46.956521739130437</v>
      </c>
      <c r="U34" s="33">
        <f t="shared" si="22"/>
        <v>58.695652173913047</v>
      </c>
      <c r="V34" s="34">
        <f t="shared" si="23"/>
        <v>58.695652173913047</v>
      </c>
      <c r="W34" s="36">
        <f t="shared" si="24"/>
        <v>78.260869565217391</v>
      </c>
      <c r="X34" s="32">
        <f t="shared" si="25"/>
        <v>78.260869565217391</v>
      </c>
      <c r="Y34" s="35">
        <f t="shared" si="26"/>
        <v>97.826086956521735</v>
      </c>
      <c r="Z34" s="33">
        <f t="shared" si="27"/>
        <v>117.39130434782609</v>
      </c>
      <c r="AA34" s="34">
        <f t="shared" si="28"/>
        <v>156.52173913043478</v>
      </c>
      <c r="AB34" s="33">
        <f t="shared" si="29"/>
        <v>187.82608695652175</v>
      </c>
    </row>
    <row r="35" spans="1:28" s="4" customFormat="1" ht="19.5" hidden="1" customHeight="1" x14ac:dyDescent="0.3">
      <c r="A35" s="26">
        <v>33</v>
      </c>
      <c r="B35" s="27" t="s">
        <v>92</v>
      </c>
      <c r="C35" s="28" t="s">
        <v>75</v>
      </c>
      <c r="D35" s="28">
        <v>70</v>
      </c>
      <c r="E35" s="28">
        <v>40</v>
      </c>
      <c r="F35" s="28">
        <v>630</v>
      </c>
      <c r="G35" s="28" t="s">
        <v>76</v>
      </c>
      <c r="H35" s="28" t="s">
        <v>40</v>
      </c>
      <c r="I35" s="29">
        <v>3000</v>
      </c>
      <c r="J35" s="29" t="s">
        <v>15</v>
      </c>
      <c r="K35" s="28" t="s">
        <v>60</v>
      </c>
      <c r="L35" s="30">
        <v>0.23</v>
      </c>
      <c r="M35" s="31">
        <v>1.1000000000000001</v>
      </c>
      <c r="N35" s="32">
        <f t="shared" si="15"/>
        <v>4.7826086956521738</v>
      </c>
      <c r="O35" s="33">
        <f t="shared" si="16"/>
        <v>9.5652173913043477</v>
      </c>
      <c r="P35" s="34">
        <f t="shared" si="17"/>
        <v>14.347826086956522</v>
      </c>
      <c r="Q35" s="35">
        <f t="shared" si="18"/>
        <v>19.130434782608695</v>
      </c>
      <c r="R35" s="36">
        <f t="shared" si="19"/>
        <v>23.913043478260867</v>
      </c>
      <c r="S35" s="32">
        <f t="shared" si="20"/>
        <v>47.826086956521735</v>
      </c>
      <c r="T35" s="35">
        <f t="shared" si="21"/>
        <v>57.391304347826086</v>
      </c>
      <c r="U35" s="33">
        <f t="shared" si="22"/>
        <v>71.739130434782609</v>
      </c>
      <c r="V35" s="34">
        <f t="shared" si="23"/>
        <v>71.739130434782609</v>
      </c>
      <c r="W35" s="36">
        <f t="shared" si="24"/>
        <v>95.65217391304347</v>
      </c>
      <c r="X35" s="32">
        <f t="shared" si="25"/>
        <v>95.65217391304347</v>
      </c>
      <c r="Y35" s="35">
        <f t="shared" si="26"/>
        <v>119.56521739130434</v>
      </c>
      <c r="Z35" s="33">
        <f t="shared" si="27"/>
        <v>143.47826086956522</v>
      </c>
      <c r="AA35" s="34">
        <f t="shared" si="28"/>
        <v>191.30434782608694</v>
      </c>
      <c r="AB35" s="33">
        <f t="shared" si="29"/>
        <v>229.56521739130434</v>
      </c>
    </row>
    <row r="36" spans="1:28" s="4" customFormat="1" ht="19.5" hidden="1" customHeight="1" thickBot="1" x14ac:dyDescent="0.35">
      <c r="A36" s="38">
        <v>34</v>
      </c>
      <c r="B36" s="39" t="s">
        <v>93</v>
      </c>
      <c r="C36" s="40" t="s">
        <v>94</v>
      </c>
      <c r="D36" s="40">
        <v>330</v>
      </c>
      <c r="E36" s="40">
        <v>8</v>
      </c>
      <c r="F36" s="40">
        <v>3000</v>
      </c>
      <c r="G36" s="40" t="s">
        <v>83</v>
      </c>
      <c r="H36" s="40" t="s">
        <v>40</v>
      </c>
      <c r="I36" s="41">
        <v>500</v>
      </c>
      <c r="J36" s="41" t="s">
        <v>15</v>
      </c>
      <c r="K36" s="40" t="s">
        <v>60</v>
      </c>
      <c r="L36" s="42">
        <v>0.29499999999999998</v>
      </c>
      <c r="M36" s="43">
        <v>0.75</v>
      </c>
      <c r="N36" s="44">
        <f t="shared" si="15"/>
        <v>2.5423728813559325</v>
      </c>
      <c r="O36" s="45">
        <f t="shared" si="16"/>
        <v>5.0847457627118651</v>
      </c>
      <c r="P36" s="46">
        <f t="shared" si="17"/>
        <v>7.6271186440677976</v>
      </c>
      <c r="Q36" s="47">
        <f t="shared" si="18"/>
        <v>10.16949152542373</v>
      </c>
      <c r="R36" s="48">
        <f t="shared" si="19"/>
        <v>12.711864406779663</v>
      </c>
      <c r="S36" s="44">
        <f t="shared" si="20"/>
        <v>25.423728813559325</v>
      </c>
      <c r="T36" s="47">
        <f t="shared" si="21"/>
        <v>30.50847457627119</v>
      </c>
      <c r="U36" s="45">
        <f t="shared" si="22"/>
        <v>38.13559322033899</v>
      </c>
      <c r="V36" s="46">
        <f t="shared" si="23"/>
        <v>38.13559322033899</v>
      </c>
      <c r="W36" s="48">
        <f t="shared" si="24"/>
        <v>50.847457627118651</v>
      </c>
      <c r="X36" s="44">
        <f t="shared" si="25"/>
        <v>50.847457627118651</v>
      </c>
      <c r="Y36" s="47">
        <f t="shared" si="26"/>
        <v>63.559322033898312</v>
      </c>
      <c r="Z36" s="45">
        <f t="shared" si="27"/>
        <v>76.27118644067798</v>
      </c>
      <c r="AA36" s="46">
        <f t="shared" si="28"/>
        <v>101.6949152542373</v>
      </c>
      <c r="AB36" s="45">
        <f t="shared" si="29"/>
        <v>122.03389830508476</v>
      </c>
    </row>
    <row r="37" spans="1:28" s="4" customFormat="1" ht="19.5" hidden="1" customHeight="1" x14ac:dyDescent="0.3">
      <c r="A37" s="15">
        <v>35</v>
      </c>
      <c r="B37" s="16" t="s">
        <v>95</v>
      </c>
      <c r="C37" s="17" t="s">
        <v>96</v>
      </c>
      <c r="D37" s="17">
        <v>50</v>
      </c>
      <c r="E37" s="17">
        <v>60</v>
      </c>
      <c r="F37" s="17">
        <v>210</v>
      </c>
      <c r="G37" s="17" t="s">
        <v>98</v>
      </c>
      <c r="H37" s="17" t="s">
        <v>97</v>
      </c>
      <c r="I37" s="18">
        <v>1000</v>
      </c>
      <c r="J37" s="18" t="s">
        <v>15</v>
      </c>
      <c r="K37" s="17" t="s">
        <v>45</v>
      </c>
      <c r="L37" s="19">
        <v>4.9000000000000002E-2</v>
      </c>
      <c r="M37" s="20">
        <v>1</v>
      </c>
      <c r="N37" s="49">
        <f t="shared" si="15"/>
        <v>20.408163265306122</v>
      </c>
      <c r="O37" s="50">
        <f t="shared" si="16"/>
        <v>40.816326530612244</v>
      </c>
      <c r="P37" s="51">
        <f t="shared" si="17"/>
        <v>61.224489795918366</v>
      </c>
      <c r="Q37" s="52">
        <f t="shared" si="18"/>
        <v>81.632653061224488</v>
      </c>
      <c r="R37" s="53">
        <f t="shared" si="19"/>
        <v>102.0408163265306</v>
      </c>
      <c r="S37" s="49">
        <f t="shared" si="20"/>
        <v>204.08163265306121</v>
      </c>
      <c r="T37" s="52">
        <f t="shared" si="21"/>
        <v>244.89795918367346</v>
      </c>
      <c r="U37" s="50">
        <f t="shared" si="22"/>
        <v>306.12244897959181</v>
      </c>
      <c r="V37" s="51">
        <f t="shared" si="23"/>
        <v>306.12244897959181</v>
      </c>
      <c r="W37" s="53">
        <f t="shared" si="24"/>
        <v>408.16326530612241</v>
      </c>
      <c r="X37" s="49">
        <f t="shared" si="25"/>
        <v>408.16326530612241</v>
      </c>
      <c r="Y37" s="52">
        <f t="shared" si="26"/>
        <v>510.20408163265307</v>
      </c>
      <c r="Z37" s="50">
        <f t="shared" si="27"/>
        <v>612.24489795918362</v>
      </c>
      <c r="AA37" s="51">
        <f t="shared" si="28"/>
        <v>816.32653061224482</v>
      </c>
      <c r="AB37" s="50">
        <f t="shared" si="29"/>
        <v>979.59183673469386</v>
      </c>
    </row>
    <row r="38" spans="1:28" s="4" customFormat="1" ht="19.5" hidden="1" customHeight="1" x14ac:dyDescent="0.3">
      <c r="A38" s="26">
        <v>36</v>
      </c>
      <c r="B38" s="27" t="s">
        <v>99</v>
      </c>
      <c r="C38" s="28" t="s">
        <v>100</v>
      </c>
      <c r="D38" s="28">
        <v>50</v>
      </c>
      <c r="E38" s="28">
        <v>60</v>
      </c>
      <c r="F38" s="28">
        <v>210</v>
      </c>
      <c r="G38" s="28" t="s">
        <v>98</v>
      </c>
      <c r="H38" s="28" t="s">
        <v>97</v>
      </c>
      <c r="I38" s="29">
        <v>2000</v>
      </c>
      <c r="J38" s="29" t="s">
        <v>15</v>
      </c>
      <c r="K38" s="28" t="s">
        <v>45</v>
      </c>
      <c r="L38" s="30">
        <v>9.8000000000000004E-2</v>
      </c>
      <c r="M38" s="31">
        <v>1</v>
      </c>
      <c r="N38" s="32">
        <f t="shared" si="15"/>
        <v>10.204081632653061</v>
      </c>
      <c r="O38" s="33">
        <f t="shared" si="16"/>
        <v>20.408163265306122</v>
      </c>
      <c r="P38" s="34">
        <f t="shared" si="17"/>
        <v>30.612244897959183</v>
      </c>
      <c r="Q38" s="35">
        <f t="shared" si="18"/>
        <v>40.816326530612244</v>
      </c>
      <c r="R38" s="36">
        <f t="shared" si="19"/>
        <v>51.020408163265301</v>
      </c>
      <c r="S38" s="32">
        <f t="shared" si="20"/>
        <v>102.0408163265306</v>
      </c>
      <c r="T38" s="35">
        <f t="shared" si="21"/>
        <v>122.44897959183673</v>
      </c>
      <c r="U38" s="33">
        <f t="shared" si="22"/>
        <v>153.0612244897959</v>
      </c>
      <c r="V38" s="34">
        <f t="shared" si="23"/>
        <v>153.0612244897959</v>
      </c>
      <c r="W38" s="36">
        <f t="shared" si="24"/>
        <v>204.08163265306121</v>
      </c>
      <c r="X38" s="32">
        <f t="shared" si="25"/>
        <v>204.08163265306121</v>
      </c>
      <c r="Y38" s="35">
        <f t="shared" si="26"/>
        <v>255.10204081632654</v>
      </c>
      <c r="Z38" s="33">
        <f t="shared" si="27"/>
        <v>306.12244897959181</v>
      </c>
      <c r="AA38" s="34">
        <f t="shared" si="28"/>
        <v>408.16326530612241</v>
      </c>
      <c r="AB38" s="33">
        <f t="shared" si="29"/>
        <v>489.79591836734693</v>
      </c>
    </row>
    <row r="39" spans="1:28" s="4" customFormat="1" ht="19.5" hidden="1" customHeight="1" x14ac:dyDescent="0.3">
      <c r="A39" s="26">
        <v>37</v>
      </c>
      <c r="B39" s="27" t="s">
        <v>101</v>
      </c>
      <c r="C39" s="28" t="s">
        <v>96</v>
      </c>
      <c r="D39" s="28">
        <v>50</v>
      </c>
      <c r="E39" s="28">
        <v>60</v>
      </c>
      <c r="F39" s="28">
        <v>420</v>
      </c>
      <c r="G39" s="28" t="s">
        <v>98</v>
      </c>
      <c r="H39" s="28" t="s">
        <v>97</v>
      </c>
      <c r="I39" s="29">
        <v>500</v>
      </c>
      <c r="J39" s="29" t="s">
        <v>15</v>
      </c>
      <c r="K39" s="28" t="s">
        <v>102</v>
      </c>
      <c r="L39" s="30">
        <v>2.5000000000000001E-2</v>
      </c>
      <c r="M39" s="31">
        <v>1</v>
      </c>
      <c r="N39" s="32">
        <f t="shared" si="15"/>
        <v>40</v>
      </c>
      <c r="O39" s="33">
        <f t="shared" si="16"/>
        <v>80</v>
      </c>
      <c r="P39" s="34">
        <f t="shared" si="17"/>
        <v>120</v>
      </c>
      <c r="Q39" s="35">
        <f t="shared" si="18"/>
        <v>160</v>
      </c>
      <c r="R39" s="36">
        <f t="shared" si="19"/>
        <v>200</v>
      </c>
      <c r="S39" s="32">
        <f t="shared" si="20"/>
        <v>400</v>
      </c>
      <c r="T39" s="35">
        <f t="shared" si="21"/>
        <v>480</v>
      </c>
      <c r="U39" s="33">
        <f t="shared" si="22"/>
        <v>600</v>
      </c>
      <c r="V39" s="34">
        <f t="shared" si="23"/>
        <v>600</v>
      </c>
      <c r="W39" s="36">
        <f t="shared" si="24"/>
        <v>800</v>
      </c>
      <c r="X39" s="32">
        <f t="shared" si="25"/>
        <v>800</v>
      </c>
      <c r="Y39" s="35">
        <f t="shared" si="26"/>
        <v>1000</v>
      </c>
      <c r="Z39" s="33">
        <f t="shared" si="27"/>
        <v>1200</v>
      </c>
      <c r="AA39" s="34">
        <f t="shared" si="28"/>
        <v>1600</v>
      </c>
      <c r="AB39" s="33">
        <f t="shared" si="29"/>
        <v>1920</v>
      </c>
    </row>
    <row r="40" spans="1:28" s="4" customFormat="1" ht="19.5" hidden="1" customHeight="1" x14ac:dyDescent="0.3">
      <c r="A40" s="26">
        <v>38</v>
      </c>
      <c r="B40" s="27" t="s">
        <v>103</v>
      </c>
      <c r="C40" s="28" t="s">
        <v>104</v>
      </c>
      <c r="D40" s="28">
        <v>70</v>
      </c>
      <c r="E40" s="28">
        <v>40</v>
      </c>
      <c r="F40" s="28">
        <v>210</v>
      </c>
      <c r="G40" s="28" t="s">
        <v>105</v>
      </c>
      <c r="H40" s="28" t="s">
        <v>97</v>
      </c>
      <c r="I40" s="29">
        <v>500</v>
      </c>
      <c r="J40" s="29" t="s">
        <v>15</v>
      </c>
      <c r="K40" s="28" t="s">
        <v>68</v>
      </c>
      <c r="L40" s="30">
        <v>3.7999999999999999E-2</v>
      </c>
      <c r="M40" s="31">
        <v>0.9</v>
      </c>
      <c r="N40" s="32">
        <f t="shared" si="15"/>
        <v>23.684210526315791</v>
      </c>
      <c r="O40" s="33">
        <f t="shared" si="16"/>
        <v>47.368421052631582</v>
      </c>
      <c r="P40" s="34">
        <f t="shared" si="17"/>
        <v>71.05263157894737</v>
      </c>
      <c r="Q40" s="35">
        <f t="shared" si="18"/>
        <v>94.736842105263165</v>
      </c>
      <c r="R40" s="36">
        <f t="shared" si="19"/>
        <v>118.42105263157896</v>
      </c>
      <c r="S40" s="32">
        <f t="shared" si="20"/>
        <v>236.84210526315792</v>
      </c>
      <c r="T40" s="35">
        <f t="shared" si="21"/>
        <v>284.21052631578948</v>
      </c>
      <c r="U40" s="33">
        <f t="shared" si="22"/>
        <v>355.26315789473688</v>
      </c>
      <c r="V40" s="34">
        <f t="shared" si="23"/>
        <v>355.26315789473688</v>
      </c>
      <c r="W40" s="36">
        <f t="shared" si="24"/>
        <v>473.68421052631584</v>
      </c>
      <c r="X40" s="32">
        <f t="shared" si="25"/>
        <v>473.68421052631584</v>
      </c>
      <c r="Y40" s="35">
        <f t="shared" si="26"/>
        <v>592.1052631578948</v>
      </c>
      <c r="Z40" s="33">
        <f t="shared" si="27"/>
        <v>710.52631578947376</v>
      </c>
      <c r="AA40" s="34">
        <f t="shared" si="28"/>
        <v>947.36842105263167</v>
      </c>
      <c r="AB40" s="33">
        <f t="shared" si="29"/>
        <v>1136.8421052631579</v>
      </c>
    </row>
    <row r="41" spans="1:28" s="4" customFormat="1" ht="19.5" hidden="1" customHeight="1" x14ac:dyDescent="0.3">
      <c r="A41" s="26">
        <v>39</v>
      </c>
      <c r="B41" s="27" t="s">
        <v>106</v>
      </c>
      <c r="C41" s="28" t="s">
        <v>107</v>
      </c>
      <c r="D41" s="28">
        <v>70</v>
      </c>
      <c r="E41" s="28">
        <v>40</v>
      </c>
      <c r="F41" s="28">
        <v>210</v>
      </c>
      <c r="G41" s="28" t="s">
        <v>105</v>
      </c>
      <c r="H41" s="28" t="s">
        <v>97</v>
      </c>
      <c r="I41" s="29">
        <v>1500</v>
      </c>
      <c r="J41" s="29" t="s">
        <v>15</v>
      </c>
      <c r="K41" s="28" t="s">
        <v>45</v>
      </c>
      <c r="L41" s="30">
        <v>0.114</v>
      </c>
      <c r="M41" s="31">
        <v>0.9</v>
      </c>
      <c r="N41" s="32">
        <f t="shared" si="15"/>
        <v>7.8947368421052628</v>
      </c>
      <c r="O41" s="33">
        <f t="shared" si="16"/>
        <v>15.789473684210526</v>
      </c>
      <c r="P41" s="34">
        <f t="shared" si="17"/>
        <v>23.684210526315788</v>
      </c>
      <c r="Q41" s="35">
        <f t="shared" si="18"/>
        <v>31.578947368421051</v>
      </c>
      <c r="R41" s="36">
        <f t="shared" si="19"/>
        <v>39.473684210526315</v>
      </c>
      <c r="S41" s="32">
        <f t="shared" si="20"/>
        <v>78.94736842105263</v>
      </c>
      <c r="T41" s="35">
        <f t="shared" si="21"/>
        <v>94.73684210526315</v>
      </c>
      <c r="U41" s="33">
        <f t="shared" si="22"/>
        <v>118.42105263157895</v>
      </c>
      <c r="V41" s="34">
        <f t="shared" si="23"/>
        <v>118.42105263157895</v>
      </c>
      <c r="W41" s="36">
        <f t="shared" si="24"/>
        <v>157.89473684210526</v>
      </c>
      <c r="X41" s="32">
        <f t="shared" si="25"/>
        <v>157.89473684210526</v>
      </c>
      <c r="Y41" s="35">
        <f t="shared" si="26"/>
        <v>197.36842105263156</v>
      </c>
      <c r="Z41" s="33">
        <f t="shared" si="27"/>
        <v>236.84210526315789</v>
      </c>
      <c r="AA41" s="34">
        <f t="shared" si="28"/>
        <v>315.78947368421052</v>
      </c>
      <c r="AB41" s="33">
        <f t="shared" si="29"/>
        <v>378.9473684210526</v>
      </c>
    </row>
    <row r="42" spans="1:28" s="4" customFormat="1" ht="19.5" hidden="1" customHeight="1" x14ac:dyDescent="0.3">
      <c r="A42" s="26">
        <v>40</v>
      </c>
      <c r="B42" s="27" t="s">
        <v>108</v>
      </c>
      <c r="C42" s="28" t="s">
        <v>109</v>
      </c>
      <c r="D42" s="28">
        <v>70</v>
      </c>
      <c r="E42" s="28">
        <v>40</v>
      </c>
      <c r="F42" s="28">
        <v>210</v>
      </c>
      <c r="G42" s="28" t="s">
        <v>105</v>
      </c>
      <c r="H42" s="28" t="s">
        <v>97</v>
      </c>
      <c r="I42" s="29">
        <v>1000</v>
      </c>
      <c r="J42" s="29" t="s">
        <v>15</v>
      </c>
      <c r="K42" s="28" t="s">
        <v>45</v>
      </c>
      <c r="L42" s="30">
        <v>7.3999999999999996E-2</v>
      </c>
      <c r="M42" s="31">
        <v>0.9</v>
      </c>
      <c r="N42" s="32">
        <f t="shared" si="15"/>
        <v>12.162162162162163</v>
      </c>
      <c r="O42" s="33">
        <f t="shared" si="16"/>
        <v>24.324324324324326</v>
      </c>
      <c r="P42" s="34">
        <f t="shared" si="17"/>
        <v>36.486486486486491</v>
      </c>
      <c r="Q42" s="35">
        <f t="shared" si="18"/>
        <v>48.648648648648653</v>
      </c>
      <c r="R42" s="36">
        <f t="shared" si="19"/>
        <v>60.810810810810814</v>
      </c>
      <c r="S42" s="32">
        <f t="shared" si="20"/>
        <v>121.62162162162163</v>
      </c>
      <c r="T42" s="35">
        <f t="shared" si="21"/>
        <v>145.94594594594597</v>
      </c>
      <c r="U42" s="33">
        <f t="shared" si="22"/>
        <v>182.43243243243245</v>
      </c>
      <c r="V42" s="34">
        <f t="shared" si="23"/>
        <v>182.43243243243245</v>
      </c>
      <c r="W42" s="36">
        <f t="shared" si="24"/>
        <v>243.24324324324326</v>
      </c>
      <c r="X42" s="32">
        <f t="shared" si="25"/>
        <v>243.24324324324326</v>
      </c>
      <c r="Y42" s="35">
        <f t="shared" si="26"/>
        <v>304.05405405405406</v>
      </c>
      <c r="Z42" s="33">
        <f t="shared" si="27"/>
        <v>364.8648648648649</v>
      </c>
      <c r="AA42" s="34">
        <f t="shared" si="28"/>
        <v>486.48648648648651</v>
      </c>
      <c r="AB42" s="33">
        <f t="shared" si="29"/>
        <v>583.78378378378386</v>
      </c>
    </row>
    <row r="43" spans="1:28" s="4" customFormat="1" ht="19.5" hidden="1" customHeight="1" x14ac:dyDescent="0.3">
      <c r="A43" s="26">
        <v>41</v>
      </c>
      <c r="B43" s="27" t="s">
        <v>110</v>
      </c>
      <c r="C43" s="28" t="s">
        <v>111</v>
      </c>
      <c r="D43" s="28">
        <v>135</v>
      </c>
      <c r="E43" s="28">
        <v>20</v>
      </c>
      <c r="F43" s="28">
        <v>420</v>
      </c>
      <c r="G43" s="28" t="s">
        <v>112</v>
      </c>
      <c r="H43" s="28" t="s">
        <v>97</v>
      </c>
      <c r="I43" s="29">
        <v>500</v>
      </c>
      <c r="J43" s="29" t="s">
        <v>15</v>
      </c>
      <c r="K43" s="28" t="s">
        <v>45</v>
      </c>
      <c r="L43" s="30">
        <v>7.8E-2</v>
      </c>
      <c r="M43" s="31">
        <v>0.8</v>
      </c>
      <c r="N43" s="32">
        <f t="shared" si="15"/>
        <v>10.256410256410257</v>
      </c>
      <c r="O43" s="33">
        <f t="shared" si="16"/>
        <v>20.512820512820515</v>
      </c>
      <c r="P43" s="34">
        <f t="shared" si="17"/>
        <v>30.769230769230774</v>
      </c>
      <c r="Q43" s="35">
        <f t="shared" si="18"/>
        <v>41.025641025641029</v>
      </c>
      <c r="R43" s="36">
        <f t="shared" si="19"/>
        <v>51.282051282051285</v>
      </c>
      <c r="S43" s="32">
        <f t="shared" si="20"/>
        <v>102.56410256410257</v>
      </c>
      <c r="T43" s="35">
        <f t="shared" si="21"/>
        <v>123.07692307692309</v>
      </c>
      <c r="U43" s="33">
        <f t="shared" si="22"/>
        <v>153.84615384615387</v>
      </c>
      <c r="V43" s="34">
        <f t="shared" si="23"/>
        <v>153.84615384615387</v>
      </c>
      <c r="W43" s="36">
        <f t="shared" si="24"/>
        <v>205.12820512820514</v>
      </c>
      <c r="X43" s="32">
        <f t="shared" si="25"/>
        <v>205.12820512820514</v>
      </c>
      <c r="Y43" s="35">
        <f t="shared" si="26"/>
        <v>256.41025641025641</v>
      </c>
      <c r="Z43" s="33">
        <f t="shared" si="27"/>
        <v>307.69230769230774</v>
      </c>
      <c r="AA43" s="34">
        <f t="shared" si="28"/>
        <v>410.25641025641028</v>
      </c>
      <c r="AB43" s="33">
        <f t="shared" si="29"/>
        <v>492.30769230769238</v>
      </c>
    </row>
    <row r="44" spans="1:28" s="4" customFormat="1" ht="19.5" hidden="1" customHeight="1" x14ac:dyDescent="0.3">
      <c r="A44" s="26">
        <v>42</v>
      </c>
      <c r="B44" s="27" t="s">
        <v>113</v>
      </c>
      <c r="C44" s="28" t="s">
        <v>111</v>
      </c>
      <c r="D44" s="28">
        <v>135</v>
      </c>
      <c r="E44" s="28">
        <v>20</v>
      </c>
      <c r="F44" s="28">
        <v>420</v>
      </c>
      <c r="G44" s="28" t="s">
        <v>112</v>
      </c>
      <c r="H44" s="28" t="s">
        <v>97</v>
      </c>
      <c r="I44" s="29">
        <v>1000</v>
      </c>
      <c r="J44" s="29" t="s">
        <v>15</v>
      </c>
      <c r="K44" s="28" t="s">
        <v>60</v>
      </c>
      <c r="L44" s="30">
        <v>0.155</v>
      </c>
      <c r="M44" s="31">
        <v>0.8</v>
      </c>
      <c r="N44" s="32">
        <f t="shared" si="15"/>
        <v>5.1612903225806459</v>
      </c>
      <c r="O44" s="33">
        <f t="shared" si="16"/>
        <v>10.322580645161292</v>
      </c>
      <c r="P44" s="34">
        <f t="shared" si="17"/>
        <v>15.483870967741938</v>
      </c>
      <c r="Q44" s="35">
        <f t="shared" si="18"/>
        <v>20.645161290322584</v>
      </c>
      <c r="R44" s="36">
        <f t="shared" si="19"/>
        <v>25.806451612903231</v>
      </c>
      <c r="S44" s="32">
        <f t="shared" si="20"/>
        <v>51.612903225806463</v>
      </c>
      <c r="T44" s="35">
        <f t="shared" si="21"/>
        <v>61.935483870967751</v>
      </c>
      <c r="U44" s="33">
        <f t="shared" si="22"/>
        <v>77.419354838709694</v>
      </c>
      <c r="V44" s="34">
        <f t="shared" si="23"/>
        <v>77.419354838709694</v>
      </c>
      <c r="W44" s="36">
        <f t="shared" si="24"/>
        <v>103.22580645161293</v>
      </c>
      <c r="X44" s="32">
        <f t="shared" si="25"/>
        <v>103.22580645161293</v>
      </c>
      <c r="Y44" s="35">
        <f t="shared" si="26"/>
        <v>129.03225806451616</v>
      </c>
      <c r="Z44" s="33">
        <f t="shared" si="27"/>
        <v>154.83870967741939</v>
      </c>
      <c r="AA44" s="34">
        <f t="shared" si="28"/>
        <v>206.45161290322585</v>
      </c>
      <c r="AB44" s="33">
        <f t="shared" si="29"/>
        <v>247.741935483871</v>
      </c>
    </row>
    <row r="45" spans="1:28" s="4" customFormat="1" ht="19.5" hidden="1" customHeight="1" thickBot="1" x14ac:dyDescent="0.35">
      <c r="A45" s="38">
        <v>43</v>
      </c>
      <c r="B45" s="39" t="s">
        <v>114</v>
      </c>
      <c r="C45" s="40" t="s">
        <v>115</v>
      </c>
      <c r="D45" s="40">
        <v>270</v>
      </c>
      <c r="E45" s="40">
        <v>10</v>
      </c>
      <c r="F45" s="40">
        <v>840</v>
      </c>
      <c r="G45" s="40" t="s">
        <v>116</v>
      </c>
      <c r="H45" s="40" t="s">
        <v>97</v>
      </c>
      <c r="I45" s="41">
        <v>500</v>
      </c>
      <c r="J45" s="41" t="s">
        <v>15</v>
      </c>
      <c r="K45" s="40" t="s">
        <v>60</v>
      </c>
      <c r="L45" s="42">
        <v>0.152</v>
      </c>
      <c r="M45" s="43">
        <v>0.8</v>
      </c>
      <c r="N45" s="54">
        <f t="shared" si="15"/>
        <v>5.2631578947368425</v>
      </c>
      <c r="O45" s="55">
        <f t="shared" si="16"/>
        <v>10.526315789473685</v>
      </c>
      <c r="P45" s="56">
        <f t="shared" si="17"/>
        <v>15.789473684210527</v>
      </c>
      <c r="Q45" s="57">
        <f t="shared" si="18"/>
        <v>21.05263157894737</v>
      </c>
      <c r="R45" s="58">
        <f t="shared" si="19"/>
        <v>26.315789473684212</v>
      </c>
      <c r="S45" s="54">
        <f t="shared" si="20"/>
        <v>52.631578947368425</v>
      </c>
      <c r="T45" s="57">
        <f t="shared" si="21"/>
        <v>63.15789473684211</v>
      </c>
      <c r="U45" s="55">
        <f t="shared" si="22"/>
        <v>78.94736842105263</v>
      </c>
      <c r="V45" s="56">
        <f t="shared" si="23"/>
        <v>78.94736842105263</v>
      </c>
      <c r="W45" s="58">
        <f t="shared" si="24"/>
        <v>105.26315789473685</v>
      </c>
      <c r="X45" s="54">
        <f t="shared" si="25"/>
        <v>105.26315789473685</v>
      </c>
      <c r="Y45" s="57">
        <f t="shared" si="26"/>
        <v>131.57894736842107</v>
      </c>
      <c r="Z45" s="55">
        <f t="shared" si="27"/>
        <v>157.89473684210526</v>
      </c>
      <c r="AA45" s="56">
        <f t="shared" si="28"/>
        <v>210.5263157894737</v>
      </c>
      <c r="AB45" s="55">
        <f t="shared" si="29"/>
        <v>252.63157894736844</v>
      </c>
    </row>
    <row r="46" spans="1:28" s="4" customFormat="1" ht="19.5" hidden="1" customHeight="1" x14ac:dyDescent="0.3">
      <c r="A46" s="15">
        <v>44</v>
      </c>
      <c r="B46" s="16" t="s">
        <v>117</v>
      </c>
      <c r="C46" s="17" t="s">
        <v>118</v>
      </c>
      <c r="D46" s="17">
        <v>40</v>
      </c>
      <c r="E46" s="17">
        <v>75</v>
      </c>
      <c r="F46" s="17">
        <v>29</v>
      </c>
      <c r="G46" s="17" t="s">
        <v>120</v>
      </c>
      <c r="H46" s="17" t="s">
        <v>119</v>
      </c>
      <c r="I46" s="18">
        <v>2000</v>
      </c>
      <c r="J46" s="18" t="s">
        <v>15</v>
      </c>
      <c r="K46" s="17" t="s">
        <v>14</v>
      </c>
      <c r="L46" s="19">
        <v>8.4000000000000005E-2</v>
      </c>
      <c r="M46" s="20">
        <v>1.3</v>
      </c>
      <c r="N46" s="21">
        <f t="shared" si="15"/>
        <v>15.476190476190476</v>
      </c>
      <c r="O46" s="22">
        <f t="shared" si="16"/>
        <v>30.952380952380953</v>
      </c>
      <c r="P46" s="23">
        <f t="shared" si="17"/>
        <v>46.428571428571431</v>
      </c>
      <c r="Q46" s="24">
        <f t="shared" si="18"/>
        <v>61.904761904761905</v>
      </c>
      <c r="R46" s="25">
        <f t="shared" si="19"/>
        <v>77.38095238095238</v>
      </c>
      <c r="S46" s="21">
        <f t="shared" si="20"/>
        <v>154.76190476190476</v>
      </c>
      <c r="T46" s="24">
        <f t="shared" si="21"/>
        <v>185.71428571428572</v>
      </c>
      <c r="U46" s="22">
        <f t="shared" si="22"/>
        <v>232.14285714285714</v>
      </c>
      <c r="V46" s="23">
        <f t="shared" si="23"/>
        <v>232.14285714285714</v>
      </c>
      <c r="W46" s="25">
        <f t="shared" si="24"/>
        <v>309.52380952380952</v>
      </c>
      <c r="X46" s="21">
        <f t="shared" si="25"/>
        <v>309.52380952380952</v>
      </c>
      <c r="Y46" s="24">
        <f t="shared" si="26"/>
        <v>386.90476190476193</v>
      </c>
      <c r="Z46" s="22">
        <f t="shared" si="27"/>
        <v>464.28571428571428</v>
      </c>
      <c r="AA46" s="23">
        <f t="shared" si="28"/>
        <v>619.04761904761904</v>
      </c>
      <c r="AB46" s="22">
        <f t="shared" si="29"/>
        <v>742.85714285714289</v>
      </c>
    </row>
    <row r="47" spans="1:28" s="4" customFormat="1" ht="19.5" hidden="1" customHeight="1" thickBot="1" x14ac:dyDescent="0.35">
      <c r="A47" s="38">
        <v>45</v>
      </c>
      <c r="B47" s="39" t="s">
        <v>121</v>
      </c>
      <c r="C47" s="40" t="s">
        <v>118</v>
      </c>
      <c r="D47" s="40">
        <v>24</v>
      </c>
      <c r="E47" s="40">
        <v>120</v>
      </c>
      <c r="F47" s="40">
        <v>24</v>
      </c>
      <c r="G47" s="40" t="s">
        <v>122</v>
      </c>
      <c r="H47" s="40" t="s">
        <v>119</v>
      </c>
      <c r="I47" s="41">
        <v>5000</v>
      </c>
      <c r="J47" s="41" t="s">
        <v>15</v>
      </c>
      <c r="K47" s="40" t="s">
        <v>14</v>
      </c>
      <c r="L47" s="42">
        <v>0.124</v>
      </c>
      <c r="M47" s="43">
        <v>1.3</v>
      </c>
      <c r="N47" s="44">
        <f t="shared" si="15"/>
        <v>10.483870967741936</v>
      </c>
      <c r="O47" s="45">
        <f t="shared" si="16"/>
        <v>20.967741935483872</v>
      </c>
      <c r="P47" s="46">
        <f t="shared" si="17"/>
        <v>31.451612903225808</v>
      </c>
      <c r="Q47" s="47">
        <f t="shared" si="18"/>
        <v>41.935483870967744</v>
      </c>
      <c r="R47" s="48">
        <f t="shared" si="19"/>
        <v>52.41935483870968</v>
      </c>
      <c r="S47" s="44">
        <f t="shared" si="20"/>
        <v>104.83870967741936</v>
      </c>
      <c r="T47" s="47">
        <f t="shared" si="21"/>
        <v>125.80645161290323</v>
      </c>
      <c r="U47" s="45">
        <f t="shared" si="22"/>
        <v>157.25806451612902</v>
      </c>
      <c r="V47" s="46">
        <f t="shared" si="23"/>
        <v>157.25806451612902</v>
      </c>
      <c r="W47" s="48">
        <f t="shared" si="24"/>
        <v>209.67741935483872</v>
      </c>
      <c r="X47" s="44">
        <f t="shared" si="25"/>
        <v>209.67741935483872</v>
      </c>
      <c r="Y47" s="47">
        <f t="shared" si="26"/>
        <v>262.09677419354841</v>
      </c>
      <c r="Z47" s="45">
        <f t="shared" si="27"/>
        <v>314.51612903225805</v>
      </c>
      <c r="AA47" s="46">
        <f t="shared" si="28"/>
        <v>419.35483870967744</v>
      </c>
      <c r="AB47" s="45">
        <f t="shared" si="29"/>
        <v>503.22580645161293</v>
      </c>
    </row>
    <row r="48" spans="1:28" s="4" customFormat="1" ht="19.5" hidden="1" customHeight="1" x14ac:dyDescent="0.3">
      <c r="A48" s="15">
        <v>46</v>
      </c>
      <c r="B48" s="16" t="s">
        <v>123</v>
      </c>
      <c r="C48" s="17" t="s">
        <v>124</v>
      </c>
      <c r="D48" s="17">
        <v>70</v>
      </c>
      <c r="E48" s="17">
        <v>40</v>
      </c>
      <c r="F48" s="17">
        <v>210</v>
      </c>
      <c r="G48" s="17" t="s">
        <v>126</v>
      </c>
      <c r="H48" s="17" t="s">
        <v>125</v>
      </c>
      <c r="I48" s="18">
        <v>1500</v>
      </c>
      <c r="J48" s="18" t="s">
        <v>15</v>
      </c>
      <c r="K48" s="17" t="s">
        <v>45</v>
      </c>
      <c r="L48" s="19">
        <v>0.121</v>
      </c>
      <c r="M48" s="20">
        <v>1.2</v>
      </c>
      <c r="N48" s="21">
        <f t="shared" si="15"/>
        <v>9.9173553719008272</v>
      </c>
      <c r="O48" s="22">
        <f t="shared" si="16"/>
        <v>19.834710743801654</v>
      </c>
      <c r="P48" s="23">
        <f t="shared" si="17"/>
        <v>29.752066115702483</v>
      </c>
      <c r="Q48" s="24">
        <f t="shared" si="18"/>
        <v>39.669421487603309</v>
      </c>
      <c r="R48" s="25">
        <f t="shared" si="19"/>
        <v>49.586776859504134</v>
      </c>
      <c r="S48" s="21">
        <f t="shared" si="20"/>
        <v>99.173553719008268</v>
      </c>
      <c r="T48" s="24">
        <f t="shared" si="21"/>
        <v>119.00826446280993</v>
      </c>
      <c r="U48" s="22">
        <f t="shared" si="22"/>
        <v>148.7603305785124</v>
      </c>
      <c r="V48" s="23">
        <f t="shared" si="23"/>
        <v>148.7603305785124</v>
      </c>
      <c r="W48" s="25">
        <f t="shared" si="24"/>
        <v>198.34710743801654</v>
      </c>
      <c r="X48" s="21">
        <f t="shared" si="25"/>
        <v>198.34710743801654</v>
      </c>
      <c r="Y48" s="24">
        <f t="shared" si="26"/>
        <v>247.93388429752068</v>
      </c>
      <c r="Z48" s="22">
        <f t="shared" si="27"/>
        <v>297.52066115702479</v>
      </c>
      <c r="AA48" s="23">
        <f t="shared" si="28"/>
        <v>396.69421487603307</v>
      </c>
      <c r="AB48" s="22">
        <f t="shared" si="29"/>
        <v>476.03305785123973</v>
      </c>
    </row>
    <row r="49" spans="1:28" s="4" customFormat="1" ht="19.5" hidden="1" customHeight="1" x14ac:dyDescent="0.3">
      <c r="A49" s="26">
        <v>47</v>
      </c>
      <c r="B49" s="27" t="s">
        <v>127</v>
      </c>
      <c r="C49" s="28" t="s">
        <v>124</v>
      </c>
      <c r="D49" s="28">
        <v>135</v>
      </c>
      <c r="E49" s="28">
        <v>20</v>
      </c>
      <c r="F49" s="28">
        <v>420</v>
      </c>
      <c r="G49" s="28" t="s">
        <v>128</v>
      </c>
      <c r="H49" s="28" t="s">
        <v>125</v>
      </c>
      <c r="I49" s="29">
        <v>1500</v>
      </c>
      <c r="J49" s="29" t="s">
        <v>15</v>
      </c>
      <c r="K49" s="28" t="s">
        <v>60</v>
      </c>
      <c r="L49" s="30">
        <v>0.24199999999999999</v>
      </c>
      <c r="M49" s="31">
        <v>1.2</v>
      </c>
      <c r="N49" s="32">
        <f t="shared" si="15"/>
        <v>4.9586776859504136</v>
      </c>
      <c r="O49" s="33">
        <f t="shared" si="16"/>
        <v>9.9173553719008272</v>
      </c>
      <c r="P49" s="34">
        <f t="shared" si="17"/>
        <v>14.876033057851242</v>
      </c>
      <c r="Q49" s="35">
        <f t="shared" si="18"/>
        <v>19.834710743801654</v>
      </c>
      <c r="R49" s="36">
        <f t="shared" si="19"/>
        <v>24.793388429752067</v>
      </c>
      <c r="S49" s="32">
        <f t="shared" si="20"/>
        <v>49.586776859504134</v>
      </c>
      <c r="T49" s="35">
        <f t="shared" si="21"/>
        <v>59.504132231404967</v>
      </c>
      <c r="U49" s="33">
        <f t="shared" si="22"/>
        <v>74.380165289256198</v>
      </c>
      <c r="V49" s="34">
        <f t="shared" si="23"/>
        <v>74.380165289256198</v>
      </c>
      <c r="W49" s="36">
        <f t="shared" si="24"/>
        <v>99.173553719008268</v>
      </c>
      <c r="X49" s="32">
        <f t="shared" si="25"/>
        <v>99.173553719008268</v>
      </c>
      <c r="Y49" s="35">
        <f t="shared" si="26"/>
        <v>123.96694214876034</v>
      </c>
      <c r="Z49" s="33">
        <f t="shared" si="27"/>
        <v>148.7603305785124</v>
      </c>
      <c r="AA49" s="34">
        <f t="shared" si="28"/>
        <v>198.34710743801654</v>
      </c>
      <c r="AB49" s="33">
        <f t="shared" si="29"/>
        <v>238.01652892561987</v>
      </c>
    </row>
    <row r="50" spans="1:28" s="4" customFormat="1" ht="19.5" hidden="1" customHeight="1" x14ac:dyDescent="0.3">
      <c r="A50" s="26">
        <v>48</v>
      </c>
      <c r="B50" s="27" t="s">
        <v>129</v>
      </c>
      <c r="C50" s="28" t="s">
        <v>124</v>
      </c>
      <c r="D50" s="28">
        <v>135</v>
      </c>
      <c r="E50" s="28">
        <v>20</v>
      </c>
      <c r="F50" s="28">
        <v>1260</v>
      </c>
      <c r="G50" s="28" t="s">
        <v>128</v>
      </c>
      <c r="H50" s="28" t="s">
        <v>125</v>
      </c>
      <c r="I50" s="29">
        <v>1500</v>
      </c>
      <c r="J50" s="29" t="s">
        <v>15</v>
      </c>
      <c r="K50" s="28" t="s">
        <v>60</v>
      </c>
      <c r="L50" s="30">
        <v>0.25</v>
      </c>
      <c r="M50" s="31">
        <v>1.2</v>
      </c>
      <c r="N50" s="32">
        <f t="shared" si="15"/>
        <v>4.8</v>
      </c>
      <c r="O50" s="33">
        <f t="shared" si="16"/>
        <v>9.6</v>
      </c>
      <c r="P50" s="34">
        <f t="shared" si="17"/>
        <v>14.399999999999999</v>
      </c>
      <c r="Q50" s="35">
        <f t="shared" si="18"/>
        <v>19.2</v>
      </c>
      <c r="R50" s="36">
        <f t="shared" si="19"/>
        <v>24</v>
      </c>
      <c r="S50" s="32">
        <f t="shared" si="20"/>
        <v>48</v>
      </c>
      <c r="T50" s="35">
        <f t="shared" si="21"/>
        <v>57.599999999999994</v>
      </c>
      <c r="U50" s="33">
        <f t="shared" si="22"/>
        <v>72</v>
      </c>
      <c r="V50" s="34">
        <f t="shared" si="23"/>
        <v>72</v>
      </c>
      <c r="W50" s="36">
        <f t="shared" si="24"/>
        <v>96</v>
      </c>
      <c r="X50" s="32">
        <f t="shared" si="25"/>
        <v>96</v>
      </c>
      <c r="Y50" s="35">
        <f t="shared" si="26"/>
        <v>120</v>
      </c>
      <c r="Z50" s="33">
        <f t="shared" si="27"/>
        <v>144</v>
      </c>
      <c r="AA50" s="34">
        <f t="shared" si="28"/>
        <v>192</v>
      </c>
      <c r="AB50" s="33">
        <f t="shared" si="29"/>
        <v>230.39999999999998</v>
      </c>
    </row>
    <row r="51" spans="1:28" s="4" customFormat="1" ht="19.5" hidden="1" customHeight="1" x14ac:dyDescent="0.3">
      <c r="A51" s="26">
        <v>49</v>
      </c>
      <c r="B51" s="27" t="s">
        <v>130</v>
      </c>
      <c r="C51" s="28" t="s">
        <v>131</v>
      </c>
      <c r="D51" s="28">
        <v>70</v>
      </c>
      <c r="E51" s="28">
        <v>40</v>
      </c>
      <c r="F51" s="28">
        <v>210</v>
      </c>
      <c r="G51" s="28" t="s">
        <v>133</v>
      </c>
      <c r="H51" s="28" t="s">
        <v>132</v>
      </c>
      <c r="I51" s="29">
        <v>1500</v>
      </c>
      <c r="J51" s="29" t="s">
        <v>15</v>
      </c>
      <c r="K51" s="28" t="s">
        <v>45</v>
      </c>
      <c r="L51" s="30">
        <v>0.12</v>
      </c>
      <c r="M51" s="31">
        <v>1.2</v>
      </c>
      <c r="N51" s="32">
        <f t="shared" si="15"/>
        <v>10</v>
      </c>
      <c r="O51" s="33">
        <f t="shared" si="16"/>
        <v>20</v>
      </c>
      <c r="P51" s="34">
        <f t="shared" si="17"/>
        <v>30</v>
      </c>
      <c r="Q51" s="35">
        <f t="shared" si="18"/>
        <v>40</v>
      </c>
      <c r="R51" s="36">
        <f t="shared" si="19"/>
        <v>50</v>
      </c>
      <c r="S51" s="32">
        <f t="shared" si="20"/>
        <v>100</v>
      </c>
      <c r="T51" s="35">
        <f t="shared" si="21"/>
        <v>120</v>
      </c>
      <c r="U51" s="33">
        <f t="shared" si="22"/>
        <v>150</v>
      </c>
      <c r="V51" s="34">
        <f t="shared" si="23"/>
        <v>150</v>
      </c>
      <c r="W51" s="36">
        <f t="shared" si="24"/>
        <v>200</v>
      </c>
      <c r="X51" s="32">
        <f t="shared" si="25"/>
        <v>200</v>
      </c>
      <c r="Y51" s="35">
        <f t="shared" si="26"/>
        <v>250</v>
      </c>
      <c r="Z51" s="33">
        <f t="shared" si="27"/>
        <v>300</v>
      </c>
      <c r="AA51" s="34">
        <f t="shared" si="28"/>
        <v>400</v>
      </c>
      <c r="AB51" s="33">
        <f t="shared" si="29"/>
        <v>480</v>
      </c>
    </row>
    <row r="52" spans="1:28" s="4" customFormat="1" ht="19.5" hidden="1" customHeight="1" thickBot="1" x14ac:dyDescent="0.35">
      <c r="A52" s="38">
        <v>50</v>
      </c>
      <c r="B52" s="39" t="s">
        <v>134</v>
      </c>
      <c r="C52" s="40" t="s">
        <v>131</v>
      </c>
      <c r="D52" s="40">
        <v>135</v>
      </c>
      <c r="E52" s="40">
        <v>20</v>
      </c>
      <c r="F52" s="40">
        <v>420</v>
      </c>
      <c r="G52" s="40" t="s">
        <v>135</v>
      </c>
      <c r="H52" s="40" t="s">
        <v>132</v>
      </c>
      <c r="I52" s="41">
        <v>1000</v>
      </c>
      <c r="J52" s="41" t="s">
        <v>15</v>
      </c>
      <c r="K52" s="40" t="s">
        <v>60</v>
      </c>
      <c r="L52" s="42">
        <v>0.16200000000000001</v>
      </c>
      <c r="M52" s="43">
        <v>1.2</v>
      </c>
      <c r="N52" s="44">
        <f t="shared" si="15"/>
        <v>7.4074074074074066</v>
      </c>
      <c r="O52" s="45">
        <f t="shared" si="16"/>
        <v>14.814814814814813</v>
      </c>
      <c r="P52" s="46">
        <f t="shared" si="17"/>
        <v>22.222222222222221</v>
      </c>
      <c r="Q52" s="47">
        <f t="shared" si="18"/>
        <v>29.629629629629626</v>
      </c>
      <c r="R52" s="48">
        <f t="shared" si="19"/>
        <v>37.037037037037031</v>
      </c>
      <c r="S52" s="44">
        <f t="shared" si="20"/>
        <v>74.074074074074062</v>
      </c>
      <c r="T52" s="47">
        <f t="shared" si="21"/>
        <v>88.888888888888886</v>
      </c>
      <c r="U52" s="45">
        <f t="shared" si="22"/>
        <v>111.1111111111111</v>
      </c>
      <c r="V52" s="46">
        <f t="shared" si="23"/>
        <v>111.1111111111111</v>
      </c>
      <c r="W52" s="48">
        <f t="shared" si="24"/>
        <v>148.14814814814812</v>
      </c>
      <c r="X52" s="44">
        <f t="shared" si="25"/>
        <v>148.14814814814812</v>
      </c>
      <c r="Y52" s="47">
        <f t="shared" si="26"/>
        <v>185.18518518518516</v>
      </c>
      <c r="Z52" s="45">
        <f t="shared" si="27"/>
        <v>222.2222222222222</v>
      </c>
      <c r="AA52" s="46">
        <f t="shared" si="28"/>
        <v>296.29629629629625</v>
      </c>
      <c r="AB52" s="45">
        <f t="shared" si="29"/>
        <v>355.55555555555554</v>
      </c>
    </row>
    <row r="53" spans="1:28" s="4" customFormat="1" ht="19.5" hidden="1" customHeight="1" x14ac:dyDescent="0.3">
      <c r="A53" s="15">
        <v>51</v>
      </c>
      <c r="B53" s="16" t="s">
        <v>136</v>
      </c>
      <c r="C53" s="17" t="s">
        <v>137</v>
      </c>
      <c r="D53" s="17">
        <v>17</v>
      </c>
      <c r="E53" s="17">
        <v>160</v>
      </c>
      <c r="F53" s="17">
        <v>150</v>
      </c>
      <c r="G53" s="17" t="s">
        <v>139</v>
      </c>
      <c r="H53" s="17" t="s">
        <v>138</v>
      </c>
      <c r="I53" s="18">
        <v>5000</v>
      </c>
      <c r="J53" s="18" t="s">
        <v>15</v>
      </c>
      <c r="K53" s="17" t="s">
        <v>14</v>
      </c>
      <c r="L53" s="19">
        <v>8.4000000000000005E-2</v>
      </c>
      <c r="M53" s="20"/>
      <c r="N53" s="49"/>
      <c r="O53" s="50"/>
      <c r="P53" s="51"/>
      <c r="Q53" s="52"/>
      <c r="R53" s="53"/>
      <c r="S53" s="49"/>
      <c r="T53" s="52"/>
      <c r="U53" s="50"/>
      <c r="V53" s="51"/>
      <c r="W53" s="53"/>
      <c r="X53" s="49"/>
      <c r="Y53" s="52"/>
      <c r="Z53" s="50"/>
      <c r="AA53" s="51"/>
      <c r="AB53" s="50"/>
    </row>
    <row r="54" spans="1:28" s="4" customFormat="1" ht="19.5" hidden="1" customHeight="1" x14ac:dyDescent="0.3">
      <c r="A54" s="26">
        <v>52</v>
      </c>
      <c r="B54" s="27" t="s">
        <v>140</v>
      </c>
      <c r="C54" s="28" t="s">
        <v>141</v>
      </c>
      <c r="D54" s="28">
        <v>35</v>
      </c>
      <c r="E54" s="28">
        <v>80</v>
      </c>
      <c r="F54" s="28">
        <v>300</v>
      </c>
      <c r="G54" s="28" t="s">
        <v>142</v>
      </c>
      <c r="H54" s="28" t="s">
        <v>138</v>
      </c>
      <c r="I54" s="29">
        <v>5000</v>
      </c>
      <c r="J54" s="29" t="s">
        <v>15</v>
      </c>
      <c r="K54" s="28" t="s">
        <v>14</v>
      </c>
      <c r="L54" s="30">
        <v>0.16800000000000001</v>
      </c>
      <c r="M54" s="31"/>
      <c r="N54" s="32"/>
      <c r="O54" s="33"/>
      <c r="P54" s="34"/>
      <c r="Q54" s="35"/>
      <c r="R54" s="36"/>
      <c r="S54" s="32"/>
      <c r="T54" s="35"/>
      <c r="U54" s="33"/>
      <c r="V54" s="34"/>
      <c r="W54" s="36"/>
      <c r="X54" s="32"/>
      <c r="Y54" s="35"/>
      <c r="Z54" s="33"/>
      <c r="AA54" s="34"/>
      <c r="AB54" s="33"/>
    </row>
    <row r="55" spans="1:28" s="4" customFormat="1" ht="19.5" hidden="1" customHeight="1" x14ac:dyDescent="0.3">
      <c r="A55" s="26">
        <v>53</v>
      </c>
      <c r="B55" s="27" t="s">
        <v>143</v>
      </c>
      <c r="C55" s="28" t="s">
        <v>144</v>
      </c>
      <c r="D55" s="28">
        <v>35</v>
      </c>
      <c r="E55" s="28">
        <v>80</v>
      </c>
      <c r="F55" s="28">
        <v>300</v>
      </c>
      <c r="G55" s="28" t="s">
        <v>142</v>
      </c>
      <c r="H55" s="28" t="s">
        <v>138</v>
      </c>
      <c r="I55" s="29">
        <v>950</v>
      </c>
      <c r="J55" s="29" t="s">
        <v>19</v>
      </c>
      <c r="K55" s="28" t="s">
        <v>47</v>
      </c>
      <c r="L55" s="30">
        <v>0.87</v>
      </c>
      <c r="M55" s="31">
        <v>1.8</v>
      </c>
      <c r="N55" s="32">
        <f t="shared" si="15"/>
        <v>2.0689655172413794</v>
      </c>
      <c r="O55" s="33">
        <f t="shared" si="16"/>
        <v>4.1379310344827589</v>
      </c>
      <c r="P55" s="34">
        <f t="shared" si="17"/>
        <v>6.2068965517241388</v>
      </c>
      <c r="Q55" s="35">
        <f t="shared" si="18"/>
        <v>8.2758620689655178</v>
      </c>
      <c r="R55" s="36">
        <f t="shared" si="19"/>
        <v>10.344827586206897</v>
      </c>
      <c r="S55" s="32">
        <f t="shared" si="20"/>
        <v>20.689655172413794</v>
      </c>
      <c r="T55" s="35">
        <f t="shared" si="21"/>
        <v>24.827586206896555</v>
      </c>
      <c r="U55" s="33">
        <f t="shared" si="22"/>
        <v>31.03448275862069</v>
      </c>
      <c r="V55" s="34">
        <f t="shared" si="23"/>
        <v>31.03448275862069</v>
      </c>
      <c r="W55" s="36">
        <f t="shared" si="24"/>
        <v>41.379310344827587</v>
      </c>
      <c r="X55" s="32">
        <f t="shared" si="25"/>
        <v>41.379310344827587</v>
      </c>
      <c r="Y55" s="35">
        <f t="shared" si="26"/>
        <v>51.724137931034484</v>
      </c>
      <c r="Z55" s="33">
        <f t="shared" si="27"/>
        <v>62.068965517241381</v>
      </c>
      <c r="AA55" s="34">
        <f t="shared" si="28"/>
        <v>82.758620689655174</v>
      </c>
      <c r="AB55" s="33">
        <f t="shared" si="29"/>
        <v>99.310344827586221</v>
      </c>
    </row>
    <row r="56" spans="1:28" s="4" customFormat="1" ht="19.5" hidden="1" customHeight="1" thickBot="1" x14ac:dyDescent="0.35">
      <c r="A56" s="38">
        <v>54</v>
      </c>
      <c r="B56" s="39" t="s">
        <v>145</v>
      </c>
      <c r="C56" s="40" t="s">
        <v>146</v>
      </c>
      <c r="D56" s="40">
        <v>18</v>
      </c>
      <c r="E56" s="40">
        <v>150</v>
      </c>
      <c r="F56" s="40">
        <v>150</v>
      </c>
      <c r="G56" s="40" t="s">
        <v>147</v>
      </c>
      <c r="H56" s="40" t="s">
        <v>138</v>
      </c>
      <c r="I56" s="41">
        <v>10000</v>
      </c>
      <c r="J56" s="41" t="s">
        <v>15</v>
      </c>
      <c r="K56" s="40" t="s">
        <v>14</v>
      </c>
      <c r="L56" s="42">
        <v>0.185</v>
      </c>
      <c r="M56" s="43"/>
      <c r="N56" s="44"/>
      <c r="O56" s="45"/>
      <c r="P56" s="46"/>
      <c r="Q56" s="47"/>
      <c r="R56" s="48"/>
      <c r="S56" s="44"/>
      <c r="T56" s="47"/>
      <c r="U56" s="45"/>
      <c r="V56" s="46"/>
      <c r="W56" s="48"/>
      <c r="X56" s="44"/>
      <c r="Y56" s="47"/>
      <c r="Z56" s="45"/>
      <c r="AA56" s="46"/>
      <c r="AB56" s="45"/>
    </row>
    <row r="61" spans="1:28" x14ac:dyDescent="0.3">
      <c r="G61" s="2" t="s">
        <v>159</v>
      </c>
      <c r="I61" s="2">
        <v>19</v>
      </c>
      <c r="J61" s="2" t="s">
        <v>48</v>
      </c>
      <c r="L61" s="2">
        <f>L21*I61</f>
        <v>2.1659999999999999</v>
      </c>
    </row>
    <row r="62" spans="1:28" x14ac:dyDescent="0.3">
      <c r="L62" s="2">
        <f>L61/M21</f>
        <v>1.9690909090909088</v>
      </c>
      <c r="N62" s="60"/>
      <c r="O62" s="60"/>
    </row>
  </sheetData>
  <autoFilter ref="A2:AC56" xr:uid="{00000000-0009-0000-0000-000000000000}">
    <filterColumn colId="1">
      <filters>
        <filter val="2303"/>
      </filters>
    </filterColumn>
  </autoFilter>
  <mergeCells count="6">
    <mergeCell ref="AA1:AB1"/>
    <mergeCell ref="N1:O1"/>
    <mergeCell ref="P1:R1"/>
    <mergeCell ref="S1:U1"/>
    <mergeCell ref="V1:W1"/>
    <mergeCell ref="X1:Z1"/>
  </mergeCells>
  <pageMargins left="0.43" right="0.16" top="0.65" bottom="0.16" header="0.22" footer="0.16"/>
  <pageSetup paperSize="9" scale="46" orientation="landscape" r:id="rId1"/>
  <ignoredErrors>
    <ignoredError sqref="B2:D15 H2:H15 J2:J15 I2:I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8436-F868-4D75-8826-29E4459BCB87}">
  <dimension ref="A1:AA13"/>
  <sheetViews>
    <sheetView workbookViewId="0">
      <selection activeCell="F20" sqref="F20"/>
    </sheetView>
  </sheetViews>
  <sheetFormatPr defaultRowHeight="15.6" x14ac:dyDescent="0.3"/>
  <cols>
    <col min="6" max="6" width="6" bestFit="1" customWidth="1"/>
    <col min="7" max="7" width="35.296875" bestFit="1" customWidth="1"/>
  </cols>
  <sheetData>
    <row r="1" spans="1:27" ht="21.6" thickBot="1" x14ac:dyDescent="0.35">
      <c r="A1" s="61" t="s">
        <v>157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66" t="s">
        <v>150</v>
      </c>
      <c r="M1" s="65"/>
      <c r="N1" s="64" t="s">
        <v>151</v>
      </c>
      <c r="O1" s="67"/>
      <c r="P1" s="68"/>
      <c r="Q1" s="69" t="s">
        <v>152</v>
      </c>
      <c r="R1" s="67"/>
      <c r="S1" s="65"/>
      <c r="T1" s="64" t="s">
        <v>154</v>
      </c>
      <c r="U1" s="68"/>
      <c r="V1" s="69" t="s">
        <v>153</v>
      </c>
      <c r="W1" s="67"/>
      <c r="X1" s="65"/>
      <c r="Y1" s="64" t="s">
        <v>155</v>
      </c>
      <c r="Z1" s="65"/>
      <c r="AA1" s="4"/>
    </row>
    <row r="2" spans="1:27" ht="31.2" x14ac:dyDescent="0.3">
      <c r="A2" s="5" t="s">
        <v>158</v>
      </c>
      <c r="B2" s="6" t="s">
        <v>0</v>
      </c>
      <c r="C2" s="7" t="s">
        <v>1</v>
      </c>
      <c r="D2" s="7" t="s">
        <v>2</v>
      </c>
      <c r="E2" s="7" t="s">
        <v>5</v>
      </c>
      <c r="F2" s="7" t="s">
        <v>6</v>
      </c>
      <c r="G2" s="7" t="s">
        <v>4</v>
      </c>
      <c r="H2" s="7" t="s">
        <v>7</v>
      </c>
      <c r="I2" s="7" t="s">
        <v>9</v>
      </c>
      <c r="J2" s="8" t="s">
        <v>148</v>
      </c>
      <c r="K2" s="9" t="s">
        <v>149</v>
      </c>
      <c r="L2" s="10">
        <v>1</v>
      </c>
      <c r="M2" s="11">
        <v>2</v>
      </c>
      <c r="N2" s="12">
        <v>3</v>
      </c>
      <c r="O2" s="13">
        <v>4</v>
      </c>
      <c r="P2" s="14">
        <v>5</v>
      </c>
      <c r="Q2" s="10">
        <v>10</v>
      </c>
      <c r="R2" s="13">
        <v>12</v>
      </c>
      <c r="S2" s="11">
        <v>15</v>
      </c>
      <c r="T2" s="12">
        <v>15</v>
      </c>
      <c r="U2" s="14">
        <v>20</v>
      </c>
      <c r="V2" s="10">
        <v>20</v>
      </c>
      <c r="W2" s="13">
        <v>25</v>
      </c>
      <c r="X2" s="11">
        <v>30</v>
      </c>
      <c r="Y2" s="12">
        <v>40</v>
      </c>
      <c r="Z2" s="11">
        <v>48</v>
      </c>
      <c r="AA2" s="1"/>
    </row>
    <row r="3" spans="1:27" x14ac:dyDescent="0.3">
      <c r="A3" s="26">
        <v>19</v>
      </c>
      <c r="B3" s="27" t="s">
        <v>64</v>
      </c>
      <c r="C3" s="28" t="s">
        <v>65</v>
      </c>
      <c r="D3" s="28">
        <v>70</v>
      </c>
      <c r="E3" s="28">
        <v>40</v>
      </c>
      <c r="F3" s="28">
        <v>210</v>
      </c>
      <c r="G3" s="28" t="s">
        <v>63</v>
      </c>
      <c r="H3" s="29">
        <v>1500</v>
      </c>
      <c r="I3" s="29" t="s">
        <v>15</v>
      </c>
      <c r="J3" s="30">
        <v>0.114</v>
      </c>
      <c r="K3" s="31">
        <v>1.1000000000000001</v>
      </c>
      <c r="L3" s="32">
        <v>9.6491228070175445</v>
      </c>
      <c r="M3" s="33">
        <v>19.298245614035089</v>
      </c>
      <c r="N3" s="34">
        <v>28.947368421052634</v>
      </c>
      <c r="O3" s="35">
        <v>38.596491228070178</v>
      </c>
      <c r="P3" s="36">
        <v>48.245614035087726</v>
      </c>
      <c r="Q3" s="32">
        <v>96.491228070175453</v>
      </c>
      <c r="R3" s="35">
        <v>115.78947368421053</v>
      </c>
      <c r="S3" s="33">
        <v>144.73684210526318</v>
      </c>
      <c r="T3" s="34">
        <v>144.73684210526318</v>
      </c>
      <c r="U3" s="36">
        <v>192.98245614035091</v>
      </c>
      <c r="V3" s="32">
        <v>192.98245614035091</v>
      </c>
      <c r="W3" s="35">
        <v>241.2280701754386</v>
      </c>
      <c r="X3" s="33">
        <v>289.47368421052636</v>
      </c>
      <c r="Y3" s="34">
        <v>385.96491228070181</v>
      </c>
      <c r="Z3" s="33">
        <v>463.15789473684214</v>
      </c>
      <c r="AA3" s="4"/>
    </row>
    <row r="4" spans="1:27" x14ac:dyDescent="0.3">
      <c r="B4" s="2"/>
      <c r="H4" s="2"/>
      <c r="I4" s="2"/>
      <c r="J4" s="2"/>
      <c r="K4" s="2"/>
    </row>
    <row r="5" spans="1:27" x14ac:dyDescent="0.3">
      <c r="B5" s="2"/>
      <c r="H5" s="2"/>
      <c r="I5" s="2"/>
      <c r="J5" s="2"/>
      <c r="K5" s="2"/>
    </row>
    <row r="6" spans="1:27" x14ac:dyDescent="0.3">
      <c r="B6" s="2"/>
      <c r="H6" s="2"/>
      <c r="I6" s="2"/>
      <c r="J6" s="2"/>
      <c r="K6" s="2"/>
    </row>
    <row r="7" spans="1:27" x14ac:dyDescent="0.3">
      <c r="B7" s="2"/>
      <c r="H7" s="2"/>
      <c r="I7" s="2"/>
      <c r="J7" s="2"/>
      <c r="K7" s="2"/>
    </row>
    <row r="8" spans="1:27" x14ac:dyDescent="0.3">
      <c r="B8" s="2"/>
      <c r="G8" s="2" t="s">
        <v>159</v>
      </c>
      <c r="H8" s="2">
        <v>12</v>
      </c>
      <c r="I8" s="2" t="s">
        <v>48</v>
      </c>
      <c r="J8" s="2">
        <f>H8*J3</f>
        <v>1.3680000000000001</v>
      </c>
      <c r="K8" s="2"/>
    </row>
    <row r="9" spans="1:27" x14ac:dyDescent="0.3">
      <c r="B9" s="2"/>
      <c r="H9" s="2"/>
      <c r="I9" s="2"/>
      <c r="J9" s="2">
        <f>J8/K3</f>
        <v>1.2436363636363637</v>
      </c>
      <c r="K9" s="2"/>
      <c r="L9" s="60"/>
      <c r="M9" s="60"/>
    </row>
    <row r="12" spans="1:27" x14ac:dyDescent="0.3">
      <c r="G12" t="s">
        <v>160</v>
      </c>
      <c r="H12">
        <v>19</v>
      </c>
      <c r="I12" s="2" t="s">
        <v>48</v>
      </c>
      <c r="J12" s="2">
        <f>H12*J3</f>
        <v>2.1659999999999999</v>
      </c>
    </row>
    <row r="13" spans="1:27" x14ac:dyDescent="0.3">
      <c r="I13" s="2"/>
      <c r="J13" s="2">
        <f>J12/K3</f>
        <v>1.9690909090909088</v>
      </c>
    </row>
  </sheetData>
  <mergeCells count="6">
    <mergeCell ref="Y1:Z1"/>
    <mergeCell ref="L1:M1"/>
    <mergeCell ref="N1:P1"/>
    <mergeCell ref="Q1:S1"/>
    <mergeCell ref="T1:U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ArticleMaster</vt:lpstr>
      <vt:lpstr>ArticleMaster_dont_change</vt:lpstr>
      <vt:lpstr>to_understand</vt:lpstr>
      <vt:lpstr>ArticleMaster!Print_Area</vt:lpstr>
      <vt:lpstr>ArticleMaster_dont_change!Print_Area</vt:lpstr>
      <vt:lpstr>ArticleMaster!Print_Titles</vt:lpstr>
      <vt:lpstr>ArticleMaster_dont_change!Print_Titles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Kumar Mandal</cp:lastModifiedBy>
  <cp:lastPrinted>2026-04-15T08:55:33Z</cp:lastPrinted>
  <dcterms:created xsi:type="dcterms:W3CDTF">2026-04-09T04:54:55Z</dcterms:created>
  <dcterms:modified xsi:type="dcterms:W3CDTF">2026-08-08T04:17:36Z</dcterms:modified>
</cp:coreProperties>
</file>