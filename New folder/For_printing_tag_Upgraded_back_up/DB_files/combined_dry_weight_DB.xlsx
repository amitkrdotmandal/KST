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For_printing_tag_Upgraded_back_up\DB_files\"/>
    </mc:Choice>
  </mc:AlternateContent>
  <bookViews>
    <workbookView xWindow="-105" yWindow="-105" windowWidth="23250" windowHeight="12450"/>
  </bookViews>
  <sheets>
    <sheet name="combined dry weight (2)" sheetId="1" r:id="rId1"/>
  </sheets>
  <definedNames>
    <definedName name="_xlnm._FilterDatabase" localSheetId="0" hidden="1">'combined dry weight (2)'!$A$1:$L$91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3" i="1" l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<sst xmlns="http://schemas.openxmlformats.org/spreadsheetml/2006/main" count="508" uniqueCount="162">
  <si>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</si>
  <si>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</si>
  <si>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</si>
  <si>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</si>
  <si>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</si>
  <si>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</si>
  <si>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</si>
  <si>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</si>
  <si>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</si>
  <si>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</si>
  <si>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</si>
  <si>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</si>
  <si>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</si>
  <si>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</si>
  <si>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</si>
  <si>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</si>
  <si>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</si>
  <si>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</si>
  <si>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</si>
  <si>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</si>
  <si>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</si>
  <si>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</si>
  <si>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</si>
  <si>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</si>
  <si>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</si>
  <si>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</si>
  <si>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</si>
  <si>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</si>
  <si>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</si>
  <si>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</si>
  <si>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</si>
  <si>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</si>
  <si>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</si>
  <si>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</si>
  <si>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</si>
  <si>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</si>
  <si>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</si>
  <si>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</si>
  <si>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</si>
  <si>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</si>
  <si>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</si>
  <si>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</si>
  <si>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</si>
  <si>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</si>
  <si>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</si>
  <si>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</si>
  <si>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</si>
  <si>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</si>
  <si>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</si>
  <si>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</si>
  <si>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</si>
  <si>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</si>
  <si>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</si>
  <si>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</si>
  <si>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</si>
  <si>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6" BF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</si>
  <si>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</si>
  <si>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</si>
  <si>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</si>
  <si>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</si>
  <si>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</si>
  <si>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</si>
  <si>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</si>
  <si>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</si>
  <si>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</si>
  <si>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</si>
  <si>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</si>
  <si>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</si>
  <si>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</si>
  <si>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</si>
  <si>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</si>
  <si>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</si>
  <si>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</si>
  <si>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</si>
  <si>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</si>
  <si>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</si>
  <si>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</si>
  <si>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</si>
  <si>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</si>
  <si>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</si>
  <si>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</si>
  <si>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</si>
  <si>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</si>
  <si>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</si>
  <si>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</si>
  <si>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</si>
  <si>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</si>
  <si>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</si>
  <si>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</si>
  <si>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</si>
  <si>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</si>
  <si>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</si>
  <si>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</si>
  <si>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</si>
  <si>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</si>
  <si>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</si>
  <si>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</si>
  <si>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</si>
  <si>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1280-SAFIRA</t>
  </si>
  <si>
    <t>1280D-SAFIRA</t>
  </si>
  <si>
    <t>TUFF BOND</t>
  </si>
  <si>
    <t>TUFF BOND 10</t>
  </si>
  <si>
    <t>AMIDE BOND 40</t>
  </si>
  <si>
    <t>AMIDE BOND 20</t>
  </si>
  <si>
    <t>150 D/2 ROTO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</si>
  <si>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</si>
  <si>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</si>
  <si>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</si>
  <si>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</si>
  <si>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</si>
  <si>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</si>
  <si>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</si>
  <si>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</si>
  <si>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</si>
  <si>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</si>
  <si>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</si>
  <si>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</si>
  <si>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</si>
  <si>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</si>
  <si>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</si>
  <si>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</si>
  <si>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</si>
  <si>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</si>
  <si>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</si>
  <si>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</si>
  <si>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300 D TXP-TPM 100</t>
  </si>
  <si>
    <t>75/2 TXP-TPM 800/700</t>
  </si>
  <si>
    <t xml:space="preserve">150 D TXP-TPM 100 </t>
  </si>
  <si>
    <t>75/3 TXP-TPM 800/560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</si>
  <si>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</si>
  <si>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</si>
  <si>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</si>
  <si>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</si>
  <si>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</si>
  <si>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150/3 SHT CONTINOUS POLYESTER FILAMENT</t>
  </si>
  <si>
    <t>1285D-SAFIRA</t>
  </si>
  <si>
    <t xml:space="preserve">HI-TENACITY NYLON 6 YARN </t>
  </si>
  <si>
    <t>LMY NYLON 60D</t>
  </si>
  <si>
    <t>Substrate</t>
  </si>
  <si>
    <t>Substrate (core)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</si>
  <si>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</si>
  <si>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</si>
  <si>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</si>
  <si>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</si>
  <si>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</si>
  <si>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</si>
  <si>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LMY POLYESTER 30 D</t>
  </si>
  <si>
    <t>LMY POLYESTER 70 D</t>
  </si>
  <si>
    <t>LMY POLYESTER 30D</t>
  </si>
  <si>
    <t>HI-TENACITY NYLON 66 YARN</t>
  </si>
  <si>
    <t>LMY NYLON 30 D</t>
  </si>
  <si>
    <t>150/2 ROTO</t>
  </si>
  <si>
    <t>210/3 HI-TENACITY NYLON 6 YARN BONDED</t>
  </si>
  <si>
    <t>420/3 HI-TENACITY NYLON 6 YARN BONDED</t>
  </si>
  <si>
    <t>840/3 HI-TENACITY NYLON 66 YARN BONDED</t>
  </si>
  <si>
    <t>420/3 HI-TENACITY NYLON 66 YARN BONDED</t>
  </si>
  <si>
    <t>210/3 HI-TENACITY NYLON 66 YARN BONDED</t>
  </si>
  <si>
    <t>210/3 SHT CONTINOUS POLYESTER FILAMENT BONDED</t>
  </si>
  <si>
    <t>420/3 SHT CONTINOUS POLYESTER FILAMENT BONDED</t>
  </si>
  <si>
    <t>250/3 SHT CONTINOUS POLYESTER FILAMENT BONDED</t>
  </si>
  <si>
    <t>500/3 SHT CONTINOUS POLYESTER FILAMENT</t>
  </si>
  <si>
    <t>ROXX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</si>
</sst>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3" borderId="1" xfId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3"/>
  <sheetViews>
    <sheetView tabSelected="1" workbookViewId="0">
      <pane xSplit="5" ySplit="1" topLeftCell="I2" activePane="bottomRight" state="frozen"/>
      <selection pane="topRight" activeCell="F1" sqref="F1"/>
      <selection pane="bottomLeft" activeCell="A2" sqref="A2"/>
      <selection pane="bottomRight" activeCell="C7" sqref="C7"/>
    </sheetView>
  </sheetViews>
  <sheetFormatPr defaultColWidth="9.140625" defaultRowHeight="15.75" x14ac:dyDescent="0.25"/>
  <cols>
    <col min="1" max="1" width="9.140625" style="19"/>
    <col min="2" max="2" width="10.7109375" style="20" bestFit="1" customWidth="1"/>
    <col min="3" max="3" width="22.7109375" style="20" customWidth="1"/>
    <col min="4" max="4" width="9.140625" style="20"/>
    <col min="5" max="5" width="58.28515625" style="5" customWidth="1"/>
    <col min="6" max="6" width="10.28515625" style="20" customWidth="1"/>
    <col min="7" max="7" width="19.42578125" style="20" customWidth="1"/>
    <col min="8" max="8" width="26.42578125" style="20" customWidth="1"/>
    <col min="9" max="9" width="9.140625" style="5"/>
    <col min="10" max="10" width="19.5703125" style="20" customWidth="1"/>
    <col min="11" max="11" width="24.28515625" style="5" customWidth="1"/>
    <col min="12" max="12" width="10.7109375" style="5" bestFit="1" customWidth="1"/>
    <col min="13" max="13" width="40.140625" style="5" bestFit="1" customWidth="1"/>
    <col min="14" max="14" width="20.42578125" style="5" bestFit="1" customWidth="1"/>
    <col min="15" max="16384" width="9.140625" style="5"/>
  </cols>
  <sheetData>
    <row r="1" spans="1:14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138</v>
      </c>
      <c r="N1" s="3" t="s">
        <v>139</v>
      </c>
    </row>
    <row r="2" spans="1:14" x14ac:dyDescent="0.25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  <c r="M2" s="5" t="s">
        <v>140</v>
      </c>
      <c r="N2" s="5">
        <v>0</v>
      </c>
    </row>
    <row r="3" spans="1:14" x14ac:dyDescent="0.25">
      <c r="A3" s="6">
        <v>2</v>
      </c>
      <c r="B3" s="7">
        <v>1202</v>
      </c>
      <c r="C3" s="7" t="s">
        <v>16</v>
      </c>
      <c r="D3" s="7">
        <v>20</v>
      </c>
      <c r="E3" s="23" t="s">
        <v>108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  <c r="M3" s="5" t="s">
        <v>140</v>
      </c>
      <c r="N3" s="5">
        <v>0</v>
      </c>
    </row>
    <row r="4" spans="1:14" x14ac:dyDescent="0.25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  <c r="M4" s="5" t="s">
        <v>140</v>
      </c>
      <c r="N4" s="5">
        <v>0</v>
      </c>
    </row>
    <row r="5" spans="1:14" x14ac:dyDescent="0.25">
      <c r="A5" s="6">
        <v>4</v>
      </c>
      <c r="B5" s="7">
        <v>1206</v>
      </c>
      <c r="C5" s="7" t="s">
        <v>20</v>
      </c>
      <c r="D5" s="7">
        <v>20</v>
      </c>
      <c r="E5" s="8" t="s">
        <v>108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  <c r="M5" s="5" t="s">
        <v>140</v>
      </c>
      <c r="N5" s="5">
        <v>0</v>
      </c>
    </row>
    <row r="6" spans="1:14" x14ac:dyDescent="0.25">
      <c r="A6" s="6">
        <v>5</v>
      </c>
      <c r="B6" s="7">
        <v>1207</v>
      </c>
      <c r="C6" s="7" t="s">
        <v>20</v>
      </c>
      <c r="D6" s="7">
        <v>20</v>
      </c>
      <c r="E6" s="8" t="s">
        <v>108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  <c r="M6" s="5" t="s">
        <v>140</v>
      </c>
      <c r="N6" s="5">
        <v>0</v>
      </c>
    </row>
    <row r="7" spans="1:14" x14ac:dyDescent="0.25">
      <c r="A7" s="6">
        <v>6</v>
      </c>
      <c r="B7" s="7">
        <v>1208</v>
      </c>
      <c r="C7" s="7" t="s">
        <v>161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  <c r="M7" s="5" t="s">
        <v>140</v>
      </c>
      <c r="N7" s="5">
        <v>0</v>
      </c>
    </row>
    <row r="8" spans="1:14" x14ac:dyDescent="0.25">
      <c r="A8" s="6">
        <v>7</v>
      </c>
      <c r="B8" s="7">
        <v>1210</v>
      </c>
      <c r="C8" s="7" t="s">
        <v>24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  <c r="M8" s="5" t="s">
        <v>140</v>
      </c>
      <c r="N8" s="5">
        <v>0</v>
      </c>
    </row>
    <row r="9" spans="1:14" x14ac:dyDescent="0.25">
      <c r="A9" s="6">
        <v>8</v>
      </c>
      <c r="B9" s="7">
        <v>1211</v>
      </c>
      <c r="C9" s="7" t="s">
        <v>25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  <c r="M9" s="5" t="s">
        <v>140</v>
      </c>
      <c r="N9" s="5">
        <v>0</v>
      </c>
    </row>
    <row r="10" spans="1:14" x14ac:dyDescent="0.25">
      <c r="A10" s="6">
        <v>9</v>
      </c>
      <c r="B10" s="7">
        <v>1215</v>
      </c>
      <c r="C10" s="7" t="s">
        <v>20</v>
      </c>
      <c r="D10" s="7">
        <v>25</v>
      </c>
      <c r="E10" s="8" t="s">
        <v>26</v>
      </c>
      <c r="F10" s="7">
        <v>120</v>
      </c>
      <c r="G10" s="7" t="s">
        <v>27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  <c r="M10" s="5" t="s">
        <v>140</v>
      </c>
      <c r="N10" s="5">
        <v>0</v>
      </c>
    </row>
    <row r="11" spans="1:14" x14ac:dyDescent="0.25">
      <c r="A11" s="6">
        <v>10</v>
      </c>
      <c r="B11" s="7">
        <v>1301</v>
      </c>
      <c r="C11" s="7" t="s">
        <v>28</v>
      </c>
      <c r="D11" s="7">
        <v>90</v>
      </c>
      <c r="E11" s="8" t="s">
        <v>29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  <c r="M11" s="5" t="s">
        <v>140</v>
      </c>
      <c r="N11" s="5">
        <v>0</v>
      </c>
    </row>
    <row r="12" spans="1:14" x14ac:dyDescent="0.25">
      <c r="A12" s="6">
        <v>11</v>
      </c>
      <c r="B12" s="7">
        <v>1302</v>
      </c>
      <c r="C12" s="7" t="s">
        <v>30</v>
      </c>
      <c r="D12" s="7">
        <v>30</v>
      </c>
      <c r="E12" s="8" t="s">
        <v>113</v>
      </c>
      <c r="F12" s="7">
        <v>100</v>
      </c>
      <c r="G12" s="7" t="s">
        <v>31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  <c r="M12" s="5" t="s">
        <v>140</v>
      </c>
      <c r="N12" s="5">
        <v>0</v>
      </c>
    </row>
    <row r="13" spans="1:14" x14ac:dyDescent="0.25">
      <c r="A13" s="6">
        <v>12</v>
      </c>
      <c r="B13" s="7">
        <v>1303</v>
      </c>
      <c r="C13" s="7" t="s">
        <v>32</v>
      </c>
      <c r="D13" s="7">
        <v>30</v>
      </c>
      <c r="E13" s="8" t="s">
        <v>113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  <c r="M13" s="5" t="s">
        <v>140</v>
      </c>
      <c r="N13" s="5">
        <v>0</v>
      </c>
    </row>
    <row r="14" spans="1:14" x14ac:dyDescent="0.25">
      <c r="A14" s="6">
        <v>13</v>
      </c>
      <c r="B14" s="7">
        <v>1304</v>
      </c>
      <c r="C14" s="7" t="s">
        <v>32</v>
      </c>
      <c r="D14" s="7">
        <v>30</v>
      </c>
      <c r="E14" s="8" t="s">
        <v>113</v>
      </c>
      <c r="F14" s="7">
        <v>100</v>
      </c>
      <c r="G14" s="7" t="s">
        <v>33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  <c r="M14" s="5" t="s">
        <v>140</v>
      </c>
      <c r="N14" s="5">
        <v>0</v>
      </c>
    </row>
    <row r="15" spans="1:14" x14ac:dyDescent="0.25">
      <c r="A15" s="6">
        <v>14</v>
      </c>
      <c r="B15" s="7">
        <v>1401</v>
      </c>
      <c r="C15" s="7" t="s">
        <v>34</v>
      </c>
      <c r="D15" s="7">
        <v>125</v>
      </c>
      <c r="E15" s="8" t="s">
        <v>114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  <c r="M15" s="5" t="s">
        <v>140</v>
      </c>
      <c r="N15" s="5">
        <v>0</v>
      </c>
    </row>
    <row r="16" spans="1:14" x14ac:dyDescent="0.25">
      <c r="A16" s="6">
        <v>15</v>
      </c>
      <c r="B16" s="7">
        <v>4201</v>
      </c>
      <c r="C16" s="7" t="s">
        <v>35</v>
      </c>
      <c r="D16" s="7">
        <v>24</v>
      </c>
      <c r="E16" s="8" t="s">
        <v>36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  <c r="M16" s="5" t="s">
        <v>141</v>
      </c>
      <c r="N16" s="5">
        <v>0</v>
      </c>
    </row>
    <row r="17" spans="1:14" x14ac:dyDescent="0.25">
      <c r="A17" s="6">
        <v>16</v>
      </c>
      <c r="B17" s="7">
        <v>4202</v>
      </c>
      <c r="C17" s="7" t="s">
        <v>37</v>
      </c>
      <c r="D17" s="7">
        <v>30</v>
      </c>
      <c r="E17" s="8" t="s">
        <v>38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  <c r="M17" s="5" t="s">
        <v>141</v>
      </c>
      <c r="N17" s="5">
        <v>0</v>
      </c>
    </row>
    <row r="18" spans="1:14" x14ac:dyDescent="0.25">
      <c r="A18" s="6">
        <v>17</v>
      </c>
      <c r="B18" s="7">
        <v>4203</v>
      </c>
      <c r="C18" s="7" t="s">
        <v>39</v>
      </c>
      <c r="D18" s="7">
        <v>40</v>
      </c>
      <c r="E18" s="8" t="s">
        <v>40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  <c r="M18" s="5" t="s">
        <v>141</v>
      </c>
      <c r="N18" s="5">
        <v>0</v>
      </c>
    </row>
    <row r="19" spans="1:14" x14ac:dyDescent="0.25">
      <c r="A19" s="6">
        <v>18</v>
      </c>
      <c r="B19" s="7">
        <v>4204</v>
      </c>
      <c r="C19" s="7" t="s">
        <v>39</v>
      </c>
      <c r="D19" s="7">
        <v>60</v>
      </c>
      <c r="E19" s="23" t="s">
        <v>109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  <c r="M19" s="5" t="s">
        <v>141</v>
      </c>
      <c r="N19" s="5">
        <v>0</v>
      </c>
    </row>
    <row r="20" spans="1:14" x14ac:dyDescent="0.25">
      <c r="A20" s="6">
        <v>19</v>
      </c>
      <c r="B20" s="7">
        <v>4206</v>
      </c>
      <c r="C20" s="7" t="s">
        <v>39</v>
      </c>
      <c r="D20" s="7">
        <v>80</v>
      </c>
      <c r="E20" s="23" t="s">
        <v>112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  <c r="M20" s="5" t="s">
        <v>141</v>
      </c>
      <c r="N20" s="5">
        <v>0</v>
      </c>
    </row>
    <row r="21" spans="1:14" x14ac:dyDescent="0.25">
      <c r="A21" s="6">
        <v>20</v>
      </c>
      <c r="B21" s="7">
        <v>4207</v>
      </c>
      <c r="C21" s="7" t="s">
        <v>39</v>
      </c>
      <c r="D21" s="7">
        <v>105</v>
      </c>
      <c r="E21" s="23" t="s">
        <v>110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  <c r="M21" s="5" t="s">
        <v>141</v>
      </c>
      <c r="N21" s="5">
        <v>0</v>
      </c>
    </row>
    <row r="22" spans="1:14" x14ac:dyDescent="0.25">
      <c r="A22" s="6">
        <v>21</v>
      </c>
      <c r="B22" s="7">
        <v>4208</v>
      </c>
      <c r="C22" s="7" t="s">
        <v>39</v>
      </c>
      <c r="D22" s="7">
        <v>40</v>
      </c>
      <c r="E22" s="8" t="s">
        <v>40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  <c r="M22" s="5" t="s">
        <v>141</v>
      </c>
      <c r="N22" s="5">
        <v>0</v>
      </c>
    </row>
    <row r="23" spans="1:14" ht="31.5" x14ac:dyDescent="0.25">
      <c r="A23" s="6">
        <v>22</v>
      </c>
      <c r="B23" s="2">
        <v>4209</v>
      </c>
      <c r="C23" s="3" t="s">
        <v>41</v>
      </c>
      <c r="D23" s="2">
        <v>24</v>
      </c>
      <c r="E23" s="4" t="s">
        <v>36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  <c r="M23" s="5" t="s">
        <v>141</v>
      </c>
      <c r="N23" s="5">
        <v>0</v>
      </c>
    </row>
    <row r="24" spans="1:14" ht="31.5" x14ac:dyDescent="0.25">
      <c r="A24" s="6">
        <v>23</v>
      </c>
      <c r="B24" s="7">
        <v>4210</v>
      </c>
      <c r="C24" s="3" t="s">
        <v>42</v>
      </c>
      <c r="D24" s="7">
        <v>30</v>
      </c>
      <c r="E24" s="8" t="s">
        <v>38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  <c r="M24" s="5" t="s">
        <v>141</v>
      </c>
      <c r="N24" s="5">
        <v>0</v>
      </c>
    </row>
    <row r="25" spans="1:14" ht="31.5" x14ac:dyDescent="0.25">
      <c r="A25" s="6">
        <v>24</v>
      </c>
      <c r="B25" s="7">
        <v>4211</v>
      </c>
      <c r="C25" s="3" t="s">
        <v>42</v>
      </c>
      <c r="D25" s="7">
        <v>40</v>
      </c>
      <c r="E25" s="8" t="s">
        <v>40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  <c r="M25" s="5" t="s">
        <v>141</v>
      </c>
      <c r="N25" s="5">
        <v>0</v>
      </c>
    </row>
    <row r="26" spans="1:14" x14ac:dyDescent="0.25">
      <c r="A26" s="6">
        <v>25</v>
      </c>
      <c r="B26" s="7">
        <v>4212</v>
      </c>
      <c r="C26" s="3" t="s">
        <v>43</v>
      </c>
      <c r="D26" s="7">
        <v>30</v>
      </c>
      <c r="E26" s="8" t="s">
        <v>38</v>
      </c>
      <c r="F26" s="7">
        <v>100</v>
      </c>
      <c r="G26" s="2" t="s">
        <v>44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  <c r="M26" s="5" t="s">
        <v>141</v>
      </c>
      <c r="N26" s="5">
        <v>0</v>
      </c>
    </row>
    <row r="27" spans="1:14" x14ac:dyDescent="0.25">
      <c r="A27" s="6">
        <v>26</v>
      </c>
      <c r="B27" s="7">
        <v>4213</v>
      </c>
      <c r="C27" s="7" t="s">
        <v>45</v>
      </c>
      <c r="D27" s="7">
        <v>40</v>
      </c>
      <c r="E27" s="8" t="s">
        <v>40</v>
      </c>
      <c r="F27" s="7">
        <v>75</v>
      </c>
      <c r="G27" s="2" t="s">
        <v>46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  <c r="M27" s="5" t="s">
        <v>141</v>
      </c>
      <c r="N27" s="5">
        <v>0</v>
      </c>
    </row>
    <row r="28" spans="1:14" x14ac:dyDescent="0.25">
      <c r="A28" s="6">
        <v>27</v>
      </c>
      <c r="B28" s="7">
        <v>4305</v>
      </c>
      <c r="C28" s="7" t="s">
        <v>39</v>
      </c>
      <c r="D28" s="7">
        <v>90</v>
      </c>
      <c r="E28" s="23" t="s">
        <v>111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  <c r="M28" s="5" t="s">
        <v>141</v>
      </c>
      <c r="N28" s="5">
        <v>0</v>
      </c>
    </row>
    <row r="29" spans="1:14" x14ac:dyDescent="0.25">
      <c r="A29" s="6">
        <v>28</v>
      </c>
      <c r="B29" s="7">
        <v>7102</v>
      </c>
      <c r="C29" s="7" t="s">
        <v>47</v>
      </c>
      <c r="D29" s="7">
        <v>17</v>
      </c>
      <c r="E29" s="21" t="s">
        <v>127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  <c r="M29" s="5" t="s">
        <v>142</v>
      </c>
      <c r="N29" s="5">
        <v>0</v>
      </c>
    </row>
    <row r="30" spans="1:14" x14ac:dyDescent="0.25">
      <c r="A30" s="6">
        <v>29</v>
      </c>
      <c r="B30" s="7">
        <v>7103</v>
      </c>
      <c r="C30" s="7" t="s">
        <v>48</v>
      </c>
      <c r="D30" s="7">
        <v>35</v>
      </c>
      <c r="E30" s="21" t="s">
        <v>125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  <c r="M30" s="5" t="s">
        <v>142</v>
      </c>
      <c r="N30" s="5">
        <v>0</v>
      </c>
    </row>
    <row r="31" spans="1:14" x14ac:dyDescent="0.25">
      <c r="A31" s="6">
        <v>30</v>
      </c>
      <c r="B31" s="7">
        <v>7201</v>
      </c>
      <c r="C31" s="7" t="s">
        <v>49</v>
      </c>
      <c r="D31" s="7">
        <v>18</v>
      </c>
      <c r="E31" s="21" t="s">
        <v>126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  <c r="M31" s="5" t="s">
        <v>142</v>
      </c>
      <c r="N31" s="5">
        <v>0</v>
      </c>
    </row>
    <row r="32" spans="1:14" x14ac:dyDescent="0.25">
      <c r="A32" s="6">
        <v>31</v>
      </c>
      <c r="B32" s="7">
        <v>7301</v>
      </c>
      <c r="C32" s="7" t="s">
        <v>50</v>
      </c>
      <c r="D32" s="7">
        <v>27</v>
      </c>
      <c r="E32" s="21" t="s">
        <v>128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  <c r="M32" s="5" t="s">
        <v>142</v>
      </c>
      <c r="N32" s="5">
        <v>0</v>
      </c>
    </row>
    <row r="33" spans="1:14" x14ac:dyDescent="0.25">
      <c r="A33" s="6">
        <v>32</v>
      </c>
      <c r="B33" s="7">
        <v>2201</v>
      </c>
      <c r="C33" s="7" t="s">
        <v>51</v>
      </c>
      <c r="D33" s="7">
        <v>50</v>
      </c>
      <c r="E33" s="8" t="s">
        <v>115</v>
      </c>
      <c r="F33" s="7">
        <v>60</v>
      </c>
      <c r="G33" s="7">
        <v>10000</v>
      </c>
      <c r="H33" s="7" t="s">
        <v>52</v>
      </c>
      <c r="I33" s="8" t="s">
        <v>15</v>
      </c>
      <c r="J33" s="9">
        <v>495.99</v>
      </c>
      <c r="K33" s="8"/>
      <c r="L33" s="9">
        <f t="shared" si="0"/>
        <v>2.0161696808403393</v>
      </c>
      <c r="M33" s="5" t="s">
        <v>143</v>
      </c>
      <c r="N33" s="5">
        <v>0</v>
      </c>
    </row>
    <row r="34" spans="1:14" x14ac:dyDescent="0.25">
      <c r="A34" s="6">
        <v>33</v>
      </c>
      <c r="B34" s="7">
        <v>2202</v>
      </c>
      <c r="C34" s="7" t="s">
        <v>53</v>
      </c>
      <c r="D34" s="7">
        <v>50</v>
      </c>
      <c r="E34" s="8" t="s">
        <v>115</v>
      </c>
      <c r="F34" s="7">
        <v>60</v>
      </c>
      <c r="G34" s="7">
        <v>2000</v>
      </c>
      <c r="H34" s="7" t="s">
        <v>54</v>
      </c>
      <c r="I34" s="8" t="s">
        <v>15</v>
      </c>
      <c r="J34" s="9">
        <v>99.197999999999993</v>
      </c>
      <c r="K34" s="8"/>
      <c r="L34" s="9">
        <f t="shared" si="0"/>
        <v>10.080848404201697</v>
      </c>
      <c r="M34" s="5" t="s">
        <v>143</v>
      </c>
      <c r="N34" s="5">
        <v>0</v>
      </c>
    </row>
    <row r="35" spans="1:14" x14ac:dyDescent="0.25">
      <c r="A35" s="6">
        <v>34</v>
      </c>
      <c r="B35" s="7">
        <v>2203</v>
      </c>
      <c r="C35" s="7" t="s">
        <v>51</v>
      </c>
      <c r="D35" s="7">
        <v>50</v>
      </c>
      <c r="E35" s="8" t="s">
        <v>115</v>
      </c>
      <c r="F35" s="7">
        <v>60</v>
      </c>
      <c r="G35" s="7">
        <v>1</v>
      </c>
      <c r="H35" s="7" t="s">
        <v>55</v>
      </c>
      <c r="I35" s="8" t="s">
        <v>56</v>
      </c>
      <c r="J35" s="9">
        <v>887</v>
      </c>
      <c r="K35" s="8"/>
      <c r="L35" s="9">
        <f t="shared" si="0"/>
        <v>1.1273957158962795</v>
      </c>
      <c r="M35" s="5" t="s">
        <v>143</v>
      </c>
      <c r="N35" s="5">
        <v>0</v>
      </c>
    </row>
    <row r="36" spans="1:14" x14ac:dyDescent="0.25">
      <c r="A36" s="6">
        <v>35</v>
      </c>
      <c r="B36" s="11">
        <v>2204</v>
      </c>
      <c r="C36" s="11" t="s">
        <v>57</v>
      </c>
      <c r="D36" s="11">
        <v>35</v>
      </c>
      <c r="E36" s="24" t="s">
        <v>116</v>
      </c>
      <c r="F36" s="11">
        <v>80</v>
      </c>
      <c r="G36" s="11">
        <v>950</v>
      </c>
      <c r="H36" s="11" t="s">
        <v>55</v>
      </c>
      <c r="I36" s="12" t="s">
        <v>17</v>
      </c>
      <c r="J36" s="13">
        <v>841</v>
      </c>
      <c r="K36" s="11" t="s">
        <v>58</v>
      </c>
      <c r="L36" s="9">
        <f t="shared" si="0"/>
        <v>1.1890606420927468</v>
      </c>
      <c r="M36" s="5" t="s">
        <v>144</v>
      </c>
      <c r="N36" s="5">
        <v>0</v>
      </c>
    </row>
    <row r="37" spans="1:14" x14ac:dyDescent="0.25">
      <c r="A37" s="6">
        <v>36</v>
      </c>
      <c r="B37" s="11">
        <v>2205</v>
      </c>
      <c r="C37" s="11" t="s">
        <v>51</v>
      </c>
      <c r="D37" s="11">
        <v>50</v>
      </c>
      <c r="E37" s="24" t="s">
        <v>117</v>
      </c>
      <c r="F37" s="11">
        <v>60</v>
      </c>
      <c r="G37" s="11">
        <v>950</v>
      </c>
      <c r="H37" s="11" t="s">
        <v>55</v>
      </c>
      <c r="I37" s="12" t="s">
        <v>17</v>
      </c>
      <c r="J37" s="13">
        <v>841</v>
      </c>
      <c r="K37" s="11" t="s">
        <v>59</v>
      </c>
      <c r="L37" s="9">
        <f t="shared" si="0"/>
        <v>1.1890606420927468</v>
      </c>
      <c r="M37" s="5" t="s">
        <v>144</v>
      </c>
      <c r="N37" s="5">
        <v>0</v>
      </c>
    </row>
    <row r="38" spans="1:14" x14ac:dyDescent="0.25">
      <c r="A38" s="6">
        <v>37</v>
      </c>
      <c r="B38" s="11">
        <v>2206</v>
      </c>
      <c r="C38" s="11" t="s">
        <v>51</v>
      </c>
      <c r="D38" s="11">
        <v>50</v>
      </c>
      <c r="E38" s="24" t="s">
        <v>117</v>
      </c>
      <c r="F38" s="11">
        <v>60</v>
      </c>
      <c r="G38" s="11">
        <v>10000</v>
      </c>
      <c r="H38" s="11" t="s">
        <v>52</v>
      </c>
      <c r="I38" s="12" t="s">
        <v>15</v>
      </c>
      <c r="J38" s="13">
        <v>495.99</v>
      </c>
      <c r="K38" s="11" t="s">
        <v>60</v>
      </c>
      <c r="L38" s="9">
        <f t="shared" si="0"/>
        <v>2.0161696808403393</v>
      </c>
      <c r="M38" s="5" t="s">
        <v>144</v>
      </c>
      <c r="N38" s="5">
        <v>0</v>
      </c>
    </row>
    <row r="39" spans="1:14" x14ac:dyDescent="0.25">
      <c r="A39" s="6">
        <v>38</v>
      </c>
      <c r="B39" s="7">
        <v>2207</v>
      </c>
      <c r="C39" s="7" t="s">
        <v>61</v>
      </c>
      <c r="D39" s="7">
        <v>27</v>
      </c>
      <c r="E39" s="23" t="s">
        <v>118</v>
      </c>
      <c r="F39" s="7">
        <v>120</v>
      </c>
      <c r="G39" s="7">
        <v>5000</v>
      </c>
      <c r="H39" s="7" t="s">
        <v>54</v>
      </c>
      <c r="I39" s="8" t="s">
        <v>15</v>
      </c>
      <c r="J39" s="9">
        <v>137.77500000000001</v>
      </c>
      <c r="K39" s="7"/>
      <c r="L39" s="9">
        <f t="shared" si="0"/>
        <v>7.2582108510252219</v>
      </c>
      <c r="M39" s="5" t="s">
        <v>145</v>
      </c>
      <c r="N39" s="5">
        <v>0</v>
      </c>
    </row>
    <row r="40" spans="1:14" x14ac:dyDescent="0.25">
      <c r="A40" s="6">
        <v>39</v>
      </c>
      <c r="B40" s="7">
        <v>2208</v>
      </c>
      <c r="C40" s="7" t="s">
        <v>62</v>
      </c>
      <c r="D40" s="7">
        <v>30</v>
      </c>
      <c r="E40" s="23" t="s">
        <v>116</v>
      </c>
      <c r="F40" s="7">
        <v>80</v>
      </c>
      <c r="G40" s="7">
        <v>5000</v>
      </c>
      <c r="H40" s="7" t="s">
        <v>63</v>
      </c>
      <c r="I40" s="8" t="s">
        <v>15</v>
      </c>
      <c r="J40" s="9">
        <v>175.35000000000002</v>
      </c>
      <c r="K40" s="7"/>
      <c r="L40" s="9">
        <f t="shared" si="0"/>
        <v>5.7028799543769599</v>
      </c>
      <c r="M40" s="5" t="s">
        <v>144</v>
      </c>
      <c r="N40" s="5">
        <v>0</v>
      </c>
    </row>
    <row r="41" spans="1:14" x14ac:dyDescent="0.25">
      <c r="A41" s="6">
        <v>40</v>
      </c>
      <c r="B41" s="7">
        <v>2209</v>
      </c>
      <c r="C41" s="7" t="s">
        <v>62</v>
      </c>
      <c r="D41" s="7">
        <v>80</v>
      </c>
      <c r="E41" s="8" t="s">
        <v>116</v>
      </c>
      <c r="F41" s="7">
        <v>30</v>
      </c>
      <c r="G41" s="7">
        <v>15000</v>
      </c>
      <c r="H41" s="7" t="s">
        <v>52</v>
      </c>
      <c r="I41" s="8" t="s">
        <v>15</v>
      </c>
      <c r="J41" s="9">
        <v>525</v>
      </c>
      <c r="K41" s="7"/>
      <c r="L41" s="9">
        <f t="shared" si="0"/>
        <v>1.9047619047619047</v>
      </c>
      <c r="M41" s="5" t="s">
        <v>144</v>
      </c>
      <c r="N41" s="5">
        <v>0</v>
      </c>
    </row>
    <row r="42" spans="1:14" x14ac:dyDescent="0.25">
      <c r="A42" s="6">
        <v>41</v>
      </c>
      <c r="B42" s="7">
        <v>2210</v>
      </c>
      <c r="C42" s="7" t="s">
        <v>62</v>
      </c>
      <c r="D42" s="7">
        <v>35</v>
      </c>
      <c r="E42" s="8" t="s">
        <v>116</v>
      </c>
      <c r="F42" s="7">
        <v>30</v>
      </c>
      <c r="G42" s="7">
        <v>15000</v>
      </c>
      <c r="H42" s="7" t="s">
        <v>64</v>
      </c>
      <c r="I42" s="8" t="s">
        <v>15</v>
      </c>
      <c r="J42" s="9">
        <v>525</v>
      </c>
      <c r="K42" s="7"/>
      <c r="L42" s="9">
        <f t="shared" si="0"/>
        <v>1.9047619047619047</v>
      </c>
      <c r="M42" s="5" t="s">
        <v>144</v>
      </c>
      <c r="N42" s="5">
        <v>0</v>
      </c>
    </row>
    <row r="43" spans="1:14" x14ac:dyDescent="0.25">
      <c r="A43" s="6">
        <v>42</v>
      </c>
      <c r="B43" s="7">
        <v>2211</v>
      </c>
      <c r="C43" s="7" t="s">
        <v>65</v>
      </c>
      <c r="D43" s="7">
        <v>50</v>
      </c>
      <c r="E43" s="8" t="s">
        <v>115</v>
      </c>
      <c r="F43" s="7">
        <v>60</v>
      </c>
      <c r="G43" s="7">
        <v>1</v>
      </c>
      <c r="H43" s="7" t="s">
        <v>64</v>
      </c>
      <c r="I43" s="8" t="s">
        <v>56</v>
      </c>
      <c r="J43" s="9">
        <v>930</v>
      </c>
      <c r="K43" s="7"/>
      <c r="L43" s="9">
        <f t="shared" si="0"/>
        <v>1.075268817204301</v>
      </c>
      <c r="M43" s="5" t="s">
        <v>143</v>
      </c>
      <c r="N43" s="5">
        <v>0</v>
      </c>
    </row>
    <row r="44" spans="1:14" x14ac:dyDescent="0.25">
      <c r="A44" s="6">
        <v>43</v>
      </c>
      <c r="B44" s="7">
        <v>2301</v>
      </c>
      <c r="C44" s="7" t="s">
        <v>66</v>
      </c>
      <c r="D44" s="7">
        <v>70</v>
      </c>
      <c r="E44" s="8" t="s">
        <v>119</v>
      </c>
      <c r="F44" s="7">
        <v>40</v>
      </c>
      <c r="G44" s="7">
        <v>12000</v>
      </c>
      <c r="H44" s="7" t="s">
        <v>64</v>
      </c>
      <c r="I44" s="8" t="s">
        <v>15</v>
      </c>
      <c r="J44" s="9">
        <v>887</v>
      </c>
      <c r="K44" s="7"/>
      <c r="L44" s="9">
        <f t="shared" si="0"/>
        <v>1.1273957158962795</v>
      </c>
      <c r="M44" s="5" t="s">
        <v>143</v>
      </c>
      <c r="N44" s="5">
        <v>0</v>
      </c>
    </row>
    <row r="45" spans="1:14" x14ac:dyDescent="0.25">
      <c r="A45" s="6">
        <v>44</v>
      </c>
      <c r="B45" s="7">
        <v>2302</v>
      </c>
      <c r="C45" s="7" t="s">
        <v>67</v>
      </c>
      <c r="D45" s="7">
        <v>70</v>
      </c>
      <c r="E45" s="8" t="s">
        <v>119</v>
      </c>
      <c r="F45" s="7">
        <v>40</v>
      </c>
      <c r="G45" s="7">
        <v>7000</v>
      </c>
      <c r="H45" s="7" t="s">
        <v>52</v>
      </c>
      <c r="I45" s="8" t="s">
        <v>15</v>
      </c>
      <c r="J45" s="9">
        <v>518</v>
      </c>
      <c r="K45" s="7"/>
      <c r="L45" s="9">
        <f t="shared" si="0"/>
        <v>1.9305019305019304</v>
      </c>
      <c r="M45" s="5" t="s">
        <v>143</v>
      </c>
      <c r="N45" s="5">
        <v>0</v>
      </c>
    </row>
    <row r="46" spans="1:14" x14ac:dyDescent="0.25">
      <c r="A46" s="6">
        <v>45</v>
      </c>
      <c r="B46" s="7">
        <v>2303</v>
      </c>
      <c r="C46" s="7" t="s">
        <v>68</v>
      </c>
      <c r="D46" s="7">
        <v>70</v>
      </c>
      <c r="E46" s="8" t="s">
        <v>119</v>
      </c>
      <c r="F46" s="7">
        <v>40</v>
      </c>
      <c r="G46" s="7">
        <v>1500</v>
      </c>
      <c r="H46" s="7" t="s">
        <v>54</v>
      </c>
      <c r="I46" s="8" t="s">
        <v>15</v>
      </c>
      <c r="J46" s="9">
        <v>111.22199999999999</v>
      </c>
      <c r="K46" s="7"/>
      <c r="L46" s="9">
        <f t="shared" si="0"/>
        <v>8.9910269550988122</v>
      </c>
      <c r="M46" s="5" t="s">
        <v>143</v>
      </c>
      <c r="N46" s="5">
        <v>0</v>
      </c>
    </row>
    <row r="47" spans="1:14" x14ac:dyDescent="0.25">
      <c r="A47" s="6">
        <v>46</v>
      </c>
      <c r="B47" s="7">
        <v>2304</v>
      </c>
      <c r="C47" s="7" t="s">
        <v>69</v>
      </c>
      <c r="D47" s="7">
        <v>70</v>
      </c>
      <c r="E47" s="8" t="s">
        <v>119</v>
      </c>
      <c r="F47" s="7">
        <v>40</v>
      </c>
      <c r="G47" s="7">
        <v>500</v>
      </c>
      <c r="H47" s="7" t="s">
        <v>70</v>
      </c>
      <c r="I47" s="8" t="s">
        <v>15</v>
      </c>
      <c r="J47" s="9">
        <v>37.073999999999998</v>
      </c>
      <c r="K47" s="7"/>
      <c r="L47" s="9">
        <f t="shared" si="0"/>
        <v>26.973080865296435</v>
      </c>
      <c r="M47" s="5" t="s">
        <v>143</v>
      </c>
      <c r="N47" s="5">
        <v>0</v>
      </c>
    </row>
    <row r="48" spans="1:14" x14ac:dyDescent="0.25">
      <c r="A48" s="6">
        <v>47</v>
      </c>
      <c r="B48" s="7">
        <v>2305</v>
      </c>
      <c r="C48" s="7" t="s">
        <v>71</v>
      </c>
      <c r="D48" s="7">
        <v>70</v>
      </c>
      <c r="E48" s="8" t="s">
        <v>119</v>
      </c>
      <c r="F48" s="7">
        <v>40</v>
      </c>
      <c r="G48" s="7">
        <v>10000</v>
      </c>
      <c r="H48" s="7" t="s">
        <v>55</v>
      </c>
      <c r="I48" s="8" t="s">
        <v>15</v>
      </c>
      <c r="J48" s="9">
        <v>740</v>
      </c>
      <c r="K48" s="7"/>
      <c r="L48" s="9">
        <f t="shared" si="0"/>
        <v>1.3513513513513513</v>
      </c>
      <c r="M48" s="5" t="s">
        <v>143</v>
      </c>
      <c r="N48" s="5">
        <v>0</v>
      </c>
    </row>
    <row r="49" spans="1:14" x14ac:dyDescent="0.25">
      <c r="A49" s="6">
        <v>48</v>
      </c>
      <c r="B49" s="7">
        <v>2306</v>
      </c>
      <c r="C49" s="7" t="s">
        <v>72</v>
      </c>
      <c r="D49" s="7">
        <v>90</v>
      </c>
      <c r="E49" s="8" t="s">
        <v>120</v>
      </c>
      <c r="F49" s="7">
        <v>30</v>
      </c>
      <c r="G49" s="7">
        <v>1500</v>
      </c>
      <c r="H49" s="7" t="s">
        <v>63</v>
      </c>
      <c r="I49" s="8" t="s">
        <v>15</v>
      </c>
      <c r="J49" s="9">
        <v>131.51249999999999</v>
      </c>
      <c r="K49" s="7"/>
      <c r="L49" s="9">
        <f t="shared" si="0"/>
        <v>7.6038399391692808</v>
      </c>
      <c r="M49" s="5" t="s">
        <v>143</v>
      </c>
      <c r="N49" s="5">
        <v>0</v>
      </c>
    </row>
    <row r="50" spans="1:14" x14ac:dyDescent="0.25">
      <c r="A50" s="6">
        <v>49</v>
      </c>
      <c r="B50" s="7">
        <v>2307</v>
      </c>
      <c r="C50" s="7" t="s">
        <v>66</v>
      </c>
      <c r="D50" s="7">
        <v>70</v>
      </c>
      <c r="E50" s="8" t="s">
        <v>119</v>
      </c>
      <c r="F50" s="7">
        <v>40</v>
      </c>
      <c r="G50" s="7">
        <v>1</v>
      </c>
      <c r="H50" s="7" t="s">
        <v>64</v>
      </c>
      <c r="I50" s="8" t="s">
        <v>56</v>
      </c>
      <c r="J50" s="9">
        <v>887</v>
      </c>
      <c r="K50" s="7"/>
      <c r="L50" s="9">
        <f t="shared" si="0"/>
        <v>1.1273957158962795</v>
      </c>
      <c r="M50" s="5" t="s">
        <v>143</v>
      </c>
      <c r="N50" s="5">
        <v>0</v>
      </c>
    </row>
    <row r="51" spans="1:14" x14ac:dyDescent="0.25">
      <c r="A51" s="6">
        <v>50</v>
      </c>
      <c r="B51" s="7">
        <v>2310</v>
      </c>
      <c r="C51" s="7" t="s">
        <v>73</v>
      </c>
      <c r="D51" s="7">
        <v>135</v>
      </c>
      <c r="E51" s="8" t="s">
        <v>121</v>
      </c>
      <c r="F51" s="7">
        <v>20</v>
      </c>
      <c r="G51" s="7">
        <v>5000</v>
      </c>
      <c r="H51" s="7" t="s">
        <v>64</v>
      </c>
      <c r="I51" s="8" t="s">
        <v>15</v>
      </c>
      <c r="J51" s="9">
        <v>755.76</v>
      </c>
      <c r="K51" s="7"/>
      <c r="L51" s="9">
        <f t="shared" si="0"/>
        <v>1.3231713771567695</v>
      </c>
      <c r="M51" s="5" t="s">
        <v>143</v>
      </c>
      <c r="N51" s="5">
        <v>0</v>
      </c>
    </row>
    <row r="52" spans="1:14" x14ac:dyDescent="0.25">
      <c r="A52" s="6">
        <v>51</v>
      </c>
      <c r="B52" s="7">
        <v>2311</v>
      </c>
      <c r="C52" s="7" t="s">
        <v>74</v>
      </c>
      <c r="D52" s="7">
        <v>135</v>
      </c>
      <c r="E52" s="8" t="s">
        <v>121</v>
      </c>
      <c r="F52" s="7">
        <v>20</v>
      </c>
      <c r="G52" s="7">
        <v>1000</v>
      </c>
      <c r="H52" s="7" t="s">
        <v>63</v>
      </c>
      <c r="I52" s="8" t="s">
        <v>15</v>
      </c>
      <c r="J52" s="9">
        <v>152.304</v>
      </c>
      <c r="K52" s="7"/>
      <c r="L52" s="9">
        <f t="shared" si="0"/>
        <v>6.5658157369471581</v>
      </c>
      <c r="M52" s="5" t="s">
        <v>143</v>
      </c>
      <c r="N52" s="5">
        <v>0</v>
      </c>
    </row>
    <row r="53" spans="1:14" x14ac:dyDescent="0.25">
      <c r="A53" s="6">
        <v>52</v>
      </c>
      <c r="B53" s="11">
        <v>2313</v>
      </c>
      <c r="C53" s="11" t="s">
        <v>75</v>
      </c>
      <c r="D53" s="11">
        <v>70</v>
      </c>
      <c r="E53" s="12" t="s">
        <v>122</v>
      </c>
      <c r="F53" s="11">
        <v>40</v>
      </c>
      <c r="G53" s="11">
        <v>3000</v>
      </c>
      <c r="H53" s="11" t="s">
        <v>63</v>
      </c>
      <c r="I53" s="12" t="s">
        <v>15</v>
      </c>
      <c r="J53" s="13">
        <v>222.44399999999999</v>
      </c>
      <c r="K53" s="11" t="s">
        <v>76</v>
      </c>
      <c r="L53" s="9">
        <f t="shared" si="0"/>
        <v>4.4955134775494061</v>
      </c>
      <c r="M53" s="5" t="s">
        <v>144</v>
      </c>
      <c r="N53" s="5">
        <v>0</v>
      </c>
    </row>
    <row r="54" spans="1:14" x14ac:dyDescent="0.25">
      <c r="A54" s="6">
        <v>53</v>
      </c>
      <c r="B54" s="11">
        <v>2314</v>
      </c>
      <c r="C54" s="11" t="s">
        <v>74</v>
      </c>
      <c r="D54" s="11">
        <v>135</v>
      </c>
      <c r="E54" s="24" t="s">
        <v>123</v>
      </c>
      <c r="F54" s="11">
        <v>20</v>
      </c>
      <c r="G54" s="11">
        <v>1500</v>
      </c>
      <c r="H54" s="11" t="s">
        <v>63</v>
      </c>
      <c r="I54" s="12" t="s">
        <v>15</v>
      </c>
      <c r="J54" s="13">
        <v>228.45599999999999</v>
      </c>
      <c r="K54" s="11" t="s">
        <v>77</v>
      </c>
      <c r="L54" s="9">
        <f t="shared" si="0"/>
        <v>4.377210491298106</v>
      </c>
      <c r="M54" s="5" t="s">
        <v>144</v>
      </c>
      <c r="N54" s="5">
        <v>0</v>
      </c>
    </row>
    <row r="55" spans="1:14" x14ac:dyDescent="0.25">
      <c r="A55" s="6">
        <v>54</v>
      </c>
      <c r="B55" s="11">
        <v>2315</v>
      </c>
      <c r="C55" s="11" t="s">
        <v>75</v>
      </c>
      <c r="D55" s="11">
        <v>70</v>
      </c>
      <c r="E55" s="12" t="s">
        <v>119</v>
      </c>
      <c r="F55" s="11">
        <v>40</v>
      </c>
      <c r="G55" s="11">
        <v>3000</v>
      </c>
      <c r="H55" s="11" t="s">
        <v>63</v>
      </c>
      <c r="I55" s="12" t="s">
        <v>15</v>
      </c>
      <c r="J55" s="13">
        <v>222.44399999999999</v>
      </c>
      <c r="K55" s="11" t="s">
        <v>78</v>
      </c>
      <c r="L55" s="9">
        <f t="shared" si="0"/>
        <v>4.4955134775494061</v>
      </c>
      <c r="M55" s="5" t="s">
        <v>143</v>
      </c>
      <c r="N55" s="5">
        <v>0</v>
      </c>
    </row>
    <row r="56" spans="1:14" x14ac:dyDescent="0.25">
      <c r="A56" s="6">
        <v>55</v>
      </c>
      <c r="B56" s="11">
        <v>2316</v>
      </c>
      <c r="C56" s="11" t="s">
        <v>74</v>
      </c>
      <c r="D56" s="11">
        <v>135</v>
      </c>
      <c r="E56" s="12" t="s">
        <v>121</v>
      </c>
      <c r="F56" s="11">
        <v>20</v>
      </c>
      <c r="G56" s="11">
        <v>1500</v>
      </c>
      <c r="H56" s="11" t="s">
        <v>63</v>
      </c>
      <c r="I56" s="12" t="s">
        <v>15</v>
      </c>
      <c r="J56" s="13">
        <v>228.45599999999999</v>
      </c>
      <c r="K56" s="11" t="s">
        <v>79</v>
      </c>
      <c r="L56" s="9">
        <f t="shared" si="0"/>
        <v>4.377210491298106</v>
      </c>
      <c r="M56" s="5" t="s">
        <v>143</v>
      </c>
      <c r="N56" s="5">
        <v>0</v>
      </c>
    </row>
    <row r="57" spans="1:14" x14ac:dyDescent="0.25">
      <c r="A57" s="6">
        <v>56</v>
      </c>
      <c r="B57" s="11">
        <v>2317</v>
      </c>
      <c r="C57" s="11" t="s">
        <v>80</v>
      </c>
      <c r="D57" s="11">
        <v>270</v>
      </c>
      <c r="E57" s="24" t="s">
        <v>124</v>
      </c>
      <c r="F57" s="11">
        <v>10</v>
      </c>
      <c r="G57" s="11">
        <v>1000</v>
      </c>
      <c r="H57" s="11" t="s">
        <v>63</v>
      </c>
      <c r="I57" s="12" t="s">
        <v>15</v>
      </c>
      <c r="J57" s="13">
        <v>316</v>
      </c>
      <c r="K57" s="11" t="s">
        <v>81</v>
      </c>
      <c r="L57" s="9">
        <f t="shared" si="0"/>
        <v>3.1645569620253164</v>
      </c>
      <c r="M57" s="5" t="s">
        <v>143</v>
      </c>
      <c r="N57" s="5">
        <v>0</v>
      </c>
    </row>
    <row r="58" spans="1:14" x14ac:dyDescent="0.25">
      <c r="A58" s="6">
        <v>57</v>
      </c>
      <c r="B58" s="11">
        <v>2318</v>
      </c>
      <c r="C58" s="11" t="s">
        <v>82</v>
      </c>
      <c r="D58" s="11">
        <v>180</v>
      </c>
      <c r="E58" s="24" t="s">
        <v>160</v>
      </c>
      <c r="F58" s="11">
        <v>15</v>
      </c>
      <c r="G58" s="11">
        <v>1500</v>
      </c>
      <c r="H58" s="11" t="s">
        <v>63</v>
      </c>
      <c r="I58" s="12" t="s">
        <v>15</v>
      </c>
      <c r="J58" s="13">
        <v>262.5</v>
      </c>
      <c r="K58" s="11" t="s">
        <v>83</v>
      </c>
      <c r="L58" s="9">
        <f t="shared" si="0"/>
        <v>3.8095238095238093</v>
      </c>
      <c r="M58" s="5" t="s">
        <v>144</v>
      </c>
      <c r="N58" s="5">
        <v>0</v>
      </c>
    </row>
    <row r="59" spans="1:14" x14ac:dyDescent="0.25">
      <c r="A59" s="6">
        <v>58</v>
      </c>
      <c r="B59" s="11">
        <v>2319</v>
      </c>
      <c r="C59" s="11" t="s">
        <v>75</v>
      </c>
      <c r="D59" s="11">
        <v>70</v>
      </c>
      <c r="E59" s="12" t="s">
        <v>122</v>
      </c>
      <c r="F59" s="11">
        <v>40</v>
      </c>
      <c r="G59" s="11">
        <v>6500</v>
      </c>
      <c r="H59" s="11" t="s">
        <v>52</v>
      </c>
      <c r="I59" s="12" t="s">
        <v>15</v>
      </c>
      <c r="J59" s="13">
        <v>481</v>
      </c>
      <c r="K59" s="11" t="s">
        <v>84</v>
      </c>
      <c r="L59" s="9">
        <f t="shared" si="0"/>
        <v>2.0790020790020791</v>
      </c>
      <c r="M59" s="5" t="s">
        <v>144</v>
      </c>
      <c r="N59" s="5">
        <v>0</v>
      </c>
    </row>
    <row r="60" spans="1:14" x14ac:dyDescent="0.25">
      <c r="A60" s="6">
        <v>59</v>
      </c>
      <c r="B60" s="7">
        <v>2320</v>
      </c>
      <c r="C60" s="7" t="s">
        <v>74</v>
      </c>
      <c r="D60" s="7">
        <v>135</v>
      </c>
      <c r="E60" s="8" t="s">
        <v>121</v>
      </c>
      <c r="F60" s="7">
        <v>20</v>
      </c>
      <c r="G60" s="7">
        <v>1000</v>
      </c>
      <c r="H60" s="7" t="s">
        <v>63</v>
      </c>
      <c r="I60" s="8" t="s">
        <v>15</v>
      </c>
      <c r="J60" s="9">
        <v>152.304</v>
      </c>
      <c r="K60" s="8"/>
      <c r="L60" s="9">
        <f t="shared" si="0"/>
        <v>6.5658157369471581</v>
      </c>
      <c r="M60" s="5" t="s">
        <v>143</v>
      </c>
      <c r="N60" s="5">
        <v>0</v>
      </c>
    </row>
    <row r="61" spans="1:14" x14ac:dyDescent="0.25">
      <c r="A61" s="6">
        <v>60</v>
      </c>
      <c r="B61" s="11">
        <v>2321</v>
      </c>
      <c r="C61" s="11" t="s">
        <v>72</v>
      </c>
      <c r="D61" s="11">
        <v>90</v>
      </c>
      <c r="E61" s="12" t="s">
        <v>120</v>
      </c>
      <c r="F61" s="11">
        <v>30</v>
      </c>
      <c r="G61" s="11">
        <v>2500</v>
      </c>
      <c r="H61" s="11" t="s">
        <v>63</v>
      </c>
      <c r="I61" s="12" t="s">
        <v>15</v>
      </c>
      <c r="J61" s="13">
        <v>219.1875</v>
      </c>
      <c r="K61" s="11" t="s">
        <v>85</v>
      </c>
      <c r="L61" s="9">
        <f t="shared" si="0"/>
        <v>4.5623039635015683</v>
      </c>
      <c r="M61" s="5" t="s">
        <v>143</v>
      </c>
      <c r="N61" s="5">
        <v>0</v>
      </c>
    </row>
    <row r="62" spans="1:14" x14ac:dyDescent="0.25">
      <c r="A62" s="6">
        <v>61</v>
      </c>
      <c r="B62" s="11">
        <v>2322</v>
      </c>
      <c r="C62" s="11" t="s">
        <v>53</v>
      </c>
      <c r="D62" s="11">
        <v>45</v>
      </c>
      <c r="E62" s="24" t="s">
        <v>134</v>
      </c>
      <c r="F62" s="11">
        <v>60</v>
      </c>
      <c r="G62" s="11">
        <v>5000</v>
      </c>
      <c r="H62" s="11" t="s">
        <v>63</v>
      </c>
      <c r="I62" s="12" t="s">
        <v>15</v>
      </c>
      <c r="J62" s="13">
        <v>263.02499999999998</v>
      </c>
      <c r="K62" s="11" t="s">
        <v>86</v>
      </c>
      <c r="L62" s="9">
        <f t="shared" si="0"/>
        <v>3.8019199695846404</v>
      </c>
      <c r="M62" s="5" t="s">
        <v>144</v>
      </c>
      <c r="N62" s="5">
        <v>0</v>
      </c>
    </row>
    <row r="63" spans="1:14" x14ac:dyDescent="0.25">
      <c r="A63" s="6">
        <v>62</v>
      </c>
      <c r="B63" s="14">
        <v>2323</v>
      </c>
      <c r="C63" s="7" t="s">
        <v>74</v>
      </c>
      <c r="D63" s="7">
        <v>135</v>
      </c>
      <c r="E63" s="8" t="s">
        <v>123</v>
      </c>
      <c r="F63" s="7">
        <v>20</v>
      </c>
      <c r="G63" s="7">
        <v>1500</v>
      </c>
      <c r="H63" s="7" t="s">
        <v>63</v>
      </c>
      <c r="I63" s="8" t="s">
        <v>15</v>
      </c>
      <c r="J63" s="9">
        <v>228.45599999999999</v>
      </c>
      <c r="K63" s="8"/>
      <c r="L63" s="9">
        <f t="shared" si="0"/>
        <v>4.377210491298106</v>
      </c>
      <c r="M63" s="5" t="s">
        <v>144</v>
      </c>
      <c r="N63" s="5">
        <v>0</v>
      </c>
    </row>
    <row r="64" spans="1:14" x14ac:dyDescent="0.25">
      <c r="A64" s="6">
        <v>63</v>
      </c>
      <c r="B64" s="7">
        <v>2324</v>
      </c>
      <c r="C64" s="7" t="s">
        <v>75</v>
      </c>
      <c r="D64" s="7">
        <v>70</v>
      </c>
      <c r="E64" s="8" t="s">
        <v>122</v>
      </c>
      <c r="F64" s="7">
        <v>40</v>
      </c>
      <c r="G64" s="7">
        <v>3000</v>
      </c>
      <c r="H64" s="7" t="s">
        <v>63</v>
      </c>
      <c r="I64" s="8" t="s">
        <v>15</v>
      </c>
      <c r="J64" s="9">
        <v>222.44399999999999</v>
      </c>
      <c r="K64" s="8"/>
      <c r="L64" s="9">
        <f t="shared" si="0"/>
        <v>4.4955134775494061</v>
      </c>
      <c r="M64" s="5" t="s">
        <v>144</v>
      </c>
      <c r="N64" s="5">
        <v>0</v>
      </c>
    </row>
    <row r="65" spans="1:14" x14ac:dyDescent="0.25">
      <c r="A65" s="6">
        <v>64</v>
      </c>
      <c r="B65" s="7">
        <v>2325</v>
      </c>
      <c r="C65" s="7" t="s">
        <v>87</v>
      </c>
      <c r="D65" s="7">
        <v>330</v>
      </c>
      <c r="E65" s="8" t="s">
        <v>124</v>
      </c>
      <c r="F65" s="7">
        <v>8</v>
      </c>
      <c r="G65" s="7">
        <v>500</v>
      </c>
      <c r="H65" s="7" t="s">
        <v>63</v>
      </c>
      <c r="I65" s="8" t="s">
        <v>15</v>
      </c>
      <c r="J65" s="9">
        <v>178</v>
      </c>
      <c r="K65" s="8"/>
      <c r="L65" s="9">
        <f t="shared" si="0"/>
        <v>5.617977528089888</v>
      </c>
      <c r="M65" s="5" t="s">
        <v>143</v>
      </c>
      <c r="N65" s="5">
        <v>0</v>
      </c>
    </row>
    <row r="66" spans="1:14" x14ac:dyDescent="0.25">
      <c r="A66" s="6">
        <v>65</v>
      </c>
      <c r="B66" s="7">
        <v>2326</v>
      </c>
      <c r="C66" s="7" t="s">
        <v>75</v>
      </c>
      <c r="D66" s="7">
        <v>70</v>
      </c>
      <c r="E66" s="8" t="s">
        <v>122</v>
      </c>
      <c r="F66" s="7">
        <v>40</v>
      </c>
      <c r="G66" s="7">
        <v>1500</v>
      </c>
      <c r="H66" s="7" t="s">
        <v>63</v>
      </c>
      <c r="I66" s="8" t="s">
        <v>15</v>
      </c>
      <c r="J66" s="9">
        <v>111.22199999999999</v>
      </c>
      <c r="K66" s="8"/>
      <c r="L66" s="9">
        <f t="shared" si="0"/>
        <v>8.9910269550988122</v>
      </c>
      <c r="M66" s="5" t="s">
        <v>144</v>
      </c>
      <c r="N66" s="5">
        <v>0</v>
      </c>
    </row>
    <row r="67" spans="1:14" x14ac:dyDescent="0.25">
      <c r="A67" s="6">
        <v>66</v>
      </c>
      <c r="B67" s="7">
        <v>3201</v>
      </c>
      <c r="C67" s="7" t="s">
        <v>88</v>
      </c>
      <c r="D67" s="7">
        <v>50</v>
      </c>
      <c r="E67" s="8" t="s">
        <v>129</v>
      </c>
      <c r="F67" s="7">
        <v>60</v>
      </c>
      <c r="G67" s="7">
        <v>1000</v>
      </c>
      <c r="H67" s="7" t="s">
        <v>54</v>
      </c>
      <c r="I67" s="8" t="s">
        <v>15</v>
      </c>
      <c r="J67" s="9">
        <v>49.598999999999997</v>
      </c>
      <c r="K67" s="8"/>
      <c r="L67" s="9">
        <f t="shared" si="0"/>
        <v>20.161696808403395</v>
      </c>
      <c r="M67" s="5" t="s">
        <v>136</v>
      </c>
      <c r="N67" s="5">
        <v>0</v>
      </c>
    </row>
    <row r="68" spans="1:14" x14ac:dyDescent="0.25">
      <c r="A68" s="6">
        <v>67</v>
      </c>
      <c r="B68" s="7">
        <v>3202</v>
      </c>
      <c r="C68" s="7" t="s">
        <v>89</v>
      </c>
      <c r="D68" s="7">
        <v>50</v>
      </c>
      <c r="E68" s="8" t="s">
        <v>129</v>
      </c>
      <c r="F68" s="7">
        <v>60</v>
      </c>
      <c r="G68" s="7">
        <v>2000</v>
      </c>
      <c r="H68" s="7" t="s">
        <v>54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  <c r="M68" s="5" t="s">
        <v>136</v>
      </c>
      <c r="N68" s="5">
        <v>0</v>
      </c>
    </row>
    <row r="69" spans="1:14" x14ac:dyDescent="0.25">
      <c r="A69" s="6">
        <v>68</v>
      </c>
      <c r="B69" s="7">
        <v>3203</v>
      </c>
      <c r="C69" s="7" t="s">
        <v>88</v>
      </c>
      <c r="D69" s="7">
        <v>50</v>
      </c>
      <c r="E69" s="8" t="s">
        <v>129</v>
      </c>
      <c r="F69" s="7">
        <v>60</v>
      </c>
      <c r="G69" s="7">
        <v>500</v>
      </c>
      <c r="H69" s="7" t="s">
        <v>90</v>
      </c>
      <c r="I69" s="8" t="s">
        <v>15</v>
      </c>
      <c r="J69" s="9">
        <v>24.799499999999998</v>
      </c>
      <c r="K69" s="8"/>
      <c r="L69" s="9">
        <f t="shared" si="1"/>
        <v>40.32339361680679</v>
      </c>
      <c r="M69" s="5" t="s">
        <v>136</v>
      </c>
      <c r="N69" s="5">
        <v>0</v>
      </c>
    </row>
    <row r="70" spans="1:14" x14ac:dyDescent="0.25">
      <c r="A70" s="6">
        <v>69</v>
      </c>
      <c r="B70" s="7">
        <v>3301</v>
      </c>
      <c r="C70" s="7" t="s">
        <v>91</v>
      </c>
      <c r="D70" s="7">
        <v>70</v>
      </c>
      <c r="E70" s="8" t="s">
        <v>130</v>
      </c>
      <c r="F70" s="7">
        <v>40</v>
      </c>
      <c r="G70" s="7">
        <v>500</v>
      </c>
      <c r="H70" s="7" t="s">
        <v>70</v>
      </c>
      <c r="I70" s="8" t="s">
        <v>15</v>
      </c>
      <c r="J70" s="9">
        <v>37.073999999999998</v>
      </c>
      <c r="K70" s="8"/>
      <c r="L70" s="9">
        <f t="shared" si="1"/>
        <v>26.973080865296435</v>
      </c>
      <c r="M70" s="5" t="s">
        <v>136</v>
      </c>
      <c r="N70" s="5">
        <v>0</v>
      </c>
    </row>
    <row r="71" spans="1:14" x14ac:dyDescent="0.25">
      <c r="A71" s="6">
        <v>70</v>
      </c>
      <c r="B71" s="7">
        <v>3302</v>
      </c>
      <c r="C71" s="7" t="s">
        <v>92</v>
      </c>
      <c r="D71" s="7">
        <v>70</v>
      </c>
      <c r="E71" s="23" t="s">
        <v>130</v>
      </c>
      <c r="F71" s="7">
        <v>40</v>
      </c>
      <c r="G71" s="7">
        <v>1500</v>
      </c>
      <c r="H71" s="7" t="s">
        <v>54</v>
      </c>
      <c r="I71" s="8" t="s">
        <v>15</v>
      </c>
      <c r="J71" s="9">
        <v>111.22199999999999</v>
      </c>
      <c r="K71" s="8"/>
      <c r="L71" s="9">
        <f t="shared" si="1"/>
        <v>8.9910269550988122</v>
      </c>
      <c r="M71" s="5" t="s">
        <v>136</v>
      </c>
      <c r="N71" s="5">
        <v>0</v>
      </c>
    </row>
    <row r="72" spans="1:14" x14ac:dyDescent="0.25">
      <c r="A72" s="6">
        <v>71</v>
      </c>
      <c r="B72" s="7">
        <v>3303</v>
      </c>
      <c r="C72" s="7" t="s">
        <v>93</v>
      </c>
      <c r="D72" s="7">
        <v>70</v>
      </c>
      <c r="E72" s="8" t="s">
        <v>130</v>
      </c>
      <c r="F72" s="7">
        <v>40</v>
      </c>
      <c r="G72" s="7">
        <v>1000</v>
      </c>
      <c r="H72" s="7" t="s">
        <v>54</v>
      </c>
      <c r="I72" s="8" t="s">
        <v>15</v>
      </c>
      <c r="J72" s="9">
        <v>74.147999999999996</v>
      </c>
      <c r="K72" s="8"/>
      <c r="L72" s="9">
        <f t="shared" si="1"/>
        <v>13.486540432648217</v>
      </c>
      <c r="M72" s="5" t="s">
        <v>136</v>
      </c>
      <c r="N72" s="5">
        <v>0</v>
      </c>
    </row>
    <row r="73" spans="1:14" x14ac:dyDescent="0.25">
      <c r="A73" s="6">
        <v>72</v>
      </c>
      <c r="B73" s="7">
        <v>3304</v>
      </c>
      <c r="C73" s="7" t="s">
        <v>94</v>
      </c>
      <c r="D73" s="7">
        <v>135</v>
      </c>
      <c r="E73" s="8" t="s">
        <v>131</v>
      </c>
      <c r="F73" s="7">
        <v>20</v>
      </c>
      <c r="G73" s="7">
        <v>500</v>
      </c>
      <c r="H73" s="7" t="s">
        <v>54</v>
      </c>
      <c r="I73" s="8" t="s">
        <v>15</v>
      </c>
      <c r="J73" s="9">
        <v>76.152000000000001</v>
      </c>
      <c r="K73" s="8"/>
      <c r="L73" s="9">
        <f t="shared" si="1"/>
        <v>13.131631473894316</v>
      </c>
      <c r="M73" s="5" t="s">
        <v>136</v>
      </c>
      <c r="N73" s="5">
        <v>0</v>
      </c>
    </row>
    <row r="74" spans="1:14" x14ac:dyDescent="0.25">
      <c r="A74" s="6">
        <v>73</v>
      </c>
      <c r="B74" s="7">
        <v>3310</v>
      </c>
      <c r="C74" s="7" t="s">
        <v>94</v>
      </c>
      <c r="D74" s="7">
        <v>135</v>
      </c>
      <c r="E74" s="8" t="s">
        <v>131</v>
      </c>
      <c r="F74" s="7">
        <v>20</v>
      </c>
      <c r="G74" s="7">
        <v>1000</v>
      </c>
      <c r="H74" s="7" t="s">
        <v>63</v>
      </c>
      <c r="I74" s="8" t="s">
        <v>15</v>
      </c>
      <c r="J74" s="9">
        <v>153.30600000000001</v>
      </c>
      <c r="K74" s="8"/>
      <c r="L74" s="9">
        <f t="shared" si="1"/>
        <v>6.5229019086010975</v>
      </c>
      <c r="M74" s="5" t="s">
        <v>136</v>
      </c>
      <c r="N74" s="5">
        <v>0</v>
      </c>
    </row>
    <row r="75" spans="1:14" x14ac:dyDescent="0.25">
      <c r="A75" s="6">
        <v>74</v>
      </c>
      <c r="B75" s="7">
        <v>3311</v>
      </c>
      <c r="C75" s="7" t="s">
        <v>95</v>
      </c>
      <c r="D75" s="7">
        <v>270</v>
      </c>
      <c r="E75" s="23" t="s">
        <v>132</v>
      </c>
      <c r="F75" s="7">
        <v>10</v>
      </c>
      <c r="G75" s="7">
        <v>500</v>
      </c>
      <c r="H75" s="7" t="s">
        <v>63</v>
      </c>
      <c r="I75" s="8" t="s">
        <v>15</v>
      </c>
      <c r="J75" s="9">
        <v>148.75</v>
      </c>
      <c r="K75" s="8"/>
      <c r="L75" s="9">
        <f t="shared" si="1"/>
        <v>6.7226890756302522</v>
      </c>
      <c r="M75" s="5" t="s">
        <v>136</v>
      </c>
      <c r="N75" s="5">
        <v>0</v>
      </c>
    </row>
    <row r="76" spans="1:14" x14ac:dyDescent="0.25">
      <c r="A76" s="6">
        <v>75</v>
      </c>
      <c r="B76" s="7">
        <v>3401</v>
      </c>
      <c r="C76" s="7" t="s">
        <v>96</v>
      </c>
      <c r="D76" s="7">
        <v>90</v>
      </c>
      <c r="E76" s="21" t="s">
        <v>133</v>
      </c>
      <c r="F76" s="7">
        <v>30</v>
      </c>
      <c r="G76" s="7">
        <v>1000</v>
      </c>
      <c r="H76" s="7" t="s">
        <v>54</v>
      </c>
      <c r="I76" s="8" t="s">
        <v>15</v>
      </c>
      <c r="J76" s="9">
        <v>99.197999999999993</v>
      </c>
      <c r="K76" s="8"/>
      <c r="L76" s="9">
        <f t="shared" si="1"/>
        <v>10.080848404201697</v>
      </c>
      <c r="M76" s="5" t="s">
        <v>136</v>
      </c>
      <c r="N76" s="5">
        <v>0</v>
      </c>
    </row>
    <row r="77" spans="1:14" x14ac:dyDescent="0.25">
      <c r="A77" s="6">
        <v>76</v>
      </c>
      <c r="B77" s="7">
        <v>3402</v>
      </c>
      <c r="C77" s="7" t="s">
        <v>96</v>
      </c>
      <c r="D77" s="7">
        <v>90</v>
      </c>
      <c r="E77" s="21" t="s">
        <v>133</v>
      </c>
      <c r="F77" s="7">
        <v>30</v>
      </c>
      <c r="G77" s="7">
        <v>2000</v>
      </c>
      <c r="H77" s="7" t="s">
        <v>63</v>
      </c>
      <c r="I77" s="8" t="s">
        <v>15</v>
      </c>
      <c r="J77" s="9">
        <v>175.35</v>
      </c>
      <c r="K77" s="8"/>
      <c r="L77" s="9">
        <f t="shared" si="1"/>
        <v>5.7028799543769608</v>
      </c>
      <c r="M77" s="5" t="s">
        <v>136</v>
      </c>
      <c r="N77" s="5">
        <v>0</v>
      </c>
    </row>
    <row r="78" spans="1:14" x14ac:dyDescent="0.25">
      <c r="A78" s="6">
        <v>77</v>
      </c>
      <c r="B78" s="7">
        <v>5301</v>
      </c>
      <c r="C78" s="7" t="s">
        <v>97</v>
      </c>
      <c r="D78" s="7">
        <v>70</v>
      </c>
      <c r="E78" s="25" t="s">
        <v>157</v>
      </c>
      <c r="F78" s="7">
        <v>40</v>
      </c>
      <c r="G78" s="7">
        <v>1500</v>
      </c>
      <c r="H78" s="7" t="s">
        <v>54</v>
      </c>
      <c r="I78" s="8" t="s">
        <v>15</v>
      </c>
      <c r="J78" s="9">
        <v>117.23399999999999</v>
      </c>
      <c r="K78" s="8"/>
      <c r="L78" s="9">
        <f t="shared" si="1"/>
        <v>8.5299486497091284</v>
      </c>
      <c r="M78" s="5" t="s">
        <v>144</v>
      </c>
      <c r="N78" s="5" t="s">
        <v>146</v>
      </c>
    </row>
    <row r="79" spans="1:14" x14ac:dyDescent="0.25">
      <c r="A79" s="6">
        <v>78</v>
      </c>
      <c r="B79" s="7">
        <v>5302</v>
      </c>
      <c r="C79" s="7" t="s">
        <v>97</v>
      </c>
      <c r="D79" s="7">
        <v>135</v>
      </c>
      <c r="E79" s="25" t="s">
        <v>158</v>
      </c>
      <c r="F79" s="7">
        <v>20</v>
      </c>
      <c r="G79" s="7">
        <v>1000</v>
      </c>
      <c r="H79" s="7" t="s">
        <v>63</v>
      </c>
      <c r="I79" s="8" t="s">
        <v>15</v>
      </c>
      <c r="J79" s="9">
        <v>157.815</v>
      </c>
      <c r="K79" s="8"/>
      <c r="L79" s="9">
        <f t="shared" si="1"/>
        <v>6.3365332826410672</v>
      </c>
      <c r="M79" s="5" t="s">
        <v>144</v>
      </c>
      <c r="N79" s="5" t="e">
        <v>#N/A</v>
      </c>
    </row>
    <row r="80" spans="1:14" x14ac:dyDescent="0.25">
      <c r="A80" s="6">
        <v>79</v>
      </c>
      <c r="B80" s="11">
        <v>5304</v>
      </c>
      <c r="C80" s="11" t="s">
        <v>97</v>
      </c>
      <c r="D80" s="11">
        <v>135</v>
      </c>
      <c r="E80" s="25" t="s">
        <v>158</v>
      </c>
      <c r="F80" s="11">
        <v>20</v>
      </c>
      <c r="G80" s="11">
        <v>1500</v>
      </c>
      <c r="H80" s="11" t="s">
        <v>63</v>
      </c>
      <c r="I80" s="12" t="s">
        <v>15</v>
      </c>
      <c r="J80" s="13">
        <v>236.7225</v>
      </c>
      <c r="K80" s="11" t="s">
        <v>98</v>
      </c>
      <c r="L80" s="9">
        <f t="shared" si="1"/>
        <v>4.2243555217607112</v>
      </c>
      <c r="M80" s="5" t="s">
        <v>144</v>
      </c>
      <c r="N80" s="5" t="s">
        <v>147</v>
      </c>
    </row>
    <row r="81" spans="1:16" x14ac:dyDescent="0.25">
      <c r="A81" s="6">
        <v>80</v>
      </c>
      <c r="B81" s="11">
        <v>5306</v>
      </c>
      <c r="C81" s="11" t="s">
        <v>97</v>
      </c>
      <c r="D81" s="11">
        <v>135</v>
      </c>
      <c r="E81" s="25" t="s">
        <v>158</v>
      </c>
      <c r="F81" s="11">
        <v>20</v>
      </c>
      <c r="G81" s="11">
        <v>1500</v>
      </c>
      <c r="H81" s="11" t="s">
        <v>63</v>
      </c>
      <c r="I81" s="12" t="s">
        <v>15</v>
      </c>
      <c r="J81" s="13">
        <v>236.7225</v>
      </c>
      <c r="K81" s="11" t="s">
        <v>99</v>
      </c>
      <c r="L81" s="9">
        <f t="shared" si="1"/>
        <v>4.2243555217607112</v>
      </c>
      <c r="M81" s="5" t="s">
        <v>144</v>
      </c>
      <c r="N81" s="5" t="s">
        <v>148</v>
      </c>
    </row>
    <row r="82" spans="1:16" x14ac:dyDescent="0.25">
      <c r="A82" s="6">
        <v>81</v>
      </c>
      <c r="B82" s="7">
        <v>5307</v>
      </c>
      <c r="C82" s="7" t="s">
        <v>97</v>
      </c>
      <c r="D82" s="7">
        <v>70</v>
      </c>
      <c r="E82" s="25" t="s">
        <v>157</v>
      </c>
      <c r="F82" s="7">
        <v>40</v>
      </c>
      <c r="G82" s="7">
        <v>3000</v>
      </c>
      <c r="H82" s="7" t="s">
        <v>63</v>
      </c>
      <c r="I82" s="8" t="s">
        <v>15</v>
      </c>
      <c r="J82" s="9">
        <v>234.46799999999999</v>
      </c>
      <c r="K82" s="8"/>
      <c r="L82" s="9">
        <f t="shared" si="1"/>
        <v>4.2649743248545642</v>
      </c>
      <c r="M82" s="5" t="s">
        <v>144</v>
      </c>
      <c r="N82" s="5" t="s">
        <v>146</v>
      </c>
    </row>
    <row r="83" spans="1:16" x14ac:dyDescent="0.25">
      <c r="A83" s="6">
        <v>82</v>
      </c>
      <c r="B83" s="7">
        <v>6301</v>
      </c>
      <c r="C83" s="7" t="s">
        <v>100</v>
      </c>
      <c r="D83" s="7">
        <v>70</v>
      </c>
      <c r="E83" s="8" t="s">
        <v>156</v>
      </c>
      <c r="F83" s="7">
        <v>40</v>
      </c>
      <c r="G83" s="7">
        <v>1500</v>
      </c>
      <c r="H83" s="7" t="s">
        <v>54</v>
      </c>
      <c r="I83" s="8" t="s">
        <v>15</v>
      </c>
      <c r="J83" s="9">
        <v>117.23399999999999</v>
      </c>
      <c r="K83" s="8"/>
      <c r="L83" s="9">
        <f t="shared" si="1"/>
        <v>8.5299486497091284</v>
      </c>
      <c r="M83" s="5" t="s">
        <v>149</v>
      </c>
      <c r="N83" s="5" t="s">
        <v>150</v>
      </c>
    </row>
    <row r="84" spans="1:16" x14ac:dyDescent="0.25">
      <c r="A84" s="6">
        <v>83</v>
      </c>
      <c r="B84" s="7">
        <v>6302</v>
      </c>
      <c r="C84" s="7" t="s">
        <v>100</v>
      </c>
      <c r="D84" s="7">
        <v>135</v>
      </c>
      <c r="E84" s="8" t="s">
        <v>155</v>
      </c>
      <c r="F84" s="7">
        <v>20</v>
      </c>
      <c r="G84" s="7">
        <v>1000</v>
      </c>
      <c r="H84" s="7" t="s">
        <v>63</v>
      </c>
      <c r="I84" s="8" t="s">
        <v>15</v>
      </c>
      <c r="J84" s="9">
        <v>157.815</v>
      </c>
      <c r="K84" s="8"/>
      <c r="L84" s="9">
        <f t="shared" si="1"/>
        <v>6.3365332826410672</v>
      </c>
      <c r="M84" s="5" t="s">
        <v>149</v>
      </c>
      <c r="N84" s="5" t="s">
        <v>137</v>
      </c>
    </row>
    <row r="85" spans="1:16" x14ac:dyDescent="0.25">
      <c r="A85" s="6">
        <v>84</v>
      </c>
      <c r="B85" s="7">
        <v>6303</v>
      </c>
      <c r="C85" s="7" t="s">
        <v>101</v>
      </c>
      <c r="D85" s="7">
        <v>270</v>
      </c>
      <c r="E85" s="8" t="s">
        <v>154</v>
      </c>
      <c r="F85" s="7">
        <v>10</v>
      </c>
      <c r="G85" s="7">
        <v>500</v>
      </c>
      <c r="H85" s="7" t="s">
        <v>52</v>
      </c>
      <c r="I85" s="8" t="s">
        <v>15</v>
      </c>
      <c r="J85" s="9">
        <v>158.81700000000001</v>
      </c>
      <c r="K85" s="8"/>
      <c r="L85" s="9">
        <f t="shared" si="1"/>
        <v>6.296555154674877</v>
      </c>
      <c r="M85" s="5" t="s">
        <v>149</v>
      </c>
      <c r="N85" s="5">
        <v>0</v>
      </c>
    </row>
    <row r="86" spans="1:16" x14ac:dyDescent="0.25">
      <c r="A86" s="6">
        <v>85</v>
      </c>
      <c r="B86" s="7">
        <v>6304</v>
      </c>
      <c r="C86" s="7" t="s">
        <v>102</v>
      </c>
      <c r="D86" s="7">
        <v>70</v>
      </c>
      <c r="E86" s="8" t="s">
        <v>152</v>
      </c>
      <c r="F86" s="7">
        <v>40</v>
      </c>
      <c r="G86" s="7">
        <v>1500</v>
      </c>
      <c r="H86" s="7" t="s">
        <v>54</v>
      </c>
      <c r="I86" s="8" t="s">
        <v>15</v>
      </c>
      <c r="J86" s="9">
        <v>117.23399999999999</v>
      </c>
      <c r="K86" s="8"/>
      <c r="L86" s="9">
        <f t="shared" si="1"/>
        <v>8.5299486497091284</v>
      </c>
      <c r="M86" s="5" t="s">
        <v>136</v>
      </c>
      <c r="N86" s="5" t="s">
        <v>150</v>
      </c>
    </row>
    <row r="87" spans="1:16" x14ac:dyDescent="0.25">
      <c r="A87" s="6">
        <v>86</v>
      </c>
      <c r="B87" s="7">
        <v>6305</v>
      </c>
      <c r="C87" s="7" t="s">
        <v>103</v>
      </c>
      <c r="D87" s="7">
        <v>135</v>
      </c>
      <c r="E87" s="8" t="s">
        <v>153</v>
      </c>
      <c r="F87" s="7">
        <v>20</v>
      </c>
      <c r="G87" s="7">
        <v>1000</v>
      </c>
      <c r="H87" s="7" t="s">
        <v>63</v>
      </c>
      <c r="I87" s="8" t="s">
        <v>15</v>
      </c>
      <c r="J87" s="9">
        <v>157.815</v>
      </c>
      <c r="K87" s="8"/>
      <c r="L87" s="9">
        <f t="shared" si="1"/>
        <v>6.3365332826410672</v>
      </c>
      <c r="M87" s="5" t="s">
        <v>136</v>
      </c>
      <c r="N87" s="5" t="s">
        <v>137</v>
      </c>
    </row>
    <row r="88" spans="1:16" x14ac:dyDescent="0.25">
      <c r="A88" s="6">
        <v>87</v>
      </c>
      <c r="B88" s="7">
        <v>7101</v>
      </c>
      <c r="C88" s="7" t="s">
        <v>48</v>
      </c>
      <c r="D88" s="7">
        <v>35</v>
      </c>
      <c r="E88" s="21" t="s">
        <v>104</v>
      </c>
      <c r="F88" s="7">
        <v>80</v>
      </c>
      <c r="G88" s="7">
        <v>10000</v>
      </c>
      <c r="H88" s="7" t="s">
        <v>52</v>
      </c>
      <c r="I88" s="8" t="s">
        <v>15</v>
      </c>
      <c r="J88" s="9">
        <v>350</v>
      </c>
      <c r="K88" s="8"/>
      <c r="L88" s="9">
        <f t="shared" si="1"/>
        <v>2.8571428571428572</v>
      </c>
      <c r="M88" s="5" t="s">
        <v>151</v>
      </c>
      <c r="N88" s="5">
        <v>0</v>
      </c>
    </row>
    <row r="89" spans="1:16" x14ac:dyDescent="0.25">
      <c r="A89" s="6">
        <v>88</v>
      </c>
      <c r="B89" s="7">
        <v>7103</v>
      </c>
      <c r="C89" s="7" t="s">
        <v>48</v>
      </c>
      <c r="D89" s="7">
        <v>35</v>
      </c>
      <c r="E89" s="21" t="s">
        <v>125</v>
      </c>
      <c r="F89" s="7">
        <v>80</v>
      </c>
      <c r="G89" s="7">
        <v>5000</v>
      </c>
      <c r="H89" s="7" t="s">
        <v>63</v>
      </c>
      <c r="I89" s="8" t="s">
        <v>15</v>
      </c>
      <c r="J89" s="9">
        <v>175</v>
      </c>
      <c r="K89" s="8"/>
      <c r="L89" s="9">
        <f t="shared" si="1"/>
        <v>5.7142857142857144</v>
      </c>
      <c r="M89" s="5" t="s">
        <v>142</v>
      </c>
      <c r="N89" s="5">
        <v>0</v>
      </c>
    </row>
    <row r="90" spans="1:16" ht="31.5" x14ac:dyDescent="0.25">
      <c r="A90" s="6">
        <v>89</v>
      </c>
      <c r="B90" s="11">
        <v>7104</v>
      </c>
      <c r="C90" s="15" t="s">
        <v>105</v>
      </c>
      <c r="D90" s="11">
        <v>35</v>
      </c>
      <c r="E90" s="22" t="s">
        <v>125</v>
      </c>
      <c r="F90" s="11">
        <v>80</v>
      </c>
      <c r="G90" s="11">
        <v>950</v>
      </c>
      <c r="H90" s="11" t="s">
        <v>55</v>
      </c>
      <c r="I90" s="12" t="s">
        <v>17</v>
      </c>
      <c r="J90" s="13">
        <v>870</v>
      </c>
      <c r="K90" s="16" t="s">
        <v>105</v>
      </c>
      <c r="L90" s="9">
        <f t="shared" si="1"/>
        <v>1.1494252873563218</v>
      </c>
      <c r="M90" s="5" t="s">
        <v>142</v>
      </c>
      <c r="N90" s="5">
        <v>0</v>
      </c>
    </row>
    <row r="91" spans="1:16" ht="31.5" x14ac:dyDescent="0.25">
      <c r="A91" s="6">
        <v>90</v>
      </c>
      <c r="B91" s="7">
        <v>7202</v>
      </c>
      <c r="C91" s="17" t="s">
        <v>106</v>
      </c>
      <c r="D91" s="7">
        <v>18</v>
      </c>
      <c r="E91" s="21" t="s">
        <v>126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107</v>
      </c>
      <c r="L91" s="9">
        <f t="shared" si="1"/>
        <v>11.049723756906078</v>
      </c>
      <c r="M91" s="5" t="s">
        <v>142</v>
      </c>
      <c r="N91" s="5">
        <v>0</v>
      </c>
    </row>
    <row r="92" spans="1:16" x14ac:dyDescent="0.25">
      <c r="A92" s="19">
        <v>91</v>
      </c>
      <c r="B92" s="11">
        <v>5308</v>
      </c>
      <c r="C92" s="11" t="s">
        <v>97</v>
      </c>
      <c r="D92" s="11">
        <v>90</v>
      </c>
      <c r="E92" s="12" t="s">
        <v>159</v>
      </c>
      <c r="F92" s="11">
        <v>30</v>
      </c>
      <c r="G92" s="11">
        <v>2500</v>
      </c>
      <c r="H92" s="11" t="s">
        <v>63</v>
      </c>
      <c r="I92" s="12" t="s">
        <v>15</v>
      </c>
      <c r="J92" s="13">
        <v>228</v>
      </c>
      <c r="K92" s="11" t="s">
        <v>135</v>
      </c>
      <c r="L92" s="9">
        <f>1000/J92</f>
        <v>4.3859649122807021</v>
      </c>
      <c r="M92" s="5" t="s">
        <v>144</v>
      </c>
      <c r="N92" s="5" t="s">
        <v>146</v>
      </c>
    </row>
    <row r="93" spans="1:16" x14ac:dyDescent="0.25">
      <c r="A93" s="19">
        <v>92</v>
      </c>
      <c r="B93" s="7">
        <v>6306</v>
      </c>
      <c r="C93" s="7" t="s">
        <v>103</v>
      </c>
      <c r="D93" s="7">
        <v>135</v>
      </c>
      <c r="E93" s="8" t="s">
        <v>153</v>
      </c>
      <c r="F93" s="7">
        <v>20</v>
      </c>
      <c r="G93" s="7">
        <v>1500</v>
      </c>
      <c r="H93" s="7" t="s">
        <v>63</v>
      </c>
      <c r="I93" s="8" t="s">
        <v>15</v>
      </c>
      <c r="J93" s="9">
        <v>243</v>
      </c>
      <c r="K93" s="8"/>
      <c r="L93" s="9">
        <f t="shared" ref="L93" si="2">1000/J93</f>
        <v>4.1152263374485596</v>
      </c>
      <c r="M93" s="5" t="s">
        <v>136</v>
      </c>
      <c r="N93" s="5" t="s">
        <v>137</v>
      </c>
      <c r="P93"/>
    </row>
  </sheetData>
  <autoFilter ref="A1:L91"/>
  <pageMargins left="0.7" right="0.7" top="0.75" bottom="0.75" header="0.3" footer="0.3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2026-08-02T05:36:29Z</dcterms:created>
  <dcterms:modified xsi:type="dcterms:W3CDTF">2026-09-01T07:30:31Z</dcterms:modified>
</cp:coreProperties>
</file>