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PENDINGORDERTOPLAN.rpt" sheetId="1" r:id="rId1"/>
  </sheets>
  <calcPr calcId="162913"/>
</workbook>
</file>

<file path=xl/calcChain.xml><?xml version="1.0" encoding="utf-8"?>
<calcChain xmlns="http://schemas.openxmlformats.org/spreadsheetml/2006/main">
  <c r="E4" i="1" l="1"/>
  <c r="I4" i="1"/>
  <c r="J4" i="1"/>
  <c r="E37" i="1"/>
  <c r="H37" i="1"/>
  <c r="I37" i="1"/>
  <c r="J37" i="1"/>
  <c r="E129" i="1"/>
  <c r="G129" i="1"/>
  <c r="H129" i="1"/>
  <c r="I129" i="1"/>
  <c r="J129" i="1"/>
  <c r="E132" i="1"/>
  <c r="I132" i="1"/>
  <c r="J132" i="1"/>
  <c r="E136" i="1"/>
  <c r="G136" i="1"/>
  <c r="H136" i="1"/>
  <c r="I136" i="1"/>
  <c r="J136" i="1"/>
  <c r="E142" i="1"/>
  <c r="G142" i="1"/>
  <c r="H142" i="1"/>
  <c r="I142" i="1"/>
  <c r="J142" i="1"/>
  <c r="E146" i="1"/>
  <c r="G146" i="1"/>
  <c r="H146" i="1"/>
  <c r="I146" i="1"/>
  <c r="J146" i="1"/>
  <c r="E152" i="1"/>
  <c r="G152" i="1"/>
  <c r="H152" i="1"/>
  <c r="I152" i="1"/>
  <c r="J152" i="1"/>
  <c r="E156" i="1"/>
  <c r="H156" i="1"/>
  <c r="I156" i="1"/>
  <c r="J156" i="1"/>
  <c r="E159" i="1"/>
  <c r="I159" i="1"/>
  <c r="J159" i="1"/>
  <c r="E163" i="1"/>
  <c r="H163" i="1"/>
  <c r="I163" i="1"/>
  <c r="J163" i="1"/>
  <c r="E168" i="1"/>
  <c r="G168" i="1"/>
  <c r="H168" i="1"/>
  <c r="I168" i="1"/>
  <c r="J168" i="1"/>
  <c r="E171" i="1"/>
  <c r="H171" i="1"/>
  <c r="I171" i="1"/>
  <c r="J171" i="1"/>
  <c r="E174" i="1"/>
  <c r="G174" i="1"/>
  <c r="H174" i="1"/>
  <c r="I174" i="1"/>
  <c r="J174" i="1"/>
</calcChain>
</file>

<file path=xl/sharedStrings.xml><?xml version="1.0" encoding="utf-8"?>
<sst xmlns="http://schemas.openxmlformats.org/spreadsheetml/2006/main" count="619" uniqueCount="346">
  <si>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</si>
  <si>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</si>
  <si>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</si>
  <si>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</si>
  <si>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</si>
  <si>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</si>
  <si>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</si>
  <si>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</si>
  <si>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</si>
  <si>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</si>
  <si>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</si>
  <si>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2/20 SPUN POLYESTER YARN</t>
  </si>
  <si>
    <t>ST00459/26</t>
  </si>
  <si>
    <t>ST0045901N</t>
  </si>
  <si>
    <t>KIRAN INDUSTRIES PVT LTD (STICH DIV SALES)</t>
  </si>
  <si>
    <t>D10060</t>
  </si>
  <si>
    <t xml:space="preserve">Item  Total </t>
  </si>
  <si>
    <t>2/57 SPUN POLYSTER YARN</t>
  </si>
  <si>
    <t>ST00304/26</t>
  </si>
  <si>
    <t>ST0030463N</t>
  </si>
  <si>
    <t>S00779</t>
  </si>
  <si>
    <t>ST00305/26</t>
  </si>
  <si>
    <t>ST0030551N</t>
  </si>
  <si>
    <t>S50749</t>
  </si>
  <si>
    <t>ST00379/26</t>
  </si>
  <si>
    <t>ST0037929N</t>
  </si>
  <si>
    <t>S00041</t>
  </si>
  <si>
    <t>ST00380/26</t>
  </si>
  <si>
    <t>ST0038027N</t>
  </si>
  <si>
    <t>S14072</t>
  </si>
  <si>
    <t>ST00381/26</t>
  </si>
  <si>
    <t>ST0038112N</t>
  </si>
  <si>
    <t>S50583</t>
  </si>
  <si>
    <t>ST0038129N</t>
  </si>
  <si>
    <t>S50403</t>
  </si>
  <si>
    <t>ST0038139N</t>
  </si>
  <si>
    <t>S50696</t>
  </si>
  <si>
    <t>ST0038146N</t>
  </si>
  <si>
    <t>S50868</t>
  </si>
  <si>
    <t>ST00440/26</t>
  </si>
  <si>
    <t>ST0044002N</t>
  </si>
  <si>
    <t>S01028</t>
  </si>
  <si>
    <t>ST0044005N</t>
  </si>
  <si>
    <t>S50584</t>
  </si>
  <si>
    <t>ST0044006N</t>
  </si>
  <si>
    <t>S50712</t>
  </si>
  <si>
    <t>ST0044008N</t>
  </si>
  <si>
    <t>S00730</t>
  </si>
  <si>
    <t>ST0044010N</t>
  </si>
  <si>
    <t>S05619</t>
  </si>
  <si>
    <t>ST0044011N</t>
  </si>
  <si>
    <t>S50934</t>
  </si>
  <si>
    <t>ST0044012N</t>
  </si>
  <si>
    <t>S50677</t>
  </si>
  <si>
    <t>ST0044014N</t>
  </si>
  <si>
    <t>S50703</t>
  </si>
  <si>
    <t>ST0044015N</t>
  </si>
  <si>
    <t>S00445</t>
  </si>
  <si>
    <t>ST0044016N</t>
  </si>
  <si>
    <t>S17249</t>
  </si>
  <si>
    <t>ST0044017N</t>
  </si>
  <si>
    <t>S00294</t>
  </si>
  <si>
    <t>ST0044019N</t>
  </si>
  <si>
    <t>S17261</t>
  </si>
  <si>
    <t>ST0044023N</t>
  </si>
  <si>
    <t>S50967</t>
  </si>
  <si>
    <t>ST0044024N</t>
  </si>
  <si>
    <t>S16310</t>
  </si>
  <si>
    <t>ST0044025N</t>
  </si>
  <si>
    <t>S50516</t>
  </si>
  <si>
    <t>ST0044027N</t>
  </si>
  <si>
    <t>S16065</t>
  </si>
  <si>
    <t>ST00441/26</t>
  </si>
  <si>
    <t>ST0044110N</t>
  </si>
  <si>
    <t>S00093</t>
  </si>
  <si>
    <t>ST00445/26</t>
  </si>
  <si>
    <t>ST0044587N</t>
  </si>
  <si>
    <t>S16067</t>
  </si>
  <si>
    <t>ST0044588N</t>
  </si>
  <si>
    <t>S16304</t>
  </si>
  <si>
    <t>ST0044589N</t>
  </si>
  <si>
    <t>S50930</t>
  </si>
  <si>
    <t>ST0044590N</t>
  </si>
  <si>
    <t>S00862</t>
  </si>
  <si>
    <t>ST0044591N</t>
  </si>
  <si>
    <t>S50706</t>
  </si>
  <si>
    <t>ST0044592N</t>
  </si>
  <si>
    <t>S54399</t>
  </si>
  <si>
    <t>2/60 SPUN POLYESTER YARN</t>
  </si>
  <si>
    <t>ST00231/26</t>
  </si>
  <si>
    <t>ST0023101N</t>
  </si>
  <si>
    <t>KS-BLACK</t>
  </si>
  <si>
    <t>ST00392/26</t>
  </si>
  <si>
    <t>ST0039243N</t>
  </si>
  <si>
    <t>SV2436</t>
  </si>
  <si>
    <t>ST00402/26</t>
  </si>
  <si>
    <t>ST0040217N</t>
  </si>
  <si>
    <t>SV0613</t>
  </si>
  <si>
    <t>ST00417/26</t>
  </si>
  <si>
    <t>ST0041702N</t>
  </si>
  <si>
    <t>SV0282</t>
  </si>
  <si>
    <t>ST00439/26</t>
  </si>
  <si>
    <t>ST0043906N</t>
  </si>
  <si>
    <t>S00651</t>
  </si>
  <si>
    <t>ST0043913N</t>
  </si>
  <si>
    <t>S09344</t>
  </si>
  <si>
    <t>ST0043919N</t>
  </si>
  <si>
    <t>S16305</t>
  </si>
  <si>
    <t>ST0043921N</t>
  </si>
  <si>
    <t>S50744</t>
  </si>
  <si>
    <t>ST0043928N</t>
  </si>
  <si>
    <t>S05292</t>
  </si>
  <si>
    <t>ST0043931N</t>
  </si>
  <si>
    <t>SV7820</t>
  </si>
  <si>
    <t>ST0043932N</t>
  </si>
  <si>
    <t>SV5144</t>
  </si>
  <si>
    <t>ST0043933N</t>
  </si>
  <si>
    <t>SV4397</t>
  </si>
  <si>
    <t>ST0043934N</t>
  </si>
  <si>
    <t>ST0043935N</t>
  </si>
  <si>
    <t>S00462</t>
  </si>
  <si>
    <t>ST0043942N</t>
  </si>
  <si>
    <t>S01158</t>
  </si>
  <si>
    <t>ST0043948N</t>
  </si>
  <si>
    <t>S00308</t>
  </si>
  <si>
    <t>ST00442/26</t>
  </si>
  <si>
    <t>ST0044201N</t>
  </si>
  <si>
    <t>Z86192</t>
  </si>
  <si>
    <t>ST0044501N</t>
  </si>
  <si>
    <t>D10003</t>
  </si>
  <si>
    <t>ST0044502N</t>
  </si>
  <si>
    <t>D10002</t>
  </si>
  <si>
    <t>ST0044504N</t>
  </si>
  <si>
    <t>SV0402</t>
  </si>
  <si>
    <t>ST0044507N</t>
  </si>
  <si>
    <t>SV10692</t>
  </si>
  <si>
    <t>ST0044508N</t>
  </si>
  <si>
    <t>D10036</t>
  </si>
  <si>
    <t>ST0044511N</t>
  </si>
  <si>
    <t>S00272</t>
  </si>
  <si>
    <t>ST0044515N</t>
  </si>
  <si>
    <t>S09315</t>
  </si>
  <si>
    <t>ST0044518N</t>
  </si>
  <si>
    <t>ST0044521N</t>
  </si>
  <si>
    <t>S17256</t>
  </si>
  <si>
    <t>ST0044523N</t>
  </si>
  <si>
    <t>S50678</t>
  </si>
  <si>
    <t>ST0044525N</t>
  </si>
  <si>
    <t>SV6109</t>
  </si>
  <si>
    <t>ST0044526N</t>
  </si>
  <si>
    <t>SV5024</t>
  </si>
  <si>
    <t>ST0044527N</t>
  </si>
  <si>
    <t>SV3426</t>
  </si>
  <si>
    <t>ST0044529N</t>
  </si>
  <si>
    <t>SV6081</t>
  </si>
  <si>
    <t>ST0044530N</t>
  </si>
  <si>
    <t>SV6006</t>
  </si>
  <si>
    <t>ST0044531N</t>
  </si>
  <si>
    <t>SV6071</t>
  </si>
  <si>
    <t>ST0044532N</t>
  </si>
  <si>
    <t>SV6471</t>
  </si>
  <si>
    <t>ST0044533N</t>
  </si>
  <si>
    <t>S05218</t>
  </si>
  <si>
    <t>ST0044534N</t>
  </si>
  <si>
    <t>S01465</t>
  </si>
  <si>
    <t>ST0044535N</t>
  </si>
  <si>
    <t>ST0044536N</t>
  </si>
  <si>
    <t>S09487</t>
  </si>
  <si>
    <t>ST0044537N</t>
  </si>
  <si>
    <t>SV6834</t>
  </si>
  <si>
    <t>ST0044538N</t>
  </si>
  <si>
    <t>SV5044</t>
  </si>
  <si>
    <t>ST0044539N</t>
  </si>
  <si>
    <t>SV6589</t>
  </si>
  <si>
    <t>ST0044540N</t>
  </si>
  <si>
    <t>SV6187</t>
  </si>
  <si>
    <t>ST0044541N</t>
  </si>
  <si>
    <t>SV6185</t>
  </si>
  <si>
    <t>ST0044542N</t>
  </si>
  <si>
    <t>SV4940</t>
  </si>
  <si>
    <t>ST0044543N</t>
  </si>
  <si>
    <t>SV7377</t>
  </si>
  <si>
    <t>ST0044544N</t>
  </si>
  <si>
    <t>SV4921</t>
  </si>
  <si>
    <t>ST0044545N</t>
  </si>
  <si>
    <t>SV6126</t>
  </si>
  <si>
    <t>ST0044546N</t>
  </si>
  <si>
    <t>SV5138</t>
  </si>
  <si>
    <t>ST0044548N</t>
  </si>
  <si>
    <t>SV4748</t>
  </si>
  <si>
    <t>ST0044549N</t>
  </si>
  <si>
    <t>SV3839</t>
  </si>
  <si>
    <t>ST0044550N</t>
  </si>
  <si>
    <t>D10063</t>
  </si>
  <si>
    <t>ST0044551N</t>
  </si>
  <si>
    <t>SV5136</t>
  </si>
  <si>
    <t>ST0044552N</t>
  </si>
  <si>
    <t>SV9454</t>
  </si>
  <si>
    <t>ST0044553N</t>
  </si>
  <si>
    <t>ST0044554N</t>
  </si>
  <si>
    <t>SV6141</t>
  </si>
  <si>
    <t>ST0044555N</t>
  </si>
  <si>
    <t>SV19750</t>
  </si>
  <si>
    <t>ST0044556N</t>
  </si>
  <si>
    <t>S17257</t>
  </si>
  <si>
    <t>ST0044557N</t>
  </si>
  <si>
    <t>SV5125</t>
  </si>
  <si>
    <t>ST0044558N</t>
  </si>
  <si>
    <t>S09401</t>
  </si>
  <si>
    <t>ST0044559N</t>
  </si>
  <si>
    <t>S00635</t>
  </si>
  <si>
    <t>ST0044560N</t>
  </si>
  <si>
    <t>SV5143</t>
  </si>
  <si>
    <t>ST0044561N</t>
  </si>
  <si>
    <t>SV3072</t>
  </si>
  <si>
    <t>ST0044562N</t>
  </si>
  <si>
    <t>SV6093</t>
  </si>
  <si>
    <t>ST0044563N</t>
  </si>
  <si>
    <t>SV5092</t>
  </si>
  <si>
    <t>ST0044564N</t>
  </si>
  <si>
    <t>D10073</t>
  </si>
  <si>
    <t>ST0044565N</t>
  </si>
  <si>
    <t>D10074</t>
  </si>
  <si>
    <t>ST0044566N</t>
  </si>
  <si>
    <t>D10076</t>
  </si>
  <si>
    <t>ST0044567N</t>
  </si>
  <si>
    <t>SV5539</t>
  </si>
  <si>
    <t>ST0044568N</t>
  </si>
  <si>
    <t>SV6009</t>
  </si>
  <si>
    <t>ST0044569N</t>
  </si>
  <si>
    <t>SV0754</t>
  </si>
  <si>
    <t>ST0044570N</t>
  </si>
  <si>
    <t>D10082</t>
  </si>
  <si>
    <t>ST0044572N</t>
  </si>
  <si>
    <t>D10093</t>
  </si>
  <si>
    <t>ST0044573N</t>
  </si>
  <si>
    <t>D10098</t>
  </si>
  <si>
    <t>ST0044574N</t>
  </si>
  <si>
    <t>D10101</t>
  </si>
  <si>
    <t>ST0044575N</t>
  </si>
  <si>
    <t>D10102</t>
  </si>
  <si>
    <t>ST0044576N</t>
  </si>
  <si>
    <t>D10104</t>
  </si>
  <si>
    <t>ST0044577N</t>
  </si>
  <si>
    <t>D10105</t>
  </si>
  <si>
    <t>ST0044578N</t>
  </si>
  <si>
    <t>D10113</t>
  </si>
  <si>
    <t>ST0044579N</t>
  </si>
  <si>
    <t>D10114</t>
  </si>
  <si>
    <t>ST0044581N</t>
  </si>
  <si>
    <t>S12028</t>
  </si>
  <si>
    <t>ST0044582N</t>
  </si>
  <si>
    <t>SR120</t>
  </si>
  <si>
    <t>ST0044583N</t>
  </si>
  <si>
    <t>SV40636</t>
  </si>
  <si>
    <t>ST0044584N</t>
  </si>
  <si>
    <t>SV6025</t>
  </si>
  <si>
    <t>ST0044585N</t>
  </si>
  <si>
    <t>SV6157</t>
  </si>
  <si>
    <t>ST00451/26</t>
  </si>
  <si>
    <t>ST0045102N</t>
  </si>
  <si>
    <t>ST0045104N</t>
  </si>
  <si>
    <t>S09323</t>
  </si>
  <si>
    <t>ST00453/26</t>
  </si>
  <si>
    <t>ST0045301N</t>
  </si>
  <si>
    <t>SV0608</t>
  </si>
  <si>
    <t>ST00460/26</t>
  </si>
  <si>
    <t>ST0046001N</t>
  </si>
  <si>
    <t>S01324</t>
  </si>
  <si>
    <t>ST00461/26</t>
  </si>
  <si>
    <t>ST0046101N</t>
  </si>
  <si>
    <t>S09397</t>
  </si>
  <si>
    <t>ST00463/26</t>
  </si>
  <si>
    <t>ST0046301N</t>
  </si>
  <si>
    <t>S05475</t>
  </si>
  <si>
    <t>210/2 CONTINOUS POLYESTER FILAMENT</t>
  </si>
  <si>
    <t>ST00462/26</t>
  </si>
  <si>
    <t>ST0046201N</t>
  </si>
  <si>
    <t>D20219</t>
  </si>
  <si>
    <t>210/2 HI-TENACITY NYLON YARN</t>
  </si>
  <si>
    <t>ST00383/26</t>
  </si>
  <si>
    <t>ST0038301N</t>
  </si>
  <si>
    <t>N-BLACK</t>
  </si>
  <si>
    <t>ST00395/26</t>
  </si>
  <si>
    <t>ST0039501N</t>
  </si>
  <si>
    <t>D20053</t>
  </si>
  <si>
    <t>210/3 CONTINOUS POLYESTER FILAMENT</t>
  </si>
  <si>
    <t>ST00280/26</t>
  </si>
  <si>
    <t>ST0028001N</t>
  </si>
  <si>
    <t>P-BLACK</t>
  </si>
  <si>
    <t>ST00399/26</t>
  </si>
  <si>
    <t>ST0039901N</t>
  </si>
  <si>
    <t>91394</t>
  </si>
  <si>
    <t>ST0039902N</t>
  </si>
  <si>
    <t>91230</t>
  </si>
  <si>
    <t>ST00400/26</t>
  </si>
  <si>
    <t>ST0040004N</t>
  </si>
  <si>
    <t>D20157</t>
  </si>
  <si>
    <t>210/3 HI-TENACITY NYLON</t>
  </si>
  <si>
    <t>ST00239/26</t>
  </si>
  <si>
    <t>ST0023901N</t>
  </si>
  <si>
    <t>ST00456/26</t>
  </si>
  <si>
    <t>ST0045601N</t>
  </si>
  <si>
    <t>N09241</t>
  </si>
  <si>
    <t>210/3 PLY CF POLY BONDED</t>
  </si>
  <si>
    <t>ST00376/26</t>
  </si>
  <si>
    <t>ST0037601N</t>
  </si>
  <si>
    <t>ST00436/26</t>
  </si>
  <si>
    <t>ST0043601N</t>
  </si>
  <si>
    <t>ST00457/26</t>
  </si>
  <si>
    <t>ST0045701N</t>
  </si>
  <si>
    <t>ST0045702N</t>
  </si>
  <si>
    <t>D20096</t>
  </si>
  <si>
    <t>250/3 CONTINUOUS FILAMENT POLYSTER</t>
  </si>
  <si>
    <t>ST00274/26</t>
  </si>
  <si>
    <t>ST0027402N</t>
  </si>
  <si>
    <t>90002</t>
  </si>
  <si>
    <t>ST00307/26</t>
  </si>
  <si>
    <t>ST0030701N</t>
  </si>
  <si>
    <t>91276</t>
  </si>
  <si>
    <t>3/60 HT SPUN POLYESTER</t>
  </si>
  <si>
    <t>ST00455/26</t>
  </si>
  <si>
    <t>ST0045501N</t>
  </si>
  <si>
    <t>D10137</t>
  </si>
  <si>
    <t>420/3 CONTINOUS FILAMENT POLYESTER</t>
  </si>
  <si>
    <t>ST00217/26</t>
  </si>
  <si>
    <t>ST0021701N</t>
  </si>
  <si>
    <t>92380</t>
  </si>
  <si>
    <t>ST0039903N</t>
  </si>
  <si>
    <t>91560</t>
  </si>
  <si>
    <t>420/3 HI TENACITY NYLON</t>
  </si>
  <si>
    <t>ST00247/26</t>
  </si>
  <si>
    <t>ST0024706N</t>
  </si>
  <si>
    <t>D30056(PG9444)</t>
  </si>
  <si>
    <t>ST00446/26</t>
  </si>
  <si>
    <t>ST0044603N</t>
  </si>
  <si>
    <t>N00904</t>
  </si>
  <si>
    <t>ST0045603N</t>
  </si>
  <si>
    <t>N09042</t>
  </si>
  <si>
    <t>420/3 PLY CF NYLON-6 BONDED</t>
  </si>
  <si>
    <t>ST00465/26</t>
  </si>
  <si>
    <t>ST0046501N</t>
  </si>
  <si>
    <t>840/3 PLY HT POLYESTER</t>
  </si>
  <si>
    <t>ST00362/26</t>
  </si>
  <si>
    <t>ST0036208N</t>
  </si>
  <si>
    <t>91397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</si>
</sst>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0.00_);\-0.00"/>
    <numFmt numFmtId="166" formatCode="#,##0.00_);\-#,##0.00"/>
  </numFmts>
  <fonts count="12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b/>
      <sz val="9"/>
      <color indexed="8"/>
      <name val="Arial"/>
      <charset val="204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9.9499999999999993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Views>
    <sheetView tabSelected="1" workbookViewId="0">
      <selection activeCell="N12" sqref="N12"/>
    </sheetView>
  </sheetViews>
  <sheetFormatPr defaultRowHeight="12.75" x14ac:dyDescent="0.2"/>
  <cols>
    <col min="1" max="256" width="11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</row>
    <row r="3" spans="1:11" x14ac:dyDescent="0.2">
      <c r="A3" s="4" t="s">
        <v>12</v>
      </c>
      <c r="B3" s="4" t="s">
        <v>13</v>
      </c>
      <c r="C3" s="5">
        <v>46274</v>
      </c>
      <c r="D3" s="4" t="s">
        <v>14</v>
      </c>
      <c r="E3" s="4" t="s">
        <v>15</v>
      </c>
      <c r="F3" s="6">
        <v>57.6</v>
      </c>
      <c r="I3" s="7">
        <v>0</v>
      </c>
      <c r="J3" s="7">
        <v>0</v>
      </c>
      <c r="K3" s="6">
        <v>57.6</v>
      </c>
    </row>
    <row r="4" spans="1:11" x14ac:dyDescent="0.2">
      <c r="A4" s="8" t="s">
        <v>16</v>
      </c>
      <c r="E4" s="9">
        <f>SUBTOTAL(9,F3:F3)</f>
        <v>57.6</v>
      </c>
      <c r="I4" s="9">
        <f>SUBTOTAL(9,I3:I3)</f>
        <v>0</v>
      </c>
      <c r="J4" s="10">
        <f>SUBTOTAL(9,J3:J3)</f>
        <v>0</v>
      </c>
      <c r="K4" s="11">
        <v>57.6</v>
      </c>
    </row>
    <row r="5" spans="1:11" x14ac:dyDescent="0.2">
      <c r="A5" s="3" t="s">
        <v>17</v>
      </c>
    </row>
    <row r="6" spans="1:11" x14ac:dyDescent="0.2">
      <c r="A6" s="4" t="s">
        <v>18</v>
      </c>
      <c r="B6" s="4" t="s">
        <v>19</v>
      </c>
      <c r="C6" s="5">
        <v>46229</v>
      </c>
      <c r="D6" s="4" t="s">
        <v>14</v>
      </c>
      <c r="E6" s="4" t="s">
        <v>20</v>
      </c>
      <c r="F6" s="6">
        <v>13.6</v>
      </c>
      <c r="I6" s="7">
        <v>0</v>
      </c>
      <c r="J6" s="7">
        <v>0</v>
      </c>
      <c r="K6" s="6">
        <v>13.6</v>
      </c>
    </row>
    <row r="7" spans="1:11" x14ac:dyDescent="0.2">
      <c r="A7" s="4" t="s">
        <v>21</v>
      </c>
      <c r="B7" s="4" t="s">
        <v>22</v>
      </c>
      <c r="C7" s="5">
        <v>46229</v>
      </c>
      <c r="D7" s="4" t="s">
        <v>14</v>
      </c>
      <c r="E7" s="4" t="s">
        <v>23</v>
      </c>
      <c r="F7" s="6">
        <v>13.6</v>
      </c>
      <c r="I7" s="7">
        <v>0</v>
      </c>
      <c r="J7" s="7">
        <v>0</v>
      </c>
      <c r="K7" s="6">
        <v>13.6</v>
      </c>
    </row>
    <row r="8" spans="1:11" x14ac:dyDescent="0.2">
      <c r="A8" s="4" t="s">
        <v>24</v>
      </c>
      <c r="B8" s="4" t="s">
        <v>25</v>
      </c>
      <c r="C8" s="5">
        <v>46248</v>
      </c>
      <c r="D8" s="4" t="s">
        <v>14</v>
      </c>
      <c r="E8" s="4" t="s">
        <v>26</v>
      </c>
      <c r="F8" s="6">
        <v>7.65</v>
      </c>
      <c r="I8" s="7">
        <v>0</v>
      </c>
      <c r="J8" s="7">
        <v>0</v>
      </c>
      <c r="K8" s="6">
        <v>7.65</v>
      </c>
    </row>
    <row r="9" spans="1:11" x14ac:dyDescent="0.2">
      <c r="A9" s="4" t="s">
        <v>27</v>
      </c>
      <c r="B9" s="4" t="s">
        <v>28</v>
      </c>
      <c r="C9" s="5">
        <v>46248</v>
      </c>
      <c r="D9" s="4" t="s">
        <v>14</v>
      </c>
      <c r="E9" s="4" t="s">
        <v>29</v>
      </c>
      <c r="F9" s="6">
        <v>7.65</v>
      </c>
      <c r="H9" s="6">
        <v>7.03</v>
      </c>
      <c r="I9" s="7">
        <v>0</v>
      </c>
      <c r="J9" s="7">
        <v>0</v>
      </c>
      <c r="K9" s="6">
        <v>0.62</v>
      </c>
    </row>
    <row r="10" spans="1:11" x14ac:dyDescent="0.2">
      <c r="A10" s="4" t="s">
        <v>30</v>
      </c>
      <c r="B10" s="4" t="s">
        <v>31</v>
      </c>
      <c r="C10" s="5">
        <v>46248</v>
      </c>
      <c r="D10" s="4" t="s">
        <v>14</v>
      </c>
      <c r="E10" s="4" t="s">
        <v>32</v>
      </c>
      <c r="F10" s="6">
        <v>7.65</v>
      </c>
      <c r="H10" s="6">
        <v>7.03</v>
      </c>
      <c r="I10" s="7">
        <v>0</v>
      </c>
      <c r="J10" s="7">
        <v>0</v>
      </c>
      <c r="K10" s="6">
        <v>0.62</v>
      </c>
    </row>
    <row r="11" spans="1:11" x14ac:dyDescent="0.2">
      <c r="A11" s="4" t="s">
        <v>30</v>
      </c>
      <c r="B11" s="4" t="s">
        <v>33</v>
      </c>
      <c r="C11" s="5">
        <v>46248</v>
      </c>
      <c r="D11" s="4" t="s">
        <v>14</v>
      </c>
      <c r="E11" s="4" t="s">
        <v>34</v>
      </c>
      <c r="F11" s="6">
        <v>7.65</v>
      </c>
      <c r="H11" s="6">
        <v>6.95</v>
      </c>
      <c r="I11" s="7">
        <v>0</v>
      </c>
      <c r="J11" s="7">
        <v>0</v>
      </c>
      <c r="K11" s="6">
        <v>0.7</v>
      </c>
    </row>
    <row r="12" spans="1:11" x14ac:dyDescent="0.2">
      <c r="A12" s="4" t="s">
        <v>30</v>
      </c>
      <c r="B12" s="4" t="s">
        <v>35</v>
      </c>
      <c r="C12" s="5">
        <v>46248</v>
      </c>
      <c r="D12" s="4" t="s">
        <v>14</v>
      </c>
      <c r="E12" s="4" t="s">
        <v>36</v>
      </c>
      <c r="F12" s="6">
        <v>7.65</v>
      </c>
      <c r="I12" s="7">
        <v>0</v>
      </c>
      <c r="J12" s="7">
        <v>0</v>
      </c>
      <c r="K12" s="6">
        <v>7.65</v>
      </c>
    </row>
    <row r="13" spans="1:11" x14ac:dyDescent="0.2">
      <c r="A13" s="4" t="s">
        <v>30</v>
      </c>
      <c r="B13" s="4" t="s">
        <v>37</v>
      </c>
      <c r="C13" s="5">
        <v>46248</v>
      </c>
      <c r="D13" s="4" t="s">
        <v>14</v>
      </c>
      <c r="E13" s="4" t="s">
        <v>38</v>
      </c>
      <c r="F13" s="6">
        <v>7.65</v>
      </c>
      <c r="I13" s="7">
        <v>0</v>
      </c>
      <c r="J13" s="7">
        <v>0</v>
      </c>
      <c r="K13" s="6">
        <v>7.65</v>
      </c>
    </row>
    <row r="14" spans="1:11" x14ac:dyDescent="0.2">
      <c r="A14" s="4" t="s">
        <v>39</v>
      </c>
      <c r="B14" s="4" t="s">
        <v>40</v>
      </c>
      <c r="C14" s="5">
        <v>46271</v>
      </c>
      <c r="D14" s="4" t="s">
        <v>14</v>
      </c>
      <c r="E14" s="4" t="s">
        <v>41</v>
      </c>
      <c r="F14" s="6">
        <v>14.78</v>
      </c>
      <c r="H14" s="6">
        <v>14.17</v>
      </c>
      <c r="I14" s="7">
        <v>0</v>
      </c>
      <c r="J14" s="7">
        <v>0</v>
      </c>
      <c r="K14" s="6">
        <v>0.61</v>
      </c>
    </row>
    <row r="15" spans="1:11" x14ac:dyDescent="0.2">
      <c r="A15" s="4" t="s">
        <v>39</v>
      </c>
      <c r="B15" s="4" t="s">
        <v>42</v>
      </c>
      <c r="C15" s="5">
        <v>46271</v>
      </c>
      <c r="D15" s="4" t="s">
        <v>14</v>
      </c>
      <c r="E15" s="4" t="s">
        <v>43</v>
      </c>
      <c r="F15" s="6">
        <v>14.78</v>
      </c>
      <c r="H15" s="6">
        <v>13.92</v>
      </c>
      <c r="I15" s="7">
        <v>0</v>
      </c>
      <c r="J15" s="7">
        <v>0</v>
      </c>
      <c r="K15" s="6">
        <v>0.86</v>
      </c>
    </row>
    <row r="16" spans="1:11" x14ac:dyDescent="0.2">
      <c r="A16" s="4" t="s">
        <v>39</v>
      </c>
      <c r="B16" s="4" t="s">
        <v>44</v>
      </c>
      <c r="C16" s="5">
        <v>46271</v>
      </c>
      <c r="D16" s="4" t="s">
        <v>14</v>
      </c>
      <c r="E16" s="4" t="s">
        <v>45</v>
      </c>
      <c r="F16" s="6">
        <v>14.78</v>
      </c>
      <c r="I16" s="7">
        <v>0</v>
      </c>
      <c r="J16" s="7">
        <v>0</v>
      </c>
      <c r="K16" s="6">
        <v>14.78</v>
      </c>
    </row>
    <row r="17" spans="1:11" x14ac:dyDescent="0.2">
      <c r="A17" s="4" t="s">
        <v>39</v>
      </c>
      <c r="B17" s="4" t="s">
        <v>46</v>
      </c>
      <c r="C17" s="5">
        <v>46271</v>
      </c>
      <c r="D17" s="4" t="s">
        <v>14</v>
      </c>
      <c r="E17" s="4" t="s">
        <v>47</v>
      </c>
      <c r="F17" s="6">
        <v>14.78</v>
      </c>
      <c r="H17" s="6">
        <v>13.93</v>
      </c>
      <c r="I17" s="7">
        <v>0</v>
      </c>
      <c r="J17" s="7">
        <v>0</v>
      </c>
      <c r="K17" s="6">
        <v>0.85</v>
      </c>
    </row>
    <row r="18" spans="1:11" x14ac:dyDescent="0.2">
      <c r="A18" s="4" t="s">
        <v>39</v>
      </c>
      <c r="B18" s="4" t="s">
        <v>48</v>
      </c>
      <c r="C18" s="5">
        <v>46271</v>
      </c>
      <c r="D18" s="4" t="s">
        <v>14</v>
      </c>
      <c r="E18" s="4" t="s">
        <v>49</v>
      </c>
      <c r="F18" s="6">
        <v>14.78</v>
      </c>
      <c r="H18" s="6">
        <v>13.72</v>
      </c>
      <c r="I18" s="7">
        <v>0</v>
      </c>
      <c r="J18" s="7">
        <v>0</v>
      </c>
      <c r="K18" s="6">
        <v>1.06</v>
      </c>
    </row>
    <row r="19" spans="1:11" x14ac:dyDescent="0.2">
      <c r="A19" s="4" t="s">
        <v>39</v>
      </c>
      <c r="B19" s="4" t="s">
        <v>50</v>
      </c>
      <c r="C19" s="5">
        <v>46271</v>
      </c>
      <c r="D19" s="4" t="s">
        <v>14</v>
      </c>
      <c r="E19" s="4" t="s">
        <v>51</v>
      </c>
      <c r="F19" s="6">
        <v>14.78</v>
      </c>
      <c r="I19" s="7">
        <v>0</v>
      </c>
      <c r="J19" s="7">
        <v>0</v>
      </c>
      <c r="K19" s="6">
        <v>14.78</v>
      </c>
    </row>
    <row r="20" spans="1:11" x14ac:dyDescent="0.2">
      <c r="A20" s="4" t="s">
        <v>39</v>
      </c>
      <c r="B20" s="4" t="s">
        <v>52</v>
      </c>
      <c r="C20" s="5">
        <v>46271</v>
      </c>
      <c r="D20" s="4" t="s">
        <v>14</v>
      </c>
      <c r="E20" s="4" t="s">
        <v>53</v>
      </c>
      <c r="F20" s="6">
        <v>14.78</v>
      </c>
      <c r="I20" s="7">
        <v>0</v>
      </c>
      <c r="J20" s="7">
        <v>0</v>
      </c>
      <c r="K20" s="6">
        <v>14.78</v>
      </c>
    </row>
    <row r="21" spans="1:11" x14ac:dyDescent="0.2">
      <c r="A21" s="4" t="s">
        <v>39</v>
      </c>
      <c r="B21" s="4" t="s">
        <v>54</v>
      </c>
      <c r="C21" s="5">
        <v>46271</v>
      </c>
      <c r="D21" s="4" t="s">
        <v>14</v>
      </c>
      <c r="E21" s="4" t="s">
        <v>55</v>
      </c>
      <c r="F21" s="6">
        <v>14.78</v>
      </c>
      <c r="I21" s="7">
        <v>0</v>
      </c>
      <c r="J21" s="7">
        <v>0</v>
      </c>
      <c r="K21" s="6">
        <v>14.78</v>
      </c>
    </row>
    <row r="22" spans="1:11" x14ac:dyDescent="0.2">
      <c r="A22" s="4" t="s">
        <v>39</v>
      </c>
      <c r="B22" s="4" t="s">
        <v>56</v>
      </c>
      <c r="C22" s="5">
        <v>46271</v>
      </c>
      <c r="D22" s="4" t="s">
        <v>14</v>
      </c>
      <c r="E22" s="4" t="s">
        <v>57</v>
      </c>
      <c r="F22" s="6">
        <v>14.78</v>
      </c>
      <c r="I22" s="7">
        <v>0</v>
      </c>
      <c r="J22" s="7">
        <v>0</v>
      </c>
      <c r="K22" s="6">
        <v>14.78</v>
      </c>
    </row>
    <row r="23" spans="1:11" x14ac:dyDescent="0.2">
      <c r="A23" s="4" t="s">
        <v>39</v>
      </c>
      <c r="B23" s="4" t="s">
        <v>58</v>
      </c>
      <c r="C23" s="5">
        <v>46271</v>
      </c>
      <c r="D23" s="4" t="s">
        <v>14</v>
      </c>
      <c r="E23" s="4" t="s">
        <v>59</v>
      </c>
      <c r="F23" s="6">
        <v>14.78</v>
      </c>
      <c r="H23" s="6">
        <v>14.18</v>
      </c>
      <c r="I23" s="7">
        <v>0</v>
      </c>
      <c r="J23" s="7">
        <v>0</v>
      </c>
      <c r="K23" s="6">
        <v>0.6</v>
      </c>
    </row>
    <row r="24" spans="1:11" x14ac:dyDescent="0.2">
      <c r="A24" s="4" t="s">
        <v>39</v>
      </c>
      <c r="B24" s="4" t="s">
        <v>60</v>
      </c>
      <c r="C24" s="5">
        <v>46271</v>
      </c>
      <c r="D24" s="4" t="s">
        <v>14</v>
      </c>
      <c r="E24" s="4" t="s">
        <v>61</v>
      </c>
      <c r="F24" s="6">
        <v>14.78</v>
      </c>
      <c r="H24" s="6">
        <v>13.89</v>
      </c>
      <c r="I24" s="7">
        <v>0</v>
      </c>
      <c r="J24" s="7">
        <v>0</v>
      </c>
      <c r="K24" s="6">
        <v>0.89</v>
      </c>
    </row>
    <row r="25" spans="1:11" x14ac:dyDescent="0.2">
      <c r="A25" s="4" t="s">
        <v>39</v>
      </c>
      <c r="B25" s="4" t="s">
        <v>62</v>
      </c>
      <c r="C25" s="5">
        <v>46271</v>
      </c>
      <c r="D25" s="4" t="s">
        <v>14</v>
      </c>
      <c r="E25" s="4" t="s">
        <v>63</v>
      </c>
      <c r="F25" s="6">
        <v>14.78</v>
      </c>
      <c r="H25" s="6">
        <v>13.98</v>
      </c>
      <c r="I25" s="7">
        <v>0</v>
      </c>
      <c r="J25" s="7">
        <v>0</v>
      </c>
      <c r="K25" s="6">
        <v>0.8</v>
      </c>
    </row>
    <row r="26" spans="1:11" x14ac:dyDescent="0.2">
      <c r="A26" s="4" t="s">
        <v>39</v>
      </c>
      <c r="B26" s="4" t="s">
        <v>64</v>
      </c>
      <c r="C26" s="5">
        <v>46271</v>
      </c>
      <c r="D26" s="4" t="s">
        <v>14</v>
      </c>
      <c r="E26" s="4" t="s">
        <v>65</v>
      </c>
      <c r="F26" s="6">
        <v>14.78</v>
      </c>
      <c r="H26" s="6">
        <v>13.95</v>
      </c>
      <c r="I26" s="7">
        <v>0</v>
      </c>
      <c r="J26" s="7">
        <v>0</v>
      </c>
      <c r="K26" s="6">
        <v>0.83</v>
      </c>
    </row>
    <row r="27" spans="1:11" x14ac:dyDescent="0.2">
      <c r="A27" s="4" t="s">
        <v>39</v>
      </c>
      <c r="B27" s="4" t="s">
        <v>66</v>
      </c>
      <c r="C27" s="5">
        <v>46271</v>
      </c>
      <c r="D27" s="4" t="s">
        <v>14</v>
      </c>
      <c r="E27" s="4" t="s">
        <v>67</v>
      </c>
      <c r="F27" s="6">
        <v>14.78</v>
      </c>
      <c r="I27" s="7">
        <v>0</v>
      </c>
      <c r="J27" s="7">
        <v>0</v>
      </c>
      <c r="K27" s="6">
        <v>14.78</v>
      </c>
    </row>
    <row r="28" spans="1:11" x14ac:dyDescent="0.2">
      <c r="A28" s="4" t="s">
        <v>39</v>
      </c>
      <c r="B28" s="4" t="s">
        <v>68</v>
      </c>
      <c r="C28" s="5">
        <v>46271</v>
      </c>
      <c r="D28" s="4" t="s">
        <v>14</v>
      </c>
      <c r="E28" s="4" t="s">
        <v>69</v>
      </c>
      <c r="F28" s="6">
        <v>14.78</v>
      </c>
      <c r="I28" s="7">
        <v>0</v>
      </c>
      <c r="J28" s="7">
        <v>0</v>
      </c>
      <c r="K28" s="6">
        <v>14.78</v>
      </c>
    </row>
    <row r="29" spans="1:11" x14ac:dyDescent="0.2">
      <c r="A29" s="4" t="s">
        <v>39</v>
      </c>
      <c r="B29" s="4" t="s">
        <v>70</v>
      </c>
      <c r="C29" s="5">
        <v>46271</v>
      </c>
      <c r="D29" s="4" t="s">
        <v>14</v>
      </c>
      <c r="E29" s="4" t="s">
        <v>71</v>
      </c>
      <c r="F29" s="6">
        <v>14.78</v>
      </c>
      <c r="H29" s="6">
        <v>13.92</v>
      </c>
      <c r="I29" s="7">
        <v>0</v>
      </c>
      <c r="J29" s="7">
        <v>0</v>
      </c>
      <c r="K29" s="6">
        <v>0.86</v>
      </c>
    </row>
    <row r="30" spans="1:11" x14ac:dyDescent="0.2">
      <c r="A30" s="4" t="s">
        <v>72</v>
      </c>
      <c r="B30" s="4" t="s">
        <v>73</v>
      </c>
      <c r="C30" s="5">
        <v>46271</v>
      </c>
      <c r="D30" s="4" t="s">
        <v>14</v>
      </c>
      <c r="E30" s="4" t="s">
        <v>74</v>
      </c>
      <c r="F30" s="6">
        <v>7.65</v>
      </c>
      <c r="I30" s="7">
        <v>0</v>
      </c>
      <c r="J30" s="7">
        <v>0</v>
      </c>
      <c r="K30" s="6">
        <v>7.65</v>
      </c>
    </row>
    <row r="31" spans="1:11" x14ac:dyDescent="0.2">
      <c r="A31" s="4" t="s">
        <v>75</v>
      </c>
      <c r="B31" s="4" t="s">
        <v>76</v>
      </c>
      <c r="C31" s="5">
        <v>46271</v>
      </c>
      <c r="D31" s="4" t="s">
        <v>14</v>
      </c>
      <c r="E31" s="4" t="s">
        <v>77</v>
      </c>
      <c r="F31" s="6">
        <v>7.65</v>
      </c>
      <c r="H31" s="6">
        <v>7.05</v>
      </c>
      <c r="I31" s="7">
        <v>0</v>
      </c>
      <c r="J31" s="7">
        <v>0</v>
      </c>
      <c r="K31" s="6">
        <v>0.6</v>
      </c>
    </row>
    <row r="32" spans="1:11" x14ac:dyDescent="0.2">
      <c r="A32" s="4" t="s">
        <v>75</v>
      </c>
      <c r="B32" s="4" t="s">
        <v>78</v>
      </c>
      <c r="C32" s="5">
        <v>46271</v>
      </c>
      <c r="D32" s="4" t="s">
        <v>14</v>
      </c>
      <c r="E32" s="4" t="s">
        <v>79</v>
      </c>
      <c r="F32" s="6">
        <v>7.65</v>
      </c>
      <c r="H32" s="6">
        <v>7.31</v>
      </c>
      <c r="I32" s="7">
        <v>0</v>
      </c>
      <c r="J32" s="7">
        <v>0</v>
      </c>
      <c r="K32" s="6">
        <v>0.34</v>
      </c>
    </row>
    <row r="33" spans="1:11" x14ac:dyDescent="0.2">
      <c r="A33" s="4" t="s">
        <v>75</v>
      </c>
      <c r="B33" s="4" t="s">
        <v>80</v>
      </c>
      <c r="C33" s="5">
        <v>46271</v>
      </c>
      <c r="D33" s="4" t="s">
        <v>14</v>
      </c>
      <c r="E33" s="4" t="s">
        <v>81</v>
      </c>
      <c r="F33" s="6">
        <v>6.93</v>
      </c>
      <c r="I33" s="7">
        <v>0</v>
      </c>
      <c r="J33" s="7">
        <v>0</v>
      </c>
      <c r="K33" s="6">
        <v>6.93</v>
      </c>
    </row>
    <row r="34" spans="1:11" x14ac:dyDescent="0.2">
      <c r="A34" s="4" t="s">
        <v>75</v>
      </c>
      <c r="B34" s="4" t="s">
        <v>82</v>
      </c>
      <c r="C34" s="5">
        <v>46271</v>
      </c>
      <c r="D34" s="4" t="s">
        <v>14</v>
      </c>
      <c r="E34" s="4" t="s">
        <v>83</v>
      </c>
      <c r="F34" s="6">
        <v>7.65</v>
      </c>
      <c r="H34" s="6">
        <v>7.26</v>
      </c>
      <c r="I34" s="7">
        <v>0</v>
      </c>
      <c r="J34" s="7">
        <v>0</v>
      </c>
      <c r="K34" s="6">
        <v>0.39</v>
      </c>
    </row>
    <row r="35" spans="1:11" x14ac:dyDescent="0.2">
      <c r="A35" s="4" t="s">
        <v>75</v>
      </c>
      <c r="B35" s="4" t="s">
        <v>84</v>
      </c>
      <c r="C35" s="5">
        <v>46271</v>
      </c>
      <c r="D35" s="4" t="s">
        <v>14</v>
      </c>
      <c r="E35" s="4" t="s">
        <v>85</v>
      </c>
      <c r="F35" s="6">
        <v>7.65</v>
      </c>
      <c r="I35" s="7">
        <v>0</v>
      </c>
      <c r="J35" s="7">
        <v>0</v>
      </c>
      <c r="K35" s="6">
        <v>7.65</v>
      </c>
    </row>
    <row r="36" spans="1:11" x14ac:dyDescent="0.2">
      <c r="A36" s="4" t="s">
        <v>75</v>
      </c>
      <c r="B36" s="4" t="s">
        <v>86</v>
      </c>
      <c r="C36" s="5">
        <v>46271</v>
      </c>
      <c r="D36" s="4" t="s">
        <v>14</v>
      </c>
      <c r="E36" s="4" t="s">
        <v>87</v>
      </c>
      <c r="F36" s="6">
        <v>6.93</v>
      </c>
      <c r="I36" s="7">
        <v>0</v>
      </c>
      <c r="J36" s="7">
        <v>0</v>
      </c>
      <c r="K36" s="6">
        <v>6.93</v>
      </c>
    </row>
    <row r="37" spans="1:11" x14ac:dyDescent="0.2">
      <c r="A37" s="8" t="s">
        <v>16</v>
      </c>
      <c r="E37" s="9">
        <f>SUBTOTAL(9,F6:F36)</f>
        <v>361.68999999999983</v>
      </c>
      <c r="H37" s="9">
        <f>SUBTOTAL(9,H6:H36)</f>
        <v>168.29</v>
      </c>
      <c r="I37" s="9">
        <f>SUBTOTAL(9,I6:I36)</f>
        <v>0</v>
      </c>
      <c r="J37" s="10">
        <f>SUBTOTAL(9,J6:J36)</f>
        <v>0</v>
      </c>
      <c r="K37" s="11">
        <v>193.4</v>
      </c>
    </row>
    <row r="38" spans="1:11" x14ac:dyDescent="0.2">
      <c r="A38" s="3" t="s">
        <v>88</v>
      </c>
    </row>
    <row r="39" spans="1:11" x14ac:dyDescent="0.2">
      <c r="A39" s="4" t="s">
        <v>89</v>
      </c>
      <c r="B39" s="4" t="s">
        <v>90</v>
      </c>
      <c r="C39" s="5">
        <v>46200</v>
      </c>
      <c r="D39" s="4" t="s">
        <v>14</v>
      </c>
      <c r="E39" s="4" t="s">
        <v>91</v>
      </c>
      <c r="F39" s="6">
        <v>1005.8</v>
      </c>
      <c r="G39" s="6">
        <v>55.64</v>
      </c>
      <c r="H39" s="6">
        <v>587.1</v>
      </c>
      <c r="I39" s="7">
        <v>0</v>
      </c>
      <c r="J39" s="7">
        <v>409.73</v>
      </c>
      <c r="K39" s="6">
        <v>363.06</v>
      </c>
    </row>
    <row r="40" spans="1:11" x14ac:dyDescent="0.2">
      <c r="A40" s="4" t="s">
        <v>92</v>
      </c>
      <c r="B40" s="4" t="s">
        <v>93</v>
      </c>
      <c r="C40" s="5">
        <v>46258</v>
      </c>
      <c r="D40" s="4" t="s">
        <v>14</v>
      </c>
      <c r="E40" s="4" t="s">
        <v>94</v>
      </c>
      <c r="F40" s="6">
        <v>13.91</v>
      </c>
      <c r="I40" s="7">
        <v>0</v>
      </c>
      <c r="J40" s="7">
        <v>0</v>
      </c>
      <c r="K40" s="6">
        <v>13.91</v>
      </c>
    </row>
    <row r="41" spans="1:11" x14ac:dyDescent="0.2">
      <c r="A41" s="4" t="s">
        <v>95</v>
      </c>
      <c r="B41" s="4" t="s">
        <v>96</v>
      </c>
      <c r="C41" s="5">
        <v>46260</v>
      </c>
      <c r="D41" s="4" t="s">
        <v>14</v>
      </c>
      <c r="E41" s="4" t="s">
        <v>97</v>
      </c>
      <c r="F41" s="6">
        <v>27.82</v>
      </c>
      <c r="I41" s="7">
        <v>0</v>
      </c>
      <c r="J41" s="7">
        <v>0</v>
      </c>
      <c r="K41" s="6">
        <v>27.82</v>
      </c>
    </row>
    <row r="42" spans="1:11" x14ac:dyDescent="0.2">
      <c r="A42" s="4" t="s">
        <v>98</v>
      </c>
      <c r="B42" s="4" t="s">
        <v>99</v>
      </c>
      <c r="C42" s="5">
        <v>46264</v>
      </c>
      <c r="D42" s="4" t="s">
        <v>14</v>
      </c>
      <c r="E42" s="4" t="s">
        <v>100</v>
      </c>
      <c r="F42" s="6">
        <v>27.82</v>
      </c>
      <c r="I42" s="7">
        <v>0</v>
      </c>
      <c r="J42" s="7">
        <v>0</v>
      </c>
      <c r="K42" s="6">
        <v>27.82</v>
      </c>
    </row>
    <row r="43" spans="1:11" x14ac:dyDescent="0.2">
      <c r="A43" s="4" t="s">
        <v>101</v>
      </c>
      <c r="B43" s="4" t="s">
        <v>102</v>
      </c>
      <c r="C43" s="5">
        <v>46271</v>
      </c>
      <c r="D43" s="4" t="s">
        <v>14</v>
      </c>
      <c r="E43" s="4" t="s">
        <v>103</v>
      </c>
      <c r="F43" s="6">
        <v>13.91</v>
      </c>
      <c r="I43" s="7">
        <v>0</v>
      </c>
      <c r="J43" s="7">
        <v>0</v>
      </c>
      <c r="K43" s="6">
        <v>13.91</v>
      </c>
    </row>
    <row r="44" spans="1:11" x14ac:dyDescent="0.2">
      <c r="A44" s="4" t="s">
        <v>101</v>
      </c>
      <c r="B44" s="4" t="s">
        <v>104</v>
      </c>
      <c r="C44" s="5">
        <v>46271</v>
      </c>
      <c r="D44" s="4" t="s">
        <v>14</v>
      </c>
      <c r="E44" s="4" t="s">
        <v>105</v>
      </c>
      <c r="F44" s="6">
        <v>13.91</v>
      </c>
      <c r="I44" s="7">
        <v>0</v>
      </c>
      <c r="J44" s="7">
        <v>0</v>
      </c>
      <c r="K44" s="6">
        <v>13.91</v>
      </c>
    </row>
    <row r="45" spans="1:11" x14ac:dyDescent="0.2">
      <c r="A45" s="4" t="s">
        <v>101</v>
      </c>
      <c r="B45" s="4" t="s">
        <v>106</v>
      </c>
      <c r="C45" s="5">
        <v>46271</v>
      </c>
      <c r="D45" s="4" t="s">
        <v>14</v>
      </c>
      <c r="E45" s="4" t="s">
        <v>107</v>
      </c>
      <c r="F45" s="6">
        <v>27.82</v>
      </c>
      <c r="I45" s="7">
        <v>0</v>
      </c>
      <c r="J45" s="7">
        <v>0</v>
      </c>
      <c r="K45" s="6">
        <v>27.82</v>
      </c>
    </row>
    <row r="46" spans="1:11" x14ac:dyDescent="0.2">
      <c r="A46" s="4" t="s">
        <v>101</v>
      </c>
      <c r="B46" s="4" t="s">
        <v>108</v>
      </c>
      <c r="C46" s="5">
        <v>46271</v>
      </c>
      <c r="D46" s="4" t="s">
        <v>14</v>
      </c>
      <c r="E46" s="4" t="s">
        <v>109</v>
      </c>
      <c r="F46" s="6">
        <v>27.82</v>
      </c>
      <c r="I46" s="7">
        <v>0</v>
      </c>
      <c r="J46" s="7">
        <v>0</v>
      </c>
      <c r="K46" s="6">
        <v>27.82</v>
      </c>
    </row>
    <row r="47" spans="1:11" x14ac:dyDescent="0.2">
      <c r="A47" s="4" t="s">
        <v>101</v>
      </c>
      <c r="B47" s="4" t="s">
        <v>110</v>
      </c>
      <c r="C47" s="5">
        <v>46271</v>
      </c>
      <c r="D47" s="4" t="s">
        <v>14</v>
      </c>
      <c r="E47" s="4" t="s">
        <v>111</v>
      </c>
      <c r="F47" s="6">
        <v>13.91</v>
      </c>
      <c r="I47" s="7">
        <v>0</v>
      </c>
      <c r="J47" s="7">
        <v>0</v>
      </c>
      <c r="K47" s="6">
        <v>13.91</v>
      </c>
    </row>
    <row r="48" spans="1:11" x14ac:dyDescent="0.2">
      <c r="A48" s="4" t="s">
        <v>101</v>
      </c>
      <c r="B48" s="4" t="s">
        <v>112</v>
      </c>
      <c r="C48" s="5">
        <v>46271</v>
      </c>
      <c r="D48" s="4" t="s">
        <v>14</v>
      </c>
      <c r="E48" s="4" t="s">
        <v>113</v>
      </c>
      <c r="F48" s="6">
        <v>27.82</v>
      </c>
      <c r="I48" s="7">
        <v>0</v>
      </c>
      <c r="J48" s="7">
        <v>0</v>
      </c>
      <c r="K48" s="6">
        <v>27.82</v>
      </c>
    </row>
    <row r="49" spans="1:11" x14ac:dyDescent="0.2">
      <c r="A49" s="4" t="s">
        <v>101</v>
      </c>
      <c r="B49" s="4" t="s">
        <v>114</v>
      </c>
      <c r="C49" s="5">
        <v>46271</v>
      </c>
      <c r="D49" s="4" t="s">
        <v>14</v>
      </c>
      <c r="E49" s="4" t="s">
        <v>115</v>
      </c>
      <c r="F49" s="6">
        <v>13.91</v>
      </c>
      <c r="I49" s="7">
        <v>0</v>
      </c>
      <c r="J49" s="7">
        <v>0</v>
      </c>
      <c r="K49" s="6">
        <v>13.91</v>
      </c>
    </row>
    <row r="50" spans="1:11" x14ac:dyDescent="0.2">
      <c r="A50" s="4" t="s">
        <v>101</v>
      </c>
      <c r="B50" s="4" t="s">
        <v>116</v>
      </c>
      <c r="C50" s="5">
        <v>46271</v>
      </c>
      <c r="D50" s="4" t="s">
        <v>14</v>
      </c>
      <c r="E50" s="4" t="s">
        <v>117</v>
      </c>
      <c r="F50" s="6">
        <v>13.91</v>
      </c>
      <c r="I50" s="7">
        <v>0</v>
      </c>
      <c r="J50" s="7">
        <v>0</v>
      </c>
      <c r="K50" s="6">
        <v>13.91</v>
      </c>
    </row>
    <row r="51" spans="1:11" x14ac:dyDescent="0.2">
      <c r="A51" s="4" t="s">
        <v>101</v>
      </c>
      <c r="B51" s="4" t="s">
        <v>118</v>
      </c>
      <c r="C51" s="5">
        <v>46271</v>
      </c>
      <c r="D51" s="4" t="s">
        <v>14</v>
      </c>
      <c r="E51" s="4" t="s">
        <v>57</v>
      </c>
      <c r="F51" s="6">
        <v>27.82</v>
      </c>
      <c r="I51" s="7">
        <v>0</v>
      </c>
      <c r="J51" s="7">
        <v>0</v>
      </c>
      <c r="K51" s="6">
        <v>27.82</v>
      </c>
    </row>
    <row r="52" spans="1:11" x14ac:dyDescent="0.2">
      <c r="A52" s="4" t="s">
        <v>101</v>
      </c>
      <c r="B52" s="4" t="s">
        <v>119</v>
      </c>
      <c r="C52" s="5">
        <v>46271</v>
      </c>
      <c r="D52" s="4" t="s">
        <v>14</v>
      </c>
      <c r="E52" s="4" t="s">
        <v>120</v>
      </c>
      <c r="F52" s="6">
        <v>13.91</v>
      </c>
      <c r="I52" s="7">
        <v>0</v>
      </c>
      <c r="J52" s="7">
        <v>0</v>
      </c>
      <c r="K52" s="6">
        <v>13.91</v>
      </c>
    </row>
    <row r="53" spans="1:11" x14ac:dyDescent="0.2">
      <c r="A53" s="4" t="s">
        <v>101</v>
      </c>
      <c r="B53" s="4" t="s">
        <v>121</v>
      </c>
      <c r="C53" s="5">
        <v>46271</v>
      </c>
      <c r="D53" s="4" t="s">
        <v>14</v>
      </c>
      <c r="E53" s="4" t="s">
        <v>122</v>
      </c>
      <c r="F53" s="6">
        <v>27.82</v>
      </c>
      <c r="I53" s="7">
        <v>0</v>
      </c>
      <c r="J53" s="7">
        <v>0</v>
      </c>
      <c r="K53" s="6">
        <v>27.82</v>
      </c>
    </row>
    <row r="54" spans="1:11" x14ac:dyDescent="0.2">
      <c r="A54" s="4" t="s">
        <v>101</v>
      </c>
      <c r="B54" s="4" t="s">
        <v>123</v>
      </c>
      <c r="C54" s="5">
        <v>46271</v>
      </c>
      <c r="D54" s="4" t="s">
        <v>14</v>
      </c>
      <c r="E54" s="4" t="s">
        <v>124</v>
      </c>
      <c r="F54" s="6">
        <v>13.91</v>
      </c>
      <c r="I54" s="7">
        <v>0</v>
      </c>
      <c r="J54" s="7">
        <v>0</v>
      </c>
      <c r="K54" s="6">
        <v>13.91</v>
      </c>
    </row>
    <row r="55" spans="1:11" x14ac:dyDescent="0.2">
      <c r="A55" s="4" t="s">
        <v>125</v>
      </c>
      <c r="B55" s="4" t="s">
        <v>126</v>
      </c>
      <c r="C55" s="5">
        <v>46271</v>
      </c>
      <c r="D55" s="4" t="s">
        <v>14</v>
      </c>
      <c r="E55" s="4" t="s">
        <v>127</v>
      </c>
      <c r="F55" s="6">
        <v>256.8</v>
      </c>
      <c r="I55" s="7">
        <v>0</v>
      </c>
      <c r="J55" s="7">
        <v>0</v>
      </c>
      <c r="K55" s="6">
        <v>256.8</v>
      </c>
    </row>
    <row r="56" spans="1:11" x14ac:dyDescent="0.2">
      <c r="A56" s="4" t="s">
        <v>75</v>
      </c>
      <c r="B56" s="4" t="s">
        <v>128</v>
      </c>
      <c r="C56" s="5">
        <v>46271</v>
      </c>
      <c r="D56" s="4" t="s">
        <v>14</v>
      </c>
      <c r="E56" s="4" t="s">
        <v>129</v>
      </c>
      <c r="F56" s="6">
        <v>13.91</v>
      </c>
      <c r="I56" s="7">
        <v>0</v>
      </c>
      <c r="J56" s="7">
        <v>0</v>
      </c>
      <c r="K56" s="6">
        <v>13.91</v>
      </c>
    </row>
    <row r="57" spans="1:11" x14ac:dyDescent="0.2">
      <c r="A57" s="4" t="s">
        <v>75</v>
      </c>
      <c r="B57" s="4" t="s">
        <v>130</v>
      </c>
      <c r="C57" s="5">
        <v>46271</v>
      </c>
      <c r="D57" s="4" t="s">
        <v>14</v>
      </c>
      <c r="E57" s="4" t="s">
        <v>131</v>
      </c>
      <c r="F57" s="6">
        <v>13.91</v>
      </c>
      <c r="I57" s="7">
        <v>0</v>
      </c>
      <c r="J57" s="7">
        <v>0</v>
      </c>
      <c r="K57" s="6">
        <v>13.91</v>
      </c>
    </row>
    <row r="58" spans="1:11" x14ac:dyDescent="0.2">
      <c r="A58" s="4" t="s">
        <v>75</v>
      </c>
      <c r="B58" s="4" t="s">
        <v>132</v>
      </c>
      <c r="C58" s="5">
        <v>46271</v>
      </c>
      <c r="D58" s="4" t="s">
        <v>14</v>
      </c>
      <c r="E58" s="4" t="s">
        <v>133</v>
      </c>
      <c r="F58" s="6">
        <v>27.82</v>
      </c>
      <c r="I58" s="7">
        <v>0</v>
      </c>
      <c r="J58" s="7">
        <v>0</v>
      </c>
      <c r="K58" s="6">
        <v>27.82</v>
      </c>
    </row>
    <row r="59" spans="1:11" x14ac:dyDescent="0.2">
      <c r="A59" s="4" t="s">
        <v>75</v>
      </c>
      <c r="B59" s="4" t="s">
        <v>134</v>
      </c>
      <c r="C59" s="5">
        <v>46271</v>
      </c>
      <c r="D59" s="4" t="s">
        <v>14</v>
      </c>
      <c r="E59" s="4" t="s">
        <v>135</v>
      </c>
      <c r="F59" s="6">
        <v>55.64</v>
      </c>
      <c r="I59" s="7">
        <v>0</v>
      </c>
      <c r="J59" s="7">
        <v>0</v>
      </c>
      <c r="K59" s="6">
        <v>55.64</v>
      </c>
    </row>
    <row r="60" spans="1:11" x14ac:dyDescent="0.2">
      <c r="A60" s="4" t="s">
        <v>75</v>
      </c>
      <c r="B60" s="4" t="s">
        <v>136</v>
      </c>
      <c r="C60" s="5">
        <v>46271</v>
      </c>
      <c r="D60" s="4" t="s">
        <v>14</v>
      </c>
      <c r="E60" s="4" t="s">
        <v>137</v>
      </c>
      <c r="F60" s="6">
        <v>13.91</v>
      </c>
      <c r="I60" s="7">
        <v>0</v>
      </c>
      <c r="J60" s="7">
        <v>0</v>
      </c>
      <c r="K60" s="6">
        <v>13.91</v>
      </c>
    </row>
    <row r="61" spans="1:11" x14ac:dyDescent="0.2">
      <c r="A61" s="4" t="s">
        <v>75</v>
      </c>
      <c r="B61" s="4" t="s">
        <v>138</v>
      </c>
      <c r="C61" s="5">
        <v>46271</v>
      </c>
      <c r="D61" s="4" t="s">
        <v>14</v>
      </c>
      <c r="E61" s="4" t="s">
        <v>139</v>
      </c>
      <c r="F61" s="6">
        <v>55.64</v>
      </c>
      <c r="I61" s="7">
        <v>0</v>
      </c>
      <c r="J61" s="7">
        <v>0</v>
      </c>
      <c r="K61" s="6">
        <v>55.64</v>
      </c>
    </row>
    <row r="62" spans="1:11" x14ac:dyDescent="0.2">
      <c r="A62" s="4" t="s">
        <v>75</v>
      </c>
      <c r="B62" s="4" t="s">
        <v>140</v>
      </c>
      <c r="C62" s="5">
        <v>46271</v>
      </c>
      <c r="D62" s="4" t="s">
        <v>14</v>
      </c>
      <c r="E62" s="4" t="s">
        <v>141</v>
      </c>
      <c r="F62" s="6">
        <v>27.82</v>
      </c>
      <c r="I62" s="7">
        <v>0</v>
      </c>
      <c r="J62" s="7">
        <v>0</v>
      </c>
      <c r="K62" s="6">
        <v>27.82</v>
      </c>
    </row>
    <row r="63" spans="1:11" x14ac:dyDescent="0.2">
      <c r="A63" s="4" t="s">
        <v>75</v>
      </c>
      <c r="B63" s="4" t="s">
        <v>142</v>
      </c>
      <c r="C63" s="5">
        <v>46271</v>
      </c>
      <c r="D63" s="4" t="s">
        <v>14</v>
      </c>
      <c r="E63" s="4" t="s">
        <v>105</v>
      </c>
      <c r="F63" s="6">
        <v>13.91</v>
      </c>
      <c r="I63" s="7">
        <v>0</v>
      </c>
      <c r="J63" s="7">
        <v>0</v>
      </c>
      <c r="K63" s="6">
        <v>13.91</v>
      </c>
    </row>
    <row r="64" spans="1:11" x14ac:dyDescent="0.2">
      <c r="A64" s="4" t="s">
        <v>75</v>
      </c>
      <c r="B64" s="4" t="s">
        <v>143</v>
      </c>
      <c r="C64" s="5">
        <v>46271</v>
      </c>
      <c r="D64" s="4" t="s">
        <v>14</v>
      </c>
      <c r="E64" s="4" t="s">
        <v>144</v>
      </c>
      <c r="F64" s="6">
        <v>13.91</v>
      </c>
      <c r="I64" s="7">
        <v>0</v>
      </c>
      <c r="J64" s="7">
        <v>0</v>
      </c>
      <c r="K64" s="6">
        <v>13.91</v>
      </c>
    </row>
    <row r="65" spans="1:11" x14ac:dyDescent="0.2">
      <c r="A65" s="4" t="s">
        <v>75</v>
      </c>
      <c r="B65" s="4" t="s">
        <v>145</v>
      </c>
      <c r="C65" s="5">
        <v>46271</v>
      </c>
      <c r="D65" s="4" t="s">
        <v>14</v>
      </c>
      <c r="E65" s="4" t="s">
        <v>146</v>
      </c>
      <c r="F65" s="6">
        <v>55.64</v>
      </c>
      <c r="I65" s="7">
        <v>0</v>
      </c>
      <c r="J65" s="7">
        <v>0</v>
      </c>
      <c r="K65" s="6">
        <v>55.64</v>
      </c>
    </row>
    <row r="66" spans="1:11" x14ac:dyDescent="0.2">
      <c r="A66" s="4" t="s">
        <v>75</v>
      </c>
      <c r="B66" s="4" t="s">
        <v>147</v>
      </c>
      <c r="C66" s="5">
        <v>46271</v>
      </c>
      <c r="D66" s="4" t="s">
        <v>14</v>
      </c>
      <c r="E66" s="4" t="s">
        <v>148</v>
      </c>
      <c r="F66" s="6">
        <v>13.91</v>
      </c>
      <c r="I66" s="7">
        <v>0</v>
      </c>
      <c r="J66" s="7">
        <v>0</v>
      </c>
      <c r="K66" s="6">
        <v>13.91</v>
      </c>
    </row>
    <row r="67" spans="1:11" x14ac:dyDescent="0.2">
      <c r="A67" s="4" t="s">
        <v>75</v>
      </c>
      <c r="B67" s="4" t="s">
        <v>149</v>
      </c>
      <c r="C67" s="5">
        <v>46271</v>
      </c>
      <c r="D67" s="4" t="s">
        <v>14</v>
      </c>
      <c r="E67" s="4" t="s">
        <v>150</v>
      </c>
      <c r="F67" s="6">
        <v>13.91</v>
      </c>
      <c r="I67" s="7">
        <v>0</v>
      </c>
      <c r="J67" s="7">
        <v>0</v>
      </c>
      <c r="K67" s="6">
        <v>13.91</v>
      </c>
    </row>
    <row r="68" spans="1:11" x14ac:dyDescent="0.2">
      <c r="A68" s="4" t="s">
        <v>75</v>
      </c>
      <c r="B68" s="4" t="s">
        <v>151</v>
      </c>
      <c r="C68" s="5">
        <v>46271</v>
      </c>
      <c r="D68" s="4" t="s">
        <v>14</v>
      </c>
      <c r="E68" s="4" t="s">
        <v>152</v>
      </c>
      <c r="F68" s="6">
        <v>13.91</v>
      </c>
      <c r="I68" s="7">
        <v>0</v>
      </c>
      <c r="J68" s="7">
        <v>0</v>
      </c>
      <c r="K68" s="6">
        <v>13.91</v>
      </c>
    </row>
    <row r="69" spans="1:11" x14ac:dyDescent="0.2">
      <c r="A69" s="4" t="s">
        <v>75</v>
      </c>
      <c r="B69" s="4" t="s">
        <v>153</v>
      </c>
      <c r="C69" s="5">
        <v>46271</v>
      </c>
      <c r="D69" s="4" t="s">
        <v>14</v>
      </c>
      <c r="E69" s="4" t="s">
        <v>154</v>
      </c>
      <c r="F69" s="6">
        <v>13.91</v>
      </c>
      <c r="I69" s="7">
        <v>0</v>
      </c>
      <c r="J69" s="7">
        <v>0</v>
      </c>
      <c r="K69" s="6">
        <v>13.91</v>
      </c>
    </row>
    <row r="70" spans="1:11" x14ac:dyDescent="0.2">
      <c r="A70" s="4" t="s">
        <v>75</v>
      </c>
      <c r="B70" s="4" t="s">
        <v>155</v>
      </c>
      <c r="C70" s="5">
        <v>46271</v>
      </c>
      <c r="D70" s="4" t="s">
        <v>14</v>
      </c>
      <c r="E70" s="4" t="s">
        <v>156</v>
      </c>
      <c r="F70" s="6">
        <v>13.91</v>
      </c>
      <c r="I70" s="7">
        <v>0</v>
      </c>
      <c r="J70" s="7">
        <v>0</v>
      </c>
      <c r="K70" s="6">
        <v>13.91</v>
      </c>
    </row>
    <row r="71" spans="1:11" x14ac:dyDescent="0.2">
      <c r="A71" s="4" t="s">
        <v>75</v>
      </c>
      <c r="B71" s="4" t="s">
        <v>157</v>
      </c>
      <c r="C71" s="5">
        <v>46271</v>
      </c>
      <c r="D71" s="4" t="s">
        <v>14</v>
      </c>
      <c r="E71" s="4" t="s">
        <v>158</v>
      </c>
      <c r="F71" s="6">
        <v>13.91</v>
      </c>
      <c r="I71" s="7">
        <v>0</v>
      </c>
      <c r="J71" s="7">
        <v>0</v>
      </c>
      <c r="K71" s="6">
        <v>13.91</v>
      </c>
    </row>
    <row r="72" spans="1:11" x14ac:dyDescent="0.2">
      <c r="A72" s="4" t="s">
        <v>75</v>
      </c>
      <c r="B72" s="4" t="s">
        <v>159</v>
      </c>
      <c r="C72" s="5">
        <v>46271</v>
      </c>
      <c r="D72" s="4" t="s">
        <v>14</v>
      </c>
      <c r="E72" s="4" t="s">
        <v>160</v>
      </c>
      <c r="F72" s="6">
        <v>13.91</v>
      </c>
      <c r="I72" s="7">
        <v>0</v>
      </c>
      <c r="J72" s="7">
        <v>0</v>
      </c>
      <c r="K72" s="6">
        <v>13.91</v>
      </c>
    </row>
    <row r="73" spans="1:11" x14ac:dyDescent="0.2">
      <c r="A73" s="4" t="s">
        <v>75</v>
      </c>
      <c r="B73" s="4" t="s">
        <v>161</v>
      </c>
      <c r="C73" s="5">
        <v>46271</v>
      </c>
      <c r="D73" s="4" t="s">
        <v>14</v>
      </c>
      <c r="E73" s="4" t="s">
        <v>162</v>
      </c>
      <c r="F73" s="6">
        <v>13.91</v>
      </c>
      <c r="I73" s="7">
        <v>0</v>
      </c>
      <c r="J73" s="7">
        <v>0</v>
      </c>
      <c r="K73" s="6">
        <v>13.91</v>
      </c>
    </row>
    <row r="74" spans="1:11" x14ac:dyDescent="0.2">
      <c r="A74" s="4" t="s">
        <v>75</v>
      </c>
      <c r="B74" s="4" t="s">
        <v>163</v>
      </c>
      <c r="C74" s="5">
        <v>46271</v>
      </c>
      <c r="D74" s="4" t="s">
        <v>14</v>
      </c>
      <c r="E74" s="4" t="s">
        <v>164</v>
      </c>
      <c r="F74" s="6">
        <v>27.82</v>
      </c>
      <c r="I74" s="7">
        <v>0</v>
      </c>
      <c r="J74" s="7">
        <v>0</v>
      </c>
      <c r="K74" s="6">
        <v>27.82</v>
      </c>
    </row>
    <row r="75" spans="1:11" x14ac:dyDescent="0.2">
      <c r="A75" s="4" t="s">
        <v>75</v>
      </c>
      <c r="B75" s="4" t="s">
        <v>165</v>
      </c>
      <c r="C75" s="5">
        <v>46271</v>
      </c>
      <c r="D75" s="4" t="s">
        <v>14</v>
      </c>
      <c r="E75" s="4" t="s">
        <v>111</v>
      </c>
      <c r="F75" s="6">
        <v>13.91</v>
      </c>
      <c r="I75" s="7">
        <v>0</v>
      </c>
      <c r="J75" s="7">
        <v>0</v>
      </c>
      <c r="K75" s="6">
        <v>13.91</v>
      </c>
    </row>
    <row r="76" spans="1:11" x14ac:dyDescent="0.2">
      <c r="A76" s="4" t="s">
        <v>75</v>
      </c>
      <c r="B76" s="4" t="s">
        <v>166</v>
      </c>
      <c r="C76" s="5">
        <v>46271</v>
      </c>
      <c r="D76" s="4" t="s">
        <v>14</v>
      </c>
      <c r="E76" s="4" t="s">
        <v>167</v>
      </c>
      <c r="F76" s="6">
        <v>13.91</v>
      </c>
      <c r="I76" s="7">
        <v>0</v>
      </c>
      <c r="J76" s="7">
        <v>0</v>
      </c>
      <c r="K76" s="6">
        <v>13.91</v>
      </c>
    </row>
    <row r="77" spans="1:11" x14ac:dyDescent="0.2">
      <c r="A77" s="4" t="s">
        <v>75</v>
      </c>
      <c r="B77" s="4" t="s">
        <v>168</v>
      </c>
      <c r="C77" s="5">
        <v>46271</v>
      </c>
      <c r="D77" s="4" t="s">
        <v>14</v>
      </c>
      <c r="E77" s="4" t="s">
        <v>169</v>
      </c>
      <c r="F77" s="6">
        <v>13.91</v>
      </c>
      <c r="I77" s="7">
        <v>0</v>
      </c>
      <c r="J77" s="7">
        <v>0</v>
      </c>
      <c r="K77" s="6">
        <v>13.91</v>
      </c>
    </row>
    <row r="78" spans="1:11" x14ac:dyDescent="0.2">
      <c r="A78" s="4" t="s">
        <v>75</v>
      </c>
      <c r="B78" s="4" t="s">
        <v>170</v>
      </c>
      <c r="C78" s="5">
        <v>46271</v>
      </c>
      <c r="D78" s="4" t="s">
        <v>14</v>
      </c>
      <c r="E78" s="4" t="s">
        <v>171</v>
      </c>
      <c r="F78" s="6">
        <v>13.91</v>
      </c>
      <c r="I78" s="7">
        <v>0</v>
      </c>
      <c r="J78" s="7">
        <v>0</v>
      </c>
      <c r="K78" s="6">
        <v>13.91</v>
      </c>
    </row>
    <row r="79" spans="1:11" x14ac:dyDescent="0.2">
      <c r="A79" s="4" t="s">
        <v>75</v>
      </c>
      <c r="B79" s="4" t="s">
        <v>172</v>
      </c>
      <c r="C79" s="5">
        <v>46271</v>
      </c>
      <c r="D79" s="4" t="s">
        <v>14</v>
      </c>
      <c r="E79" s="4" t="s">
        <v>173</v>
      </c>
      <c r="F79" s="6">
        <v>13.91</v>
      </c>
      <c r="I79" s="7">
        <v>0</v>
      </c>
      <c r="J79" s="7">
        <v>0</v>
      </c>
      <c r="K79" s="6">
        <v>13.91</v>
      </c>
    </row>
    <row r="80" spans="1:11" x14ac:dyDescent="0.2">
      <c r="A80" s="4" t="s">
        <v>75</v>
      </c>
      <c r="B80" s="4" t="s">
        <v>174</v>
      </c>
      <c r="C80" s="5">
        <v>46271</v>
      </c>
      <c r="D80" s="4" t="s">
        <v>14</v>
      </c>
      <c r="E80" s="4" t="s">
        <v>175</v>
      </c>
      <c r="F80" s="6">
        <v>13.91</v>
      </c>
      <c r="I80" s="7">
        <v>0</v>
      </c>
      <c r="J80" s="7">
        <v>0</v>
      </c>
      <c r="K80" s="6">
        <v>13.91</v>
      </c>
    </row>
    <row r="81" spans="1:11" x14ac:dyDescent="0.2">
      <c r="A81" s="4" t="s">
        <v>75</v>
      </c>
      <c r="B81" s="4" t="s">
        <v>176</v>
      </c>
      <c r="C81" s="5">
        <v>46271</v>
      </c>
      <c r="D81" s="4" t="s">
        <v>14</v>
      </c>
      <c r="E81" s="4" t="s">
        <v>177</v>
      </c>
      <c r="F81" s="6">
        <v>13.91</v>
      </c>
      <c r="I81" s="7">
        <v>0</v>
      </c>
      <c r="J81" s="7">
        <v>0</v>
      </c>
      <c r="K81" s="6">
        <v>13.91</v>
      </c>
    </row>
    <row r="82" spans="1:11" x14ac:dyDescent="0.2">
      <c r="A82" s="4" t="s">
        <v>75</v>
      </c>
      <c r="B82" s="4" t="s">
        <v>178</v>
      </c>
      <c r="C82" s="5">
        <v>46271</v>
      </c>
      <c r="D82" s="4" t="s">
        <v>14</v>
      </c>
      <c r="E82" s="4" t="s">
        <v>179</v>
      </c>
      <c r="F82" s="6">
        <v>13.91</v>
      </c>
      <c r="I82" s="7">
        <v>0</v>
      </c>
      <c r="J82" s="7">
        <v>0</v>
      </c>
      <c r="K82" s="6">
        <v>13.91</v>
      </c>
    </row>
    <row r="83" spans="1:11" x14ac:dyDescent="0.2">
      <c r="A83" s="4" t="s">
        <v>75</v>
      </c>
      <c r="B83" s="4" t="s">
        <v>180</v>
      </c>
      <c r="C83" s="5">
        <v>46271</v>
      </c>
      <c r="D83" s="4" t="s">
        <v>14</v>
      </c>
      <c r="E83" s="4" t="s">
        <v>181</v>
      </c>
      <c r="F83" s="6">
        <v>13.91</v>
      </c>
      <c r="I83" s="7">
        <v>0</v>
      </c>
      <c r="J83" s="7">
        <v>0</v>
      </c>
      <c r="K83" s="6">
        <v>13.91</v>
      </c>
    </row>
    <row r="84" spans="1:11" x14ac:dyDescent="0.2">
      <c r="A84" s="4" t="s">
        <v>75</v>
      </c>
      <c r="B84" s="4" t="s">
        <v>182</v>
      </c>
      <c r="C84" s="5">
        <v>46271</v>
      </c>
      <c r="D84" s="4" t="s">
        <v>14</v>
      </c>
      <c r="E84" s="4" t="s">
        <v>183</v>
      </c>
      <c r="F84" s="6">
        <v>13.91</v>
      </c>
      <c r="I84" s="7">
        <v>0</v>
      </c>
      <c r="J84" s="7">
        <v>0</v>
      </c>
      <c r="K84" s="6">
        <v>13.91</v>
      </c>
    </row>
    <row r="85" spans="1:11" x14ac:dyDescent="0.2">
      <c r="A85" s="4" t="s">
        <v>75</v>
      </c>
      <c r="B85" s="4" t="s">
        <v>184</v>
      </c>
      <c r="C85" s="5">
        <v>46271</v>
      </c>
      <c r="D85" s="4" t="s">
        <v>14</v>
      </c>
      <c r="E85" s="4" t="s">
        <v>185</v>
      </c>
      <c r="F85" s="6">
        <v>13.91</v>
      </c>
      <c r="I85" s="7">
        <v>0</v>
      </c>
      <c r="J85" s="7">
        <v>0</v>
      </c>
      <c r="K85" s="6">
        <v>13.91</v>
      </c>
    </row>
    <row r="86" spans="1:11" x14ac:dyDescent="0.2">
      <c r="A86" s="4" t="s">
        <v>75</v>
      </c>
      <c r="B86" s="4" t="s">
        <v>186</v>
      </c>
      <c r="C86" s="5">
        <v>46271</v>
      </c>
      <c r="D86" s="4" t="s">
        <v>14</v>
      </c>
      <c r="E86" s="4" t="s">
        <v>187</v>
      </c>
      <c r="F86" s="6">
        <v>13.91</v>
      </c>
      <c r="I86" s="7">
        <v>0</v>
      </c>
      <c r="J86" s="7">
        <v>0</v>
      </c>
      <c r="K86" s="6">
        <v>13.91</v>
      </c>
    </row>
    <row r="87" spans="1:11" x14ac:dyDescent="0.2">
      <c r="A87" s="4" t="s">
        <v>75</v>
      </c>
      <c r="B87" s="4" t="s">
        <v>188</v>
      </c>
      <c r="C87" s="5">
        <v>46271</v>
      </c>
      <c r="D87" s="4" t="s">
        <v>14</v>
      </c>
      <c r="E87" s="4" t="s">
        <v>189</v>
      </c>
      <c r="F87" s="6">
        <v>13.91</v>
      </c>
      <c r="I87" s="7">
        <v>0</v>
      </c>
      <c r="J87" s="7">
        <v>0</v>
      </c>
      <c r="K87" s="6">
        <v>13.91</v>
      </c>
    </row>
    <row r="88" spans="1:11" x14ac:dyDescent="0.2">
      <c r="A88" s="4" t="s">
        <v>75</v>
      </c>
      <c r="B88" s="4" t="s">
        <v>190</v>
      </c>
      <c r="C88" s="5">
        <v>46271</v>
      </c>
      <c r="D88" s="4" t="s">
        <v>14</v>
      </c>
      <c r="E88" s="4" t="s">
        <v>191</v>
      </c>
      <c r="F88" s="6">
        <v>13.91</v>
      </c>
      <c r="I88" s="7">
        <v>0</v>
      </c>
      <c r="J88" s="7">
        <v>0</v>
      </c>
      <c r="K88" s="6">
        <v>13.91</v>
      </c>
    </row>
    <row r="89" spans="1:11" x14ac:dyDescent="0.2">
      <c r="A89" s="4" t="s">
        <v>75</v>
      </c>
      <c r="B89" s="4" t="s">
        <v>192</v>
      </c>
      <c r="C89" s="5">
        <v>46271</v>
      </c>
      <c r="D89" s="4" t="s">
        <v>14</v>
      </c>
      <c r="E89" s="4" t="s">
        <v>193</v>
      </c>
      <c r="F89" s="6">
        <v>13.91</v>
      </c>
      <c r="I89" s="7">
        <v>0</v>
      </c>
      <c r="J89" s="7">
        <v>0</v>
      </c>
      <c r="K89" s="6">
        <v>13.91</v>
      </c>
    </row>
    <row r="90" spans="1:11" x14ac:dyDescent="0.2">
      <c r="A90" s="4" t="s">
        <v>75</v>
      </c>
      <c r="B90" s="4" t="s">
        <v>194</v>
      </c>
      <c r="C90" s="5">
        <v>46271</v>
      </c>
      <c r="D90" s="4" t="s">
        <v>14</v>
      </c>
      <c r="E90" s="4" t="s">
        <v>195</v>
      </c>
      <c r="F90" s="6">
        <v>13.91</v>
      </c>
      <c r="I90" s="7">
        <v>0</v>
      </c>
      <c r="J90" s="7">
        <v>0</v>
      </c>
      <c r="K90" s="6">
        <v>13.91</v>
      </c>
    </row>
    <row r="91" spans="1:11" x14ac:dyDescent="0.2">
      <c r="A91" s="4" t="s">
        <v>75</v>
      </c>
      <c r="B91" s="4" t="s">
        <v>196</v>
      </c>
      <c r="C91" s="5">
        <v>46271</v>
      </c>
      <c r="D91" s="4" t="s">
        <v>14</v>
      </c>
      <c r="E91" s="4" t="s">
        <v>197</v>
      </c>
      <c r="F91" s="6">
        <v>13.91</v>
      </c>
      <c r="I91" s="7">
        <v>0</v>
      </c>
      <c r="J91" s="7">
        <v>0</v>
      </c>
      <c r="K91" s="6">
        <v>13.91</v>
      </c>
    </row>
    <row r="92" spans="1:11" x14ac:dyDescent="0.2">
      <c r="A92" s="4" t="s">
        <v>75</v>
      </c>
      <c r="B92" s="4" t="s">
        <v>198</v>
      </c>
      <c r="C92" s="5">
        <v>46271</v>
      </c>
      <c r="D92" s="4" t="s">
        <v>14</v>
      </c>
      <c r="E92" s="4" t="s">
        <v>115</v>
      </c>
      <c r="F92" s="6">
        <v>27.82</v>
      </c>
      <c r="I92" s="7">
        <v>0</v>
      </c>
      <c r="J92" s="7">
        <v>0</v>
      </c>
      <c r="K92" s="6">
        <v>27.82</v>
      </c>
    </row>
    <row r="93" spans="1:11" x14ac:dyDescent="0.2">
      <c r="A93" s="4" t="s">
        <v>75</v>
      </c>
      <c r="B93" s="4" t="s">
        <v>199</v>
      </c>
      <c r="C93" s="5">
        <v>46271</v>
      </c>
      <c r="D93" s="4" t="s">
        <v>14</v>
      </c>
      <c r="E93" s="4" t="s">
        <v>200</v>
      </c>
      <c r="F93" s="6">
        <v>13.91</v>
      </c>
      <c r="I93" s="7">
        <v>0</v>
      </c>
      <c r="J93" s="7">
        <v>0</v>
      </c>
      <c r="K93" s="6">
        <v>13.91</v>
      </c>
    </row>
    <row r="94" spans="1:11" x14ac:dyDescent="0.2">
      <c r="A94" s="4" t="s">
        <v>75</v>
      </c>
      <c r="B94" s="4" t="s">
        <v>201</v>
      </c>
      <c r="C94" s="5">
        <v>46271</v>
      </c>
      <c r="D94" s="4" t="s">
        <v>14</v>
      </c>
      <c r="E94" s="4" t="s">
        <v>202</v>
      </c>
      <c r="F94" s="6">
        <v>13.91</v>
      </c>
      <c r="I94" s="7">
        <v>0</v>
      </c>
      <c r="J94" s="7">
        <v>0</v>
      </c>
      <c r="K94" s="6">
        <v>13.91</v>
      </c>
    </row>
    <row r="95" spans="1:11" x14ac:dyDescent="0.2">
      <c r="A95" s="4" t="s">
        <v>75</v>
      </c>
      <c r="B95" s="4" t="s">
        <v>203</v>
      </c>
      <c r="C95" s="5">
        <v>46271</v>
      </c>
      <c r="D95" s="4" t="s">
        <v>14</v>
      </c>
      <c r="E95" s="4" t="s">
        <v>204</v>
      </c>
      <c r="F95" s="6">
        <v>13.91</v>
      </c>
      <c r="I95" s="7">
        <v>0</v>
      </c>
      <c r="J95" s="7">
        <v>0</v>
      </c>
      <c r="K95" s="6">
        <v>13.91</v>
      </c>
    </row>
    <row r="96" spans="1:11" x14ac:dyDescent="0.2">
      <c r="A96" s="4" t="s">
        <v>75</v>
      </c>
      <c r="B96" s="4" t="s">
        <v>205</v>
      </c>
      <c r="C96" s="5">
        <v>46271</v>
      </c>
      <c r="D96" s="4" t="s">
        <v>14</v>
      </c>
      <c r="E96" s="4" t="s">
        <v>206</v>
      </c>
      <c r="F96" s="6">
        <v>13.91</v>
      </c>
      <c r="I96" s="7">
        <v>0</v>
      </c>
      <c r="J96" s="7">
        <v>0</v>
      </c>
      <c r="K96" s="6">
        <v>13.91</v>
      </c>
    </row>
    <row r="97" spans="1:11" x14ac:dyDescent="0.2">
      <c r="A97" s="4" t="s">
        <v>75</v>
      </c>
      <c r="B97" s="4" t="s">
        <v>207</v>
      </c>
      <c r="C97" s="5">
        <v>46271</v>
      </c>
      <c r="D97" s="4" t="s">
        <v>14</v>
      </c>
      <c r="E97" s="4" t="s">
        <v>208</v>
      </c>
      <c r="F97" s="6">
        <v>13.91</v>
      </c>
      <c r="I97" s="7">
        <v>0</v>
      </c>
      <c r="J97" s="7">
        <v>0</v>
      </c>
      <c r="K97" s="6">
        <v>13.91</v>
      </c>
    </row>
    <row r="98" spans="1:11" x14ac:dyDescent="0.2">
      <c r="A98" s="4" t="s">
        <v>75</v>
      </c>
      <c r="B98" s="4" t="s">
        <v>209</v>
      </c>
      <c r="C98" s="5">
        <v>46271</v>
      </c>
      <c r="D98" s="4" t="s">
        <v>14</v>
      </c>
      <c r="E98" s="4" t="s">
        <v>210</v>
      </c>
      <c r="F98" s="6">
        <v>13.91</v>
      </c>
      <c r="I98" s="7">
        <v>0</v>
      </c>
      <c r="J98" s="7">
        <v>0</v>
      </c>
      <c r="K98" s="6">
        <v>13.91</v>
      </c>
    </row>
    <row r="99" spans="1:11" x14ac:dyDescent="0.2">
      <c r="A99" s="4" t="s">
        <v>75</v>
      </c>
      <c r="B99" s="4" t="s">
        <v>211</v>
      </c>
      <c r="C99" s="5">
        <v>46271</v>
      </c>
      <c r="D99" s="4" t="s">
        <v>14</v>
      </c>
      <c r="E99" s="4" t="s">
        <v>212</v>
      </c>
      <c r="F99" s="6">
        <v>13.91</v>
      </c>
      <c r="I99" s="7">
        <v>0</v>
      </c>
      <c r="J99" s="7">
        <v>0</v>
      </c>
      <c r="K99" s="6">
        <v>13.91</v>
      </c>
    </row>
    <row r="100" spans="1:11" x14ac:dyDescent="0.2">
      <c r="A100" s="4" t="s">
        <v>75</v>
      </c>
      <c r="B100" s="4" t="s">
        <v>213</v>
      </c>
      <c r="C100" s="5">
        <v>46271</v>
      </c>
      <c r="D100" s="4" t="s">
        <v>14</v>
      </c>
      <c r="E100" s="4" t="s">
        <v>214</v>
      </c>
      <c r="F100" s="6">
        <v>27.82</v>
      </c>
      <c r="I100" s="7">
        <v>0</v>
      </c>
      <c r="J100" s="7">
        <v>0</v>
      </c>
      <c r="K100" s="6">
        <v>27.82</v>
      </c>
    </row>
    <row r="101" spans="1:11" x14ac:dyDescent="0.2">
      <c r="A101" s="4" t="s">
        <v>75</v>
      </c>
      <c r="B101" s="4" t="s">
        <v>215</v>
      </c>
      <c r="C101" s="5">
        <v>46271</v>
      </c>
      <c r="D101" s="4" t="s">
        <v>14</v>
      </c>
      <c r="E101" s="4" t="s">
        <v>216</v>
      </c>
      <c r="F101" s="6">
        <v>13.91</v>
      </c>
      <c r="I101" s="7">
        <v>0</v>
      </c>
      <c r="J101" s="7">
        <v>0</v>
      </c>
      <c r="K101" s="6">
        <v>13.91</v>
      </c>
    </row>
    <row r="102" spans="1:11" x14ac:dyDescent="0.2">
      <c r="A102" s="4" t="s">
        <v>75</v>
      </c>
      <c r="B102" s="4" t="s">
        <v>217</v>
      </c>
      <c r="C102" s="5">
        <v>46271</v>
      </c>
      <c r="D102" s="4" t="s">
        <v>14</v>
      </c>
      <c r="E102" s="4" t="s">
        <v>218</v>
      </c>
      <c r="F102" s="6">
        <v>13.91</v>
      </c>
      <c r="I102" s="7">
        <v>0</v>
      </c>
      <c r="J102" s="7">
        <v>0</v>
      </c>
      <c r="K102" s="6">
        <v>13.91</v>
      </c>
    </row>
    <row r="103" spans="1:11" x14ac:dyDescent="0.2">
      <c r="A103" s="4" t="s">
        <v>75</v>
      </c>
      <c r="B103" s="4" t="s">
        <v>219</v>
      </c>
      <c r="C103" s="5">
        <v>46271</v>
      </c>
      <c r="D103" s="4" t="s">
        <v>14</v>
      </c>
      <c r="E103" s="4" t="s">
        <v>220</v>
      </c>
      <c r="F103" s="6">
        <v>13.91</v>
      </c>
      <c r="I103" s="7">
        <v>0</v>
      </c>
      <c r="J103" s="7">
        <v>0</v>
      </c>
      <c r="K103" s="6">
        <v>13.91</v>
      </c>
    </row>
    <row r="104" spans="1:11" x14ac:dyDescent="0.2">
      <c r="A104" s="4" t="s">
        <v>75</v>
      </c>
      <c r="B104" s="4" t="s">
        <v>221</v>
      </c>
      <c r="C104" s="5">
        <v>46271</v>
      </c>
      <c r="D104" s="4" t="s">
        <v>14</v>
      </c>
      <c r="E104" s="4" t="s">
        <v>222</v>
      </c>
      <c r="F104" s="6">
        <v>13.91</v>
      </c>
      <c r="I104" s="7">
        <v>0</v>
      </c>
      <c r="J104" s="7">
        <v>0</v>
      </c>
      <c r="K104" s="6">
        <v>13.91</v>
      </c>
    </row>
    <row r="105" spans="1:11" x14ac:dyDescent="0.2">
      <c r="A105" s="4" t="s">
        <v>75</v>
      </c>
      <c r="B105" s="4" t="s">
        <v>223</v>
      </c>
      <c r="C105" s="5">
        <v>46271</v>
      </c>
      <c r="D105" s="4" t="s">
        <v>14</v>
      </c>
      <c r="E105" s="4" t="s">
        <v>224</v>
      </c>
      <c r="F105" s="6">
        <v>13.91</v>
      </c>
      <c r="I105" s="7">
        <v>0</v>
      </c>
      <c r="J105" s="7">
        <v>0</v>
      </c>
      <c r="K105" s="6">
        <v>13.91</v>
      </c>
    </row>
    <row r="106" spans="1:11" x14ac:dyDescent="0.2">
      <c r="A106" s="4" t="s">
        <v>75</v>
      </c>
      <c r="B106" s="4" t="s">
        <v>225</v>
      </c>
      <c r="C106" s="5">
        <v>46271</v>
      </c>
      <c r="D106" s="4" t="s">
        <v>14</v>
      </c>
      <c r="E106" s="4" t="s">
        <v>226</v>
      </c>
      <c r="F106" s="6">
        <v>27.82</v>
      </c>
      <c r="I106" s="7">
        <v>0</v>
      </c>
      <c r="J106" s="7">
        <v>0</v>
      </c>
      <c r="K106" s="6">
        <v>27.82</v>
      </c>
    </row>
    <row r="107" spans="1:11" x14ac:dyDescent="0.2">
      <c r="A107" s="4" t="s">
        <v>75</v>
      </c>
      <c r="B107" s="4" t="s">
        <v>227</v>
      </c>
      <c r="C107" s="5">
        <v>46271</v>
      </c>
      <c r="D107" s="4" t="s">
        <v>14</v>
      </c>
      <c r="E107" s="4" t="s">
        <v>228</v>
      </c>
      <c r="F107" s="6">
        <v>13.91</v>
      </c>
      <c r="I107" s="7">
        <v>0</v>
      </c>
      <c r="J107" s="7">
        <v>0</v>
      </c>
      <c r="K107" s="6">
        <v>13.91</v>
      </c>
    </row>
    <row r="108" spans="1:11" x14ac:dyDescent="0.2">
      <c r="A108" s="4" t="s">
        <v>75</v>
      </c>
      <c r="B108" s="4" t="s">
        <v>229</v>
      </c>
      <c r="C108" s="5">
        <v>46271</v>
      </c>
      <c r="D108" s="4" t="s">
        <v>14</v>
      </c>
      <c r="E108" s="4" t="s">
        <v>230</v>
      </c>
      <c r="F108" s="6">
        <v>27.82</v>
      </c>
      <c r="I108" s="7">
        <v>0</v>
      </c>
      <c r="J108" s="7">
        <v>0</v>
      </c>
      <c r="K108" s="6">
        <v>27.82</v>
      </c>
    </row>
    <row r="109" spans="1:11" x14ac:dyDescent="0.2">
      <c r="A109" s="4" t="s">
        <v>75</v>
      </c>
      <c r="B109" s="4" t="s">
        <v>231</v>
      </c>
      <c r="C109" s="5">
        <v>46271</v>
      </c>
      <c r="D109" s="4" t="s">
        <v>14</v>
      </c>
      <c r="E109" s="4" t="s">
        <v>232</v>
      </c>
      <c r="F109" s="6">
        <v>13.91</v>
      </c>
      <c r="I109" s="7">
        <v>0</v>
      </c>
      <c r="J109" s="7">
        <v>0</v>
      </c>
      <c r="K109" s="6">
        <v>13.91</v>
      </c>
    </row>
    <row r="110" spans="1:11" x14ac:dyDescent="0.2">
      <c r="A110" s="4" t="s">
        <v>75</v>
      </c>
      <c r="B110" s="4" t="s">
        <v>233</v>
      </c>
      <c r="C110" s="5">
        <v>46271</v>
      </c>
      <c r="D110" s="4" t="s">
        <v>14</v>
      </c>
      <c r="E110" s="4" t="s">
        <v>234</v>
      </c>
      <c r="F110" s="6">
        <v>13.91</v>
      </c>
      <c r="I110" s="7">
        <v>0</v>
      </c>
      <c r="J110" s="7">
        <v>0</v>
      </c>
      <c r="K110" s="6">
        <v>13.91</v>
      </c>
    </row>
    <row r="111" spans="1:11" x14ac:dyDescent="0.2">
      <c r="A111" s="4" t="s">
        <v>75</v>
      </c>
      <c r="B111" s="4" t="s">
        <v>235</v>
      </c>
      <c r="C111" s="5">
        <v>46271</v>
      </c>
      <c r="D111" s="4" t="s">
        <v>14</v>
      </c>
      <c r="E111" s="4" t="s">
        <v>236</v>
      </c>
      <c r="F111" s="6">
        <v>13.91</v>
      </c>
      <c r="I111" s="7">
        <v>0</v>
      </c>
      <c r="J111" s="7">
        <v>0</v>
      </c>
      <c r="K111" s="6">
        <v>13.91</v>
      </c>
    </row>
    <row r="112" spans="1:11" x14ac:dyDescent="0.2">
      <c r="A112" s="4" t="s">
        <v>75</v>
      </c>
      <c r="B112" s="4" t="s">
        <v>237</v>
      </c>
      <c r="C112" s="5">
        <v>46271</v>
      </c>
      <c r="D112" s="4" t="s">
        <v>14</v>
      </c>
      <c r="E112" s="4" t="s">
        <v>238</v>
      </c>
      <c r="F112" s="6">
        <v>13.91</v>
      </c>
      <c r="I112" s="7">
        <v>0</v>
      </c>
      <c r="J112" s="7">
        <v>0</v>
      </c>
      <c r="K112" s="6">
        <v>13.91</v>
      </c>
    </row>
    <row r="113" spans="1:11" x14ac:dyDescent="0.2">
      <c r="A113" s="4" t="s">
        <v>75</v>
      </c>
      <c r="B113" s="4" t="s">
        <v>239</v>
      </c>
      <c r="C113" s="5">
        <v>46271</v>
      </c>
      <c r="D113" s="4" t="s">
        <v>14</v>
      </c>
      <c r="E113" s="4" t="s">
        <v>240</v>
      </c>
      <c r="F113" s="6">
        <v>13.91</v>
      </c>
      <c r="I113" s="7">
        <v>0</v>
      </c>
      <c r="J113" s="7">
        <v>0</v>
      </c>
      <c r="K113" s="6">
        <v>13.91</v>
      </c>
    </row>
    <row r="114" spans="1:11" x14ac:dyDescent="0.2">
      <c r="A114" s="4" t="s">
        <v>75</v>
      </c>
      <c r="B114" s="4" t="s">
        <v>241</v>
      </c>
      <c r="C114" s="5">
        <v>46271</v>
      </c>
      <c r="D114" s="4" t="s">
        <v>14</v>
      </c>
      <c r="E114" s="4" t="s">
        <v>242</v>
      </c>
      <c r="F114" s="6">
        <v>13.91</v>
      </c>
      <c r="I114" s="7">
        <v>0</v>
      </c>
      <c r="J114" s="7">
        <v>0</v>
      </c>
      <c r="K114" s="6">
        <v>13.91</v>
      </c>
    </row>
    <row r="115" spans="1:11" x14ac:dyDescent="0.2">
      <c r="A115" s="4" t="s">
        <v>75</v>
      </c>
      <c r="B115" s="4" t="s">
        <v>243</v>
      </c>
      <c r="C115" s="5">
        <v>46271</v>
      </c>
      <c r="D115" s="4" t="s">
        <v>14</v>
      </c>
      <c r="E115" s="4" t="s">
        <v>244</v>
      </c>
      <c r="F115" s="6">
        <v>13.91</v>
      </c>
      <c r="I115" s="7">
        <v>0</v>
      </c>
      <c r="J115" s="7">
        <v>0</v>
      </c>
      <c r="K115" s="6">
        <v>13.91</v>
      </c>
    </row>
    <row r="116" spans="1:11" x14ac:dyDescent="0.2">
      <c r="A116" s="4" t="s">
        <v>75</v>
      </c>
      <c r="B116" s="4" t="s">
        <v>245</v>
      </c>
      <c r="C116" s="5">
        <v>46271</v>
      </c>
      <c r="D116" s="4" t="s">
        <v>14</v>
      </c>
      <c r="E116" s="4" t="s">
        <v>246</v>
      </c>
      <c r="F116" s="6">
        <v>13.91</v>
      </c>
      <c r="I116" s="7">
        <v>0</v>
      </c>
      <c r="J116" s="7">
        <v>0</v>
      </c>
      <c r="K116" s="6">
        <v>13.91</v>
      </c>
    </row>
    <row r="117" spans="1:11" x14ac:dyDescent="0.2">
      <c r="A117" s="4" t="s">
        <v>75</v>
      </c>
      <c r="B117" s="4" t="s">
        <v>247</v>
      </c>
      <c r="C117" s="5">
        <v>46271</v>
      </c>
      <c r="D117" s="4" t="s">
        <v>14</v>
      </c>
      <c r="E117" s="4" t="s">
        <v>248</v>
      </c>
      <c r="F117" s="6">
        <v>13.91</v>
      </c>
      <c r="I117" s="7">
        <v>0</v>
      </c>
      <c r="J117" s="7">
        <v>0</v>
      </c>
      <c r="K117" s="6">
        <v>13.91</v>
      </c>
    </row>
    <row r="118" spans="1:11" x14ac:dyDescent="0.2">
      <c r="A118" s="4" t="s">
        <v>75</v>
      </c>
      <c r="B118" s="4" t="s">
        <v>249</v>
      </c>
      <c r="C118" s="5">
        <v>46271</v>
      </c>
      <c r="D118" s="4" t="s">
        <v>14</v>
      </c>
      <c r="E118" s="4" t="s">
        <v>250</v>
      </c>
      <c r="F118" s="6">
        <v>13.91</v>
      </c>
      <c r="I118" s="7">
        <v>0</v>
      </c>
      <c r="J118" s="7">
        <v>0</v>
      </c>
      <c r="K118" s="6">
        <v>13.91</v>
      </c>
    </row>
    <row r="119" spans="1:11" x14ac:dyDescent="0.2">
      <c r="A119" s="4" t="s">
        <v>75</v>
      </c>
      <c r="B119" s="4" t="s">
        <v>251</v>
      </c>
      <c r="C119" s="5">
        <v>46271</v>
      </c>
      <c r="D119" s="4" t="s">
        <v>14</v>
      </c>
      <c r="E119" s="4" t="s">
        <v>252</v>
      </c>
      <c r="F119" s="6">
        <v>27.82</v>
      </c>
      <c r="I119" s="7">
        <v>0</v>
      </c>
      <c r="J119" s="7">
        <v>0</v>
      </c>
      <c r="K119" s="6">
        <v>27.82</v>
      </c>
    </row>
    <row r="120" spans="1:11" x14ac:dyDescent="0.2">
      <c r="A120" s="4" t="s">
        <v>75</v>
      </c>
      <c r="B120" s="4" t="s">
        <v>253</v>
      </c>
      <c r="C120" s="5">
        <v>46271</v>
      </c>
      <c r="D120" s="4" t="s">
        <v>14</v>
      </c>
      <c r="E120" s="4" t="s">
        <v>254</v>
      </c>
      <c r="F120" s="6">
        <v>13.91</v>
      </c>
      <c r="I120" s="7">
        <v>0</v>
      </c>
      <c r="J120" s="7">
        <v>0</v>
      </c>
      <c r="K120" s="6">
        <v>13.91</v>
      </c>
    </row>
    <row r="121" spans="1:11" x14ac:dyDescent="0.2">
      <c r="A121" s="4" t="s">
        <v>75</v>
      </c>
      <c r="B121" s="4" t="s">
        <v>255</v>
      </c>
      <c r="C121" s="5">
        <v>46271</v>
      </c>
      <c r="D121" s="4" t="s">
        <v>14</v>
      </c>
      <c r="E121" s="4" t="s">
        <v>256</v>
      </c>
      <c r="F121" s="6">
        <v>13.91</v>
      </c>
      <c r="I121" s="7">
        <v>0</v>
      </c>
      <c r="J121" s="7">
        <v>0</v>
      </c>
      <c r="K121" s="6">
        <v>13.91</v>
      </c>
    </row>
    <row r="122" spans="1:11" x14ac:dyDescent="0.2">
      <c r="A122" s="4" t="s">
        <v>75</v>
      </c>
      <c r="B122" s="4" t="s">
        <v>257</v>
      </c>
      <c r="C122" s="5">
        <v>46271</v>
      </c>
      <c r="D122" s="4" t="s">
        <v>14</v>
      </c>
      <c r="E122" s="4" t="s">
        <v>258</v>
      </c>
      <c r="F122" s="6">
        <v>13.91</v>
      </c>
      <c r="I122" s="7">
        <v>0</v>
      </c>
      <c r="J122" s="7">
        <v>0</v>
      </c>
      <c r="K122" s="6">
        <v>13.91</v>
      </c>
    </row>
    <row r="123" spans="1:11" x14ac:dyDescent="0.2">
      <c r="A123" s="4" t="s">
        <v>259</v>
      </c>
      <c r="B123" s="4" t="s">
        <v>260</v>
      </c>
      <c r="C123" s="5">
        <v>46274</v>
      </c>
      <c r="D123" s="4" t="s">
        <v>14</v>
      </c>
      <c r="E123" s="4" t="s">
        <v>127</v>
      </c>
      <c r="F123" s="6">
        <v>256.8</v>
      </c>
      <c r="I123" s="7">
        <v>0</v>
      </c>
      <c r="J123" s="7">
        <v>0</v>
      </c>
      <c r="K123" s="6">
        <v>256.8</v>
      </c>
    </row>
    <row r="124" spans="1:11" x14ac:dyDescent="0.2">
      <c r="A124" s="4" t="s">
        <v>259</v>
      </c>
      <c r="B124" s="4" t="s">
        <v>261</v>
      </c>
      <c r="C124" s="5">
        <v>46274</v>
      </c>
      <c r="D124" s="4" t="s">
        <v>14</v>
      </c>
      <c r="E124" s="4" t="s">
        <v>262</v>
      </c>
      <c r="F124" s="6">
        <v>25.68</v>
      </c>
      <c r="H124" s="6">
        <v>21.35</v>
      </c>
      <c r="I124" s="7">
        <v>0</v>
      </c>
      <c r="J124" s="7">
        <v>0</v>
      </c>
      <c r="K124" s="6">
        <v>4.33</v>
      </c>
    </row>
    <row r="125" spans="1:11" x14ac:dyDescent="0.2">
      <c r="A125" s="4" t="s">
        <v>263</v>
      </c>
      <c r="B125" s="4" t="s">
        <v>264</v>
      </c>
      <c r="C125" s="5">
        <v>46274</v>
      </c>
      <c r="D125" s="4" t="s">
        <v>14</v>
      </c>
      <c r="E125" s="4" t="s">
        <v>265</v>
      </c>
      <c r="F125" s="6">
        <v>13.91</v>
      </c>
      <c r="H125" s="6">
        <v>13.85</v>
      </c>
      <c r="I125" s="7">
        <v>0</v>
      </c>
      <c r="J125" s="7">
        <v>13.85</v>
      </c>
      <c r="K125" s="6">
        <v>0.06</v>
      </c>
    </row>
    <row r="126" spans="1:11" x14ac:dyDescent="0.2">
      <c r="A126" s="4" t="s">
        <v>266</v>
      </c>
      <c r="B126" s="4" t="s">
        <v>267</v>
      </c>
      <c r="C126" s="5">
        <v>46275</v>
      </c>
      <c r="D126" s="4" t="s">
        <v>14</v>
      </c>
      <c r="E126" s="4" t="s">
        <v>268</v>
      </c>
      <c r="F126" s="6">
        <v>128.4</v>
      </c>
      <c r="H126" s="6">
        <v>43.39</v>
      </c>
      <c r="I126" s="7">
        <v>0</v>
      </c>
      <c r="J126" s="7">
        <v>0</v>
      </c>
      <c r="K126" s="6">
        <v>85.01</v>
      </c>
    </row>
    <row r="127" spans="1:11" x14ac:dyDescent="0.2">
      <c r="A127" s="4" t="s">
        <v>269</v>
      </c>
      <c r="B127" s="4" t="s">
        <v>270</v>
      </c>
      <c r="C127" s="5">
        <v>46275</v>
      </c>
      <c r="D127" s="4" t="s">
        <v>14</v>
      </c>
      <c r="E127" s="4" t="s">
        <v>271</v>
      </c>
      <c r="F127" s="6">
        <v>13.91</v>
      </c>
      <c r="I127" s="7">
        <v>0</v>
      </c>
      <c r="J127" s="7">
        <v>0</v>
      </c>
      <c r="K127" s="6">
        <v>13.91</v>
      </c>
    </row>
    <row r="128" spans="1:11" x14ac:dyDescent="0.2">
      <c r="A128" s="4" t="s">
        <v>272</v>
      </c>
      <c r="B128" s="4" t="s">
        <v>273</v>
      </c>
      <c r="C128" s="5">
        <v>46275</v>
      </c>
      <c r="D128" s="4" t="s">
        <v>14</v>
      </c>
      <c r="E128" s="4" t="s">
        <v>274</v>
      </c>
      <c r="F128" s="6">
        <v>26.52</v>
      </c>
      <c r="I128" s="7">
        <v>0</v>
      </c>
      <c r="J128" s="7">
        <v>0</v>
      </c>
      <c r="K128" s="6">
        <v>26.52</v>
      </c>
    </row>
    <row r="129" spans="1:11" x14ac:dyDescent="0.2">
      <c r="A129" s="8" t="s">
        <v>16</v>
      </c>
      <c r="E129" s="9">
        <f>SUBTOTAL(9,F39:F128)</f>
        <v>3202.2799999999966</v>
      </c>
      <c r="G129" s="9">
        <f>SUBTOTAL(9,G39:G128)</f>
        <v>55.64</v>
      </c>
      <c r="H129" s="9">
        <f>SUBTOTAL(9,H39:H128)</f>
        <v>665.69</v>
      </c>
      <c r="I129" s="9">
        <f>SUBTOTAL(9,I39:I128)</f>
        <v>0</v>
      </c>
      <c r="J129" s="10">
        <f>SUBTOTAL(9,J39:J128)</f>
        <v>423.58000000000004</v>
      </c>
      <c r="K129" s="11">
        <v>2480.9499999999998</v>
      </c>
    </row>
    <row r="130" spans="1:11" x14ac:dyDescent="0.2">
      <c r="A130" s="3" t="s">
        <v>275</v>
      </c>
    </row>
    <row r="131" spans="1:11" x14ac:dyDescent="0.2">
      <c r="A131" s="4" t="s">
        <v>276</v>
      </c>
      <c r="B131" s="4" t="s">
        <v>277</v>
      </c>
      <c r="C131" s="5">
        <v>46275</v>
      </c>
      <c r="D131" s="4" t="s">
        <v>14</v>
      </c>
      <c r="E131" s="4" t="s">
        <v>278</v>
      </c>
      <c r="F131" s="6">
        <v>5.49</v>
      </c>
      <c r="I131" s="7">
        <v>0</v>
      </c>
      <c r="J131" s="7">
        <v>0</v>
      </c>
      <c r="K131" s="6">
        <v>5.49</v>
      </c>
    </row>
    <row r="132" spans="1:11" x14ac:dyDescent="0.2">
      <c r="A132" s="8" t="s">
        <v>16</v>
      </c>
      <c r="E132" s="9">
        <f>SUBTOTAL(9,F131:F131)</f>
        <v>5.49</v>
      </c>
      <c r="I132" s="9">
        <f>SUBTOTAL(9,I131:I131)</f>
        <v>0</v>
      </c>
      <c r="J132" s="10">
        <f>SUBTOTAL(9,J131:J131)</f>
        <v>0</v>
      </c>
      <c r="K132" s="11">
        <v>5.49</v>
      </c>
    </row>
    <row r="133" spans="1:11" x14ac:dyDescent="0.2">
      <c r="A133" s="3" t="s">
        <v>279</v>
      </c>
    </row>
    <row r="134" spans="1:11" x14ac:dyDescent="0.2">
      <c r="A134" s="4" t="s">
        <v>280</v>
      </c>
      <c r="B134" s="4" t="s">
        <v>281</v>
      </c>
      <c r="C134" s="5">
        <v>46250</v>
      </c>
      <c r="D134" s="4" t="s">
        <v>14</v>
      </c>
      <c r="E134" s="4" t="s">
        <v>282</v>
      </c>
      <c r="F134" s="6">
        <v>105.84</v>
      </c>
      <c r="H134" s="6">
        <v>96.76</v>
      </c>
      <c r="I134" s="7">
        <v>0</v>
      </c>
      <c r="J134" s="7">
        <v>96.76</v>
      </c>
      <c r="K134" s="6">
        <v>9.08</v>
      </c>
    </row>
    <row r="135" spans="1:11" x14ac:dyDescent="0.2">
      <c r="A135" s="4" t="s">
        <v>283</v>
      </c>
      <c r="B135" s="4" t="s">
        <v>284</v>
      </c>
      <c r="C135" s="5">
        <v>46258</v>
      </c>
      <c r="D135" s="4" t="s">
        <v>14</v>
      </c>
      <c r="E135" s="4" t="s">
        <v>285</v>
      </c>
      <c r="F135" s="6">
        <v>0.98</v>
      </c>
      <c r="G135" s="6">
        <v>0</v>
      </c>
      <c r="H135" s="6">
        <v>0</v>
      </c>
      <c r="I135" s="7">
        <v>0</v>
      </c>
      <c r="J135" s="7">
        <v>0</v>
      </c>
      <c r="K135" s="6">
        <v>0.98</v>
      </c>
    </row>
    <row r="136" spans="1:11" x14ac:dyDescent="0.2">
      <c r="A136" s="8" t="s">
        <v>16</v>
      </c>
      <c r="E136" s="9">
        <f>SUBTOTAL(9,F134:F135)</f>
        <v>106.82000000000001</v>
      </c>
      <c r="G136" s="9">
        <f>SUBTOTAL(9,G134:G135)</f>
        <v>0</v>
      </c>
      <c r="H136" s="9">
        <f>SUBTOTAL(9,H134:H135)</f>
        <v>96.76</v>
      </c>
      <c r="I136" s="9">
        <f>SUBTOTAL(9,I134:I135)</f>
        <v>0</v>
      </c>
      <c r="J136" s="10">
        <f>SUBTOTAL(9,J134:J135)</f>
        <v>96.76</v>
      </c>
      <c r="K136" s="11">
        <v>10.06</v>
      </c>
    </row>
    <row r="137" spans="1:11" x14ac:dyDescent="0.2">
      <c r="A137" s="3" t="s">
        <v>286</v>
      </c>
    </row>
    <row r="138" spans="1:11" x14ac:dyDescent="0.2">
      <c r="A138" s="4" t="s">
        <v>287</v>
      </c>
      <c r="B138" s="4" t="s">
        <v>288</v>
      </c>
      <c r="C138" s="5">
        <v>46220</v>
      </c>
      <c r="D138" s="4" t="s">
        <v>14</v>
      </c>
      <c r="E138" s="4" t="s">
        <v>289</v>
      </c>
      <c r="F138" s="6">
        <v>114</v>
      </c>
      <c r="G138" s="6">
        <v>0</v>
      </c>
      <c r="H138" s="6">
        <v>74.64</v>
      </c>
      <c r="I138" s="7">
        <v>0</v>
      </c>
      <c r="J138" s="7">
        <v>116.44</v>
      </c>
      <c r="K138" s="6">
        <v>39.36</v>
      </c>
    </row>
    <row r="139" spans="1:11" x14ac:dyDescent="0.2">
      <c r="A139" s="4" t="s">
        <v>290</v>
      </c>
      <c r="B139" s="4" t="s">
        <v>291</v>
      </c>
      <c r="C139" s="5">
        <v>46259</v>
      </c>
      <c r="D139" s="4" t="s">
        <v>14</v>
      </c>
      <c r="E139" s="4" t="s">
        <v>292</v>
      </c>
      <c r="F139" s="6">
        <v>162</v>
      </c>
      <c r="I139" s="7">
        <v>0</v>
      </c>
      <c r="J139" s="7">
        <v>0</v>
      </c>
      <c r="K139" s="6">
        <v>162</v>
      </c>
    </row>
    <row r="140" spans="1:11" x14ac:dyDescent="0.2">
      <c r="A140" s="4" t="s">
        <v>290</v>
      </c>
      <c r="B140" s="4" t="s">
        <v>293</v>
      </c>
      <c r="C140" s="5">
        <v>46259</v>
      </c>
      <c r="D140" s="4" t="s">
        <v>14</v>
      </c>
      <c r="E140" s="4" t="s">
        <v>294</v>
      </c>
      <c r="F140" s="6">
        <v>86.4</v>
      </c>
      <c r="I140" s="7">
        <v>0</v>
      </c>
      <c r="J140" s="7">
        <v>0</v>
      </c>
      <c r="K140" s="6">
        <v>86.4</v>
      </c>
    </row>
    <row r="141" spans="1:11" x14ac:dyDescent="0.2">
      <c r="A141" s="4" t="s">
        <v>295</v>
      </c>
      <c r="B141" s="4" t="s">
        <v>296</v>
      </c>
      <c r="C141" s="5">
        <v>46259</v>
      </c>
      <c r="D141" s="4" t="s">
        <v>14</v>
      </c>
      <c r="E141" s="4" t="s">
        <v>297</v>
      </c>
      <c r="F141" s="6">
        <v>6.84</v>
      </c>
      <c r="I141" s="7">
        <v>0</v>
      </c>
      <c r="J141" s="7">
        <v>0</v>
      </c>
      <c r="K141" s="6">
        <v>6.84</v>
      </c>
    </row>
    <row r="142" spans="1:11" x14ac:dyDescent="0.2">
      <c r="A142" s="8" t="s">
        <v>16</v>
      </c>
      <c r="E142" s="9">
        <f>SUBTOTAL(9,F138:F141)</f>
        <v>369.23999999999995</v>
      </c>
      <c r="G142" s="9">
        <f>SUBTOTAL(9,G138:G141)</f>
        <v>0</v>
      </c>
      <c r="H142" s="9">
        <f>SUBTOTAL(9,H138:H141)</f>
        <v>74.64</v>
      </c>
      <c r="I142" s="9">
        <f>SUBTOTAL(9,I138:I141)</f>
        <v>0</v>
      </c>
      <c r="J142" s="10">
        <f>SUBTOTAL(9,J138:J141)</f>
        <v>116.44</v>
      </c>
      <c r="K142" s="11">
        <v>294.60000000000002</v>
      </c>
    </row>
    <row r="143" spans="1:11" x14ac:dyDescent="0.2">
      <c r="A143" s="3" t="s">
        <v>298</v>
      </c>
    </row>
    <row r="144" spans="1:11" x14ac:dyDescent="0.2">
      <c r="A144" s="4" t="s">
        <v>299</v>
      </c>
      <c r="B144" s="4" t="s">
        <v>300</v>
      </c>
      <c r="C144" s="5">
        <v>46203</v>
      </c>
      <c r="D144" s="4" t="s">
        <v>14</v>
      </c>
      <c r="E144" s="4" t="s">
        <v>282</v>
      </c>
      <c r="F144" s="6">
        <v>1026</v>
      </c>
      <c r="G144" s="6">
        <v>192</v>
      </c>
      <c r="H144" s="6">
        <v>583.22</v>
      </c>
      <c r="I144" s="7">
        <v>0</v>
      </c>
      <c r="J144" s="7">
        <v>317.49</v>
      </c>
      <c r="K144" s="6">
        <v>250.78</v>
      </c>
    </row>
    <row r="145" spans="1:11" x14ac:dyDescent="0.2">
      <c r="A145" s="4" t="s">
        <v>301</v>
      </c>
      <c r="B145" s="4" t="s">
        <v>302</v>
      </c>
      <c r="C145" s="5">
        <v>46274</v>
      </c>
      <c r="D145" s="4" t="s">
        <v>14</v>
      </c>
      <c r="E145" s="4" t="s">
        <v>303</v>
      </c>
      <c r="F145" s="6">
        <v>1.82</v>
      </c>
      <c r="I145" s="7">
        <v>0</v>
      </c>
      <c r="J145" s="7">
        <v>0</v>
      </c>
      <c r="K145" s="6">
        <v>1.82</v>
      </c>
    </row>
    <row r="146" spans="1:11" x14ac:dyDescent="0.2">
      <c r="A146" s="8" t="s">
        <v>16</v>
      </c>
      <c r="E146" s="9">
        <f>SUBTOTAL(9,F144:F145)</f>
        <v>1027.82</v>
      </c>
      <c r="G146" s="9">
        <f>SUBTOTAL(9,G144:G145)</f>
        <v>192</v>
      </c>
      <c r="H146" s="9">
        <f>SUBTOTAL(9,H144:H145)</f>
        <v>583.22</v>
      </c>
      <c r="I146" s="9">
        <f>SUBTOTAL(9,I144:I145)</f>
        <v>0</v>
      </c>
      <c r="J146" s="10">
        <f>SUBTOTAL(9,J144:J145)</f>
        <v>317.49</v>
      </c>
      <c r="K146" s="11">
        <v>252.6</v>
      </c>
    </row>
    <row r="147" spans="1:11" x14ac:dyDescent="0.2">
      <c r="A147" s="3" t="s">
        <v>304</v>
      </c>
    </row>
    <row r="148" spans="1:11" x14ac:dyDescent="0.2">
      <c r="A148" s="4" t="s">
        <v>305</v>
      </c>
      <c r="B148" s="4" t="s">
        <v>306</v>
      </c>
      <c r="C148" s="5">
        <v>46247</v>
      </c>
      <c r="D148" s="4" t="s">
        <v>14</v>
      </c>
      <c r="E148" s="4" t="s">
        <v>289</v>
      </c>
      <c r="F148" s="6">
        <v>250</v>
      </c>
      <c r="G148" s="6">
        <v>146</v>
      </c>
      <c r="H148" s="6">
        <v>100.95</v>
      </c>
      <c r="I148" s="7">
        <v>0</v>
      </c>
      <c r="J148" s="7">
        <v>0</v>
      </c>
      <c r="K148" s="6">
        <v>3.05</v>
      </c>
    </row>
    <row r="149" spans="1:11" x14ac:dyDescent="0.2">
      <c r="A149" s="4" t="s">
        <v>307</v>
      </c>
      <c r="B149" s="4" t="s">
        <v>308</v>
      </c>
      <c r="C149" s="5">
        <v>46270</v>
      </c>
      <c r="D149" s="4" t="s">
        <v>14</v>
      </c>
      <c r="E149" s="4" t="s">
        <v>289</v>
      </c>
      <c r="F149" s="6">
        <v>125</v>
      </c>
      <c r="G149" s="6">
        <v>96</v>
      </c>
      <c r="H149" s="6">
        <v>21.18</v>
      </c>
      <c r="I149" s="7">
        <v>0</v>
      </c>
      <c r="J149" s="7">
        <v>0</v>
      </c>
      <c r="K149" s="6">
        <v>7.82</v>
      </c>
    </row>
    <row r="150" spans="1:11" x14ac:dyDescent="0.2">
      <c r="A150" s="4" t="s">
        <v>309</v>
      </c>
      <c r="B150" s="4" t="s">
        <v>310</v>
      </c>
      <c r="C150" s="5">
        <v>46274</v>
      </c>
      <c r="D150" s="4" t="s">
        <v>14</v>
      </c>
      <c r="E150" s="4" t="s">
        <v>289</v>
      </c>
      <c r="F150" s="6">
        <v>375</v>
      </c>
      <c r="G150" s="6">
        <v>96</v>
      </c>
      <c r="H150" s="6">
        <v>0</v>
      </c>
      <c r="I150" s="7">
        <v>0</v>
      </c>
      <c r="J150" s="7">
        <v>0</v>
      </c>
      <c r="K150" s="6">
        <v>279</v>
      </c>
    </row>
    <row r="151" spans="1:11" x14ac:dyDescent="0.2">
      <c r="A151" s="4" t="s">
        <v>309</v>
      </c>
      <c r="B151" s="4" t="s">
        <v>311</v>
      </c>
      <c r="C151" s="5">
        <v>46274</v>
      </c>
      <c r="D151" s="4" t="s">
        <v>14</v>
      </c>
      <c r="E151" s="4" t="s">
        <v>312</v>
      </c>
      <c r="F151" s="6">
        <v>125</v>
      </c>
      <c r="I151" s="7">
        <v>0</v>
      </c>
      <c r="J151" s="7">
        <v>0</v>
      </c>
      <c r="K151" s="6">
        <v>125</v>
      </c>
    </row>
    <row r="152" spans="1:11" x14ac:dyDescent="0.2">
      <c r="A152" s="8" t="s">
        <v>16</v>
      </c>
      <c r="E152" s="9">
        <f>SUBTOTAL(9,F148:F151)</f>
        <v>875</v>
      </c>
      <c r="G152" s="9">
        <f>SUBTOTAL(9,G148:G151)</f>
        <v>338</v>
      </c>
      <c r="H152" s="9">
        <f>SUBTOTAL(9,H148:H151)</f>
        <v>122.13</v>
      </c>
      <c r="I152" s="9">
        <f>SUBTOTAL(9,I148:I151)</f>
        <v>0</v>
      </c>
      <c r="J152" s="10">
        <f>SUBTOTAL(9,J148:J151)</f>
        <v>0</v>
      </c>
      <c r="K152" s="11">
        <v>414.87</v>
      </c>
    </row>
    <row r="153" spans="1:11" x14ac:dyDescent="0.2">
      <c r="A153" s="3" t="s">
        <v>313</v>
      </c>
    </row>
    <row r="154" spans="1:11" x14ac:dyDescent="0.2">
      <c r="A154" s="4" t="s">
        <v>314</v>
      </c>
      <c r="B154" s="4" t="s">
        <v>315</v>
      </c>
      <c r="C154" s="5">
        <v>46217</v>
      </c>
      <c r="D154" s="4" t="s">
        <v>14</v>
      </c>
      <c r="E154" s="4" t="s">
        <v>316</v>
      </c>
      <c r="F154" s="6">
        <v>790.09</v>
      </c>
      <c r="H154" s="6">
        <v>62.25</v>
      </c>
      <c r="I154" s="7">
        <v>0</v>
      </c>
      <c r="J154" s="7">
        <v>62.25</v>
      </c>
      <c r="K154" s="6">
        <v>727.84</v>
      </c>
    </row>
    <row r="155" spans="1:11" x14ac:dyDescent="0.2">
      <c r="A155" s="4" t="s">
        <v>317</v>
      </c>
      <c r="B155" s="4" t="s">
        <v>318</v>
      </c>
      <c r="C155" s="5">
        <v>46229</v>
      </c>
      <c r="D155" s="4" t="s">
        <v>14</v>
      </c>
      <c r="E155" s="4" t="s">
        <v>319</v>
      </c>
      <c r="F155" s="6">
        <v>240.84</v>
      </c>
      <c r="H155" s="6">
        <v>147.52000000000001</v>
      </c>
      <c r="I155" s="7">
        <v>0</v>
      </c>
      <c r="J155" s="7">
        <v>49.36</v>
      </c>
      <c r="K155" s="6">
        <v>93.32</v>
      </c>
    </row>
    <row r="156" spans="1:11" x14ac:dyDescent="0.2">
      <c r="A156" s="8" t="s">
        <v>16</v>
      </c>
      <c r="E156" s="9">
        <f>SUBTOTAL(9,F154:F155)</f>
        <v>1030.93</v>
      </c>
      <c r="H156" s="9">
        <f>SUBTOTAL(9,H154:H155)</f>
        <v>209.77</v>
      </c>
      <c r="I156" s="9">
        <f>SUBTOTAL(9,I154:I155)</f>
        <v>0</v>
      </c>
      <c r="J156" s="10">
        <f>SUBTOTAL(9,J154:J155)</f>
        <v>111.61</v>
      </c>
      <c r="K156" s="11">
        <v>821.16</v>
      </c>
    </row>
    <row r="157" spans="1:11" x14ac:dyDescent="0.2">
      <c r="A157" s="3" t="s">
        <v>320</v>
      </c>
    </row>
    <row r="158" spans="1:11" x14ac:dyDescent="0.2">
      <c r="A158" s="4" t="s">
        <v>321</v>
      </c>
      <c r="B158" s="4" t="s">
        <v>322</v>
      </c>
      <c r="C158" s="5">
        <v>46274</v>
      </c>
      <c r="D158" s="4" t="s">
        <v>14</v>
      </c>
      <c r="E158" s="4" t="s">
        <v>323</v>
      </c>
      <c r="F158" s="6">
        <v>6.48</v>
      </c>
      <c r="I158" s="7">
        <v>0</v>
      </c>
      <c r="J158" s="7">
        <v>0</v>
      </c>
      <c r="K158" s="6">
        <v>6.48</v>
      </c>
    </row>
    <row r="159" spans="1:11" x14ac:dyDescent="0.2">
      <c r="A159" s="8" t="s">
        <v>16</v>
      </c>
      <c r="E159" s="9">
        <f>SUBTOTAL(9,F158:F158)</f>
        <v>6.48</v>
      </c>
      <c r="I159" s="9">
        <f>SUBTOTAL(9,I158:I158)</f>
        <v>0</v>
      </c>
      <c r="J159" s="10">
        <f>SUBTOTAL(9,J158:J158)</f>
        <v>0</v>
      </c>
      <c r="K159" s="11">
        <v>6.48</v>
      </c>
    </row>
    <row r="160" spans="1:11" x14ac:dyDescent="0.2">
      <c r="A160" s="3" t="s">
        <v>324</v>
      </c>
    </row>
    <row r="161" spans="1:11" x14ac:dyDescent="0.2">
      <c r="A161" s="4" t="s">
        <v>325</v>
      </c>
      <c r="B161" s="4" t="s">
        <v>326</v>
      </c>
      <c r="C161" s="5">
        <v>46196</v>
      </c>
      <c r="D161" s="4" t="s">
        <v>14</v>
      </c>
      <c r="E161" s="4" t="s">
        <v>327</v>
      </c>
      <c r="F161" s="6">
        <v>103.05</v>
      </c>
      <c r="H161" s="6">
        <v>55.3</v>
      </c>
      <c r="I161" s="7">
        <v>0</v>
      </c>
      <c r="J161" s="7">
        <v>12.74</v>
      </c>
      <c r="K161" s="6">
        <v>47.75</v>
      </c>
    </row>
    <row r="162" spans="1:11" x14ac:dyDescent="0.2">
      <c r="A162" s="4" t="s">
        <v>290</v>
      </c>
      <c r="B162" s="4" t="s">
        <v>328</v>
      </c>
      <c r="C162" s="5">
        <v>46259</v>
      </c>
      <c r="D162" s="4" t="s">
        <v>14</v>
      </c>
      <c r="E162" s="4" t="s">
        <v>329</v>
      </c>
      <c r="F162" s="6">
        <v>61.2</v>
      </c>
      <c r="I162" s="7">
        <v>0</v>
      </c>
      <c r="J162" s="7">
        <v>0</v>
      </c>
      <c r="K162" s="6">
        <v>61.2</v>
      </c>
    </row>
    <row r="163" spans="1:11" x14ac:dyDescent="0.2">
      <c r="A163" s="8" t="s">
        <v>16</v>
      </c>
      <c r="E163" s="9">
        <f>SUBTOTAL(9,F161:F162)</f>
        <v>164.25</v>
      </c>
      <c r="H163" s="9">
        <f>SUBTOTAL(9,H161:H162)</f>
        <v>55.3</v>
      </c>
      <c r="I163" s="9">
        <f>SUBTOTAL(9,I161:I162)</f>
        <v>0</v>
      </c>
      <c r="J163" s="10">
        <f>SUBTOTAL(9,J161:J162)</f>
        <v>12.74</v>
      </c>
      <c r="K163" s="11">
        <v>108.95</v>
      </c>
    </row>
    <row r="164" spans="1:11" x14ac:dyDescent="0.2">
      <c r="A164" s="3" t="s">
        <v>330</v>
      </c>
    </row>
    <row r="165" spans="1:11" x14ac:dyDescent="0.2">
      <c r="A165" s="4" t="s">
        <v>331</v>
      </c>
      <c r="B165" s="4" t="s">
        <v>332</v>
      </c>
      <c r="C165" s="5">
        <v>46205</v>
      </c>
      <c r="D165" s="4" t="s">
        <v>14</v>
      </c>
      <c r="E165" s="4" t="s">
        <v>333</v>
      </c>
      <c r="F165" s="6">
        <v>49.6</v>
      </c>
      <c r="G165" s="6">
        <v>0</v>
      </c>
      <c r="H165" s="6">
        <v>25.44</v>
      </c>
      <c r="I165" s="7">
        <v>0</v>
      </c>
      <c r="J165" s="7">
        <v>25.43</v>
      </c>
      <c r="K165" s="6">
        <v>24.16</v>
      </c>
    </row>
    <row r="166" spans="1:11" x14ac:dyDescent="0.2">
      <c r="A166" s="4" t="s">
        <v>334</v>
      </c>
      <c r="B166" s="4" t="s">
        <v>335</v>
      </c>
      <c r="C166" s="5">
        <v>46272</v>
      </c>
      <c r="D166" s="4" t="s">
        <v>14</v>
      </c>
      <c r="E166" s="4" t="s">
        <v>336</v>
      </c>
      <c r="F166" s="6">
        <v>15.5</v>
      </c>
      <c r="H166" s="6">
        <v>13.04</v>
      </c>
      <c r="I166" s="7">
        <v>0</v>
      </c>
      <c r="J166" s="7">
        <v>13.04</v>
      </c>
      <c r="K166" s="6">
        <v>2.46</v>
      </c>
    </row>
    <row r="167" spans="1:11" x14ac:dyDescent="0.2">
      <c r="A167" s="4" t="s">
        <v>301</v>
      </c>
      <c r="B167" s="4" t="s">
        <v>337</v>
      </c>
      <c r="C167" s="5">
        <v>46274</v>
      </c>
      <c r="D167" s="4" t="s">
        <v>14</v>
      </c>
      <c r="E167" s="4" t="s">
        <v>338</v>
      </c>
      <c r="F167" s="6">
        <v>1.55</v>
      </c>
      <c r="H167" s="6">
        <v>0.77</v>
      </c>
      <c r="I167" s="7">
        <v>0</v>
      </c>
      <c r="J167" s="7">
        <v>0.77</v>
      </c>
      <c r="K167" s="6">
        <v>0.78</v>
      </c>
    </row>
    <row r="168" spans="1:11" x14ac:dyDescent="0.2">
      <c r="A168" s="8" t="s">
        <v>16</v>
      </c>
      <c r="E168" s="9">
        <f>SUBTOTAL(9,F165:F167)</f>
        <v>66.649999999999991</v>
      </c>
      <c r="G168" s="9">
        <f>SUBTOTAL(9,G165:G167)</f>
        <v>0</v>
      </c>
      <c r="H168" s="9">
        <f>SUBTOTAL(9,H165:H167)</f>
        <v>39.250000000000007</v>
      </c>
      <c r="I168" s="9">
        <f>SUBTOTAL(9,I165:I167)</f>
        <v>0</v>
      </c>
      <c r="J168" s="10">
        <f>SUBTOTAL(9,J165:J167)</f>
        <v>39.24</v>
      </c>
      <c r="K168" s="11">
        <v>27.4</v>
      </c>
    </row>
    <row r="169" spans="1:11" x14ac:dyDescent="0.2">
      <c r="A169" s="3" t="s">
        <v>339</v>
      </c>
    </row>
    <row r="170" spans="1:11" x14ac:dyDescent="0.2">
      <c r="A170" s="4" t="s">
        <v>340</v>
      </c>
      <c r="B170" s="4" t="s">
        <v>341</v>
      </c>
      <c r="C170" s="5">
        <v>46275</v>
      </c>
      <c r="D170" s="4" t="s">
        <v>14</v>
      </c>
      <c r="E170" s="4" t="s">
        <v>282</v>
      </c>
      <c r="F170" s="6">
        <v>62.5</v>
      </c>
      <c r="H170" s="6">
        <v>54.98</v>
      </c>
      <c r="I170" s="7">
        <v>0</v>
      </c>
      <c r="J170" s="7">
        <v>0</v>
      </c>
      <c r="K170" s="6">
        <v>7.52</v>
      </c>
    </row>
    <row r="171" spans="1:11" x14ac:dyDescent="0.2">
      <c r="A171" s="8" t="s">
        <v>16</v>
      </c>
      <c r="E171" s="9">
        <f>SUBTOTAL(9,F170:F170)</f>
        <v>62.5</v>
      </c>
      <c r="H171" s="9">
        <f>SUBTOTAL(9,H170:H170)</f>
        <v>54.98</v>
      </c>
      <c r="I171" s="9">
        <f>SUBTOTAL(9,I170:I170)</f>
        <v>0</v>
      </c>
      <c r="J171" s="10">
        <f>SUBTOTAL(9,J170:J170)</f>
        <v>0</v>
      </c>
      <c r="K171" s="11">
        <v>7.52</v>
      </c>
    </row>
    <row r="172" spans="1:11" x14ac:dyDescent="0.2">
      <c r="A172" s="3" t="s">
        <v>342</v>
      </c>
    </row>
    <row r="173" spans="1:11" x14ac:dyDescent="0.2">
      <c r="A173" s="4" t="s">
        <v>343</v>
      </c>
      <c r="B173" s="4" t="s">
        <v>344</v>
      </c>
      <c r="C173" s="5">
        <v>46245</v>
      </c>
      <c r="D173" s="4" t="s">
        <v>14</v>
      </c>
      <c r="E173" s="4" t="s">
        <v>345</v>
      </c>
      <c r="F173" s="6">
        <v>17.7</v>
      </c>
      <c r="G173" s="6">
        <v>0</v>
      </c>
      <c r="H173" s="6">
        <v>0</v>
      </c>
      <c r="I173" s="7">
        <v>0</v>
      </c>
      <c r="J173" s="7">
        <v>0</v>
      </c>
      <c r="K173" s="6">
        <v>17.7</v>
      </c>
    </row>
    <row r="174" spans="1:11" x14ac:dyDescent="0.2">
      <c r="A174" s="8" t="s">
        <v>16</v>
      </c>
      <c r="E174" s="9">
        <f>SUBTOTAL(9,F173:F173)</f>
        <v>17.7</v>
      </c>
      <c r="G174" s="9">
        <f>SUBTOTAL(9,G173:G173)</f>
        <v>0</v>
      </c>
      <c r="H174" s="9">
        <f>SUBTOTAL(9,H173:H173)</f>
        <v>0</v>
      </c>
      <c r="I174" s="9">
        <f>SUBTOTAL(9,I173:I173)</f>
        <v>0</v>
      </c>
      <c r="J174" s="10">
        <f>SUBTOTAL(9,J173:J173)</f>
        <v>0</v>
      </c>
      <c r="K174" s="11">
        <v>17.7</v>
      </c>
    </row>
  </sheetData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PENDINGORDERTOPLAN.rpt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2026-09-11T03:45:14Z</dcterms:created>
  <dcterms:modified xsi:type="dcterms:W3CDTF">2026-09-11T03:45:17Z</dcterms:modified>
</cp:coreProperties>
</file>