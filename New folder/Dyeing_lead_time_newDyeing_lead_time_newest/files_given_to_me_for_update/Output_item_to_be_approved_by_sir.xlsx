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for_last\files_given_to_me_for_update\"/>
    </mc:Choice>
  </mc:AlternateContent>
  <bookViews>
    <workbookView xWindow="0" yWindow="0" windowWidth="24000" windowHeight="9600"/>
  </bookViews>
  <sheets>
    <sheet name="2_by_60_SPUN_POLYESTER_YARN" sheetId="1" r:id="rId1"/>
    <sheet name="2_by_57_SPUN_POLYESTER_YARN" sheetId="2" r:id="rId2"/>
    <sheet name="210_by_3_HT_CONTINOUS_POLYESTER" sheetId="3" r:id="rId3"/>
    <sheet name="Recovered_Sheet1" sheetId="4" r:id="rId4"/>
    <sheet name="420_by_3_HI-TENACITY_NYLON_6_YA" sheetId="5" r:id="rId5"/>
    <sheet name="210_by_2_HI-TENACITY_NYLON_6_YA" sheetId="6" r:id="rId6"/>
    <sheet name="210_by_3_HI-TENACITY_NYLON_6_YA" sheetId="7" r:id="rId7"/>
    <sheet name="210_by_2_HT_CONTINOUS_POLYESTER" sheetId="8" r:id="rId8"/>
    <sheet name="420_by_3_HT_CONTINOUS_POLYESTER" sheetId="9" r:id="rId9"/>
    <sheet name="840_by_3_HT_CONTINOUS_POLYESTER" sheetId="10" r:id="rId10"/>
    <sheet name="250_by_3_HT_CONTINOUS_POLYESTER" sheetId="11" r:id="rId11"/>
  </sheets>
  <definedNames>
    <definedName name="_xlnm._FilterDatabase" localSheetId="0" hidden="1">'2_by_60_SPUN_POLYESTER_YARN'!$A$1:$Y$136</definedName>
  </definedNames>
  <calcPr calcId="162913"/>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2" i="1"/>
</calcChain>
</file>

<file path=xl/sharedStrings.xml><?xml version="1.0" encoding="utf-8"?>
<sst xmlns="http://schemas.openxmlformats.org/spreadsheetml/2006/main" count="2220" uniqueCount="597">
  <si>
    <t>Order No.</t>
  </si>
  <si>
    <t>DO  No.</t>
  </si>
  <si>
    <t>DO Date.</t>
  </si>
  <si>
    <t>Party Name.</t>
  </si>
  <si>
    <t>Shade Name</t>
  </si>
  <si>
    <t>D.O. Qty</t>
  </si>
  <si>
    <t>Plan Qty</t>
  </si>
  <si>
    <t>Issue Qty</t>
  </si>
  <si>
    <t>Cancel Qty</t>
  </si>
  <si>
    <t>Dispatch Qty</t>
  </si>
  <si>
    <t>Bal PlanQty</t>
  </si>
  <si>
    <t>Item Name</t>
  </si>
  <si>
    <t>Last_date_of_Odr</t>
  </si>
  <si>
    <t>actual_tot_in_Qty</t>
  </si>
  <si>
    <t>actual_tot_wt_in_KG</t>
  </si>
  <si>
    <t>Total_Frequency</t>
  </si>
  <si>
    <t>No_of_parties</t>
  </si>
  <si>
    <t>Parties</t>
  </si>
  <si>
    <t>Series_name</t>
  </si>
  <si>
    <t>Avg_Qty_per_month</t>
  </si>
  <si>
    <t>Avg_wt_in_KG_per_month</t>
  </si>
  <si>
    <t>Avg_Frequency_per_month</t>
  </si>
  <si>
    <t>Avg_parties_per_month</t>
  </si>
  <si>
    <t>Repetition</t>
  </si>
  <si>
    <t>ST00445/26</t>
  </si>
  <si>
    <t>ST0044502N</t>
  </si>
  <si>
    <t>KIRAN INDUSTRIES PVT LTD (STICH DIV SALES)</t>
  </si>
  <si>
    <t>D10002</t>
  </si>
  <si>
    <t>2/60 SPUN POLYESTER YARN</t>
  </si>
  <si>
    <t>ZIGMA</t>
  </si>
  <si>
    <t>4th</t>
  </si>
  <si>
    <t>1/1</t>
  </si>
  <si>
    <t>ST0044501N</t>
  </si>
  <si>
    <t>D10003</t>
  </si>
  <si>
    <t>ST00439/26</t>
  </si>
  <si>
    <t>ST0043901N</t>
  </si>
  <si>
    <t>D10005</t>
  </si>
  <si>
    <t>ST0044508N</t>
  </si>
  <si>
    <t>D10036</t>
  </si>
  <si>
    <t>ST00319/26</t>
  </si>
  <si>
    <t>ST0031907N</t>
  </si>
  <si>
    <t>D10038</t>
  </si>
  <si>
    <t>1/2</t>
  </si>
  <si>
    <t>ST0044509N</t>
  </si>
  <si>
    <t>2/2</t>
  </si>
  <si>
    <t>ST0044550N</t>
  </si>
  <si>
    <t>D10063</t>
  </si>
  <si>
    <t>ST0044564N</t>
  </si>
  <si>
    <t>D10073</t>
  </si>
  <si>
    <t>ST0044565N</t>
  </si>
  <si>
    <t>D10074</t>
  </si>
  <si>
    <t>KRISHNA TRADERS, ZIGMA</t>
  </si>
  <si>
    <t>ST0044566N</t>
  </si>
  <si>
    <t>D10076</t>
  </si>
  <si>
    <t>ST0044570N</t>
  </si>
  <si>
    <t>D10082</t>
  </si>
  <si>
    <t>ST0044571N</t>
  </si>
  <si>
    <t>D10092</t>
  </si>
  <si>
    <t>K.K. HOSIERY MATERIAL STORE, ZIGMA</t>
  </si>
  <si>
    <t>ST0044572N</t>
  </si>
  <si>
    <t>D10093</t>
  </si>
  <si>
    <t>ST0044573N</t>
  </si>
  <si>
    <t>D10098</t>
  </si>
  <si>
    <t>ST0044574N</t>
  </si>
  <si>
    <t>D10101</t>
  </si>
  <si>
    <t>ST0044575N</t>
  </si>
  <si>
    <t>D10102</t>
  </si>
  <si>
    <t>ST0044576N</t>
  </si>
  <si>
    <t>D10104</t>
  </si>
  <si>
    <t>ST0044577N</t>
  </si>
  <si>
    <t>D10105</t>
  </si>
  <si>
    <t>ST0044578N</t>
  </si>
  <si>
    <t>D10113</t>
  </si>
  <si>
    <t>ST0044579N</t>
  </si>
  <si>
    <t>D10114</t>
  </si>
  <si>
    <t>ST00231/26</t>
  </si>
  <si>
    <t>ST0023101N</t>
  </si>
  <si>
    <t>KS-BLACK</t>
  </si>
  <si>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SATNAM THREADS, SHREE BALAJI THREADS HOUSE, SHREE JEE ENTERPRISES, SHRI GANESH HOSIERY, TRIVENI TRADERS, ZIGMA</t>
  </si>
  <si>
    <t>more_than_48p</t>
  </si>
  <si>
    <t>ST0044580N</t>
  </si>
  <si>
    <t>LP111</t>
  </si>
  <si>
    <t>ST0043938N</t>
  </si>
  <si>
    <t>QL103</t>
  </si>
  <si>
    <t>5th</t>
  </si>
  <si>
    <t>ST0043923N</t>
  </si>
  <si>
    <t>R0120</t>
  </si>
  <si>
    <t>ST0044513N</t>
  </si>
  <si>
    <t>S00026</t>
  </si>
  <si>
    <t>ST0043908N</t>
  </si>
  <si>
    <t>S00052</t>
  </si>
  <si>
    <t>ST0044514N</t>
  </si>
  <si>
    <t>S00082</t>
  </si>
  <si>
    <t>ST0044512N</t>
  </si>
  <si>
    <t>S00103</t>
  </si>
  <si>
    <t>ST0043924N</t>
  </si>
  <si>
    <t>S00170</t>
  </si>
  <si>
    <t>ST0044511N</t>
  </si>
  <si>
    <t>S00272</t>
  </si>
  <si>
    <t>KIRAN INDUSTRIES PVT LTD PALSANA, SHREE JEE ENTERPRISES, ZIGMA</t>
  </si>
  <si>
    <t>7th</t>
  </si>
  <si>
    <t>ST0043948N</t>
  </si>
  <si>
    <t>S00308</t>
  </si>
  <si>
    <t>ST0043934N</t>
  </si>
  <si>
    <t>S00445</t>
  </si>
  <si>
    <t>ST0043935N</t>
  </si>
  <si>
    <t>S00462</t>
  </si>
  <si>
    <t>ST0043941N</t>
  </si>
  <si>
    <t>S00608</t>
  </si>
  <si>
    <t>ST0044559N</t>
  </si>
  <si>
    <t>S00635</t>
  </si>
  <si>
    <t>ST0043906N</t>
  </si>
  <si>
    <t>S00651</t>
  </si>
  <si>
    <t>ST0044510N</t>
  </si>
  <si>
    <t>S01028</t>
  </si>
  <si>
    <t>ST0043942N</t>
  </si>
  <si>
    <t>S01158</t>
  </si>
  <si>
    <t>ST0044534N</t>
  </si>
  <si>
    <t>S01465</t>
  </si>
  <si>
    <t>ST0043947N</t>
  </si>
  <si>
    <t>S01543</t>
  </si>
  <si>
    <t>ST0044519N</t>
  </si>
  <si>
    <t>S01759</t>
  </si>
  <si>
    <t>ST0043905N</t>
  </si>
  <si>
    <t>S01925</t>
  </si>
  <si>
    <t>ST00350/26</t>
  </si>
  <si>
    <t>ST0035042N</t>
  </si>
  <si>
    <t>S04334</t>
  </si>
  <si>
    <t>ST0044533N</t>
  </si>
  <si>
    <t>S05218</t>
  </si>
  <si>
    <t>ST0031936N</t>
  </si>
  <si>
    <t>S05257</t>
  </si>
  <si>
    <t>ST0044535N</t>
  </si>
  <si>
    <t>S05292</t>
  </si>
  <si>
    <t>ST0043928N</t>
  </si>
  <si>
    <t>ST0044515N</t>
  </si>
  <si>
    <t>S09315</t>
  </si>
  <si>
    <t>ST00442/26</t>
  </si>
  <si>
    <t>ST0044215N</t>
  </si>
  <si>
    <t>S09323</t>
  </si>
  <si>
    <t>KIRAN INDUSTRIES PVT LTD PALSANA, ZIGMA</t>
  </si>
  <si>
    <t>ST0044518N</t>
  </si>
  <si>
    <t>S09344</t>
  </si>
  <si>
    <t>ST0043913N</t>
  </si>
  <si>
    <t>ST0044516N</t>
  </si>
  <si>
    <t>S09382</t>
  </si>
  <si>
    <t>ST0044558N</t>
  </si>
  <si>
    <t>S09401</t>
  </si>
  <si>
    <t>ST0044536N</t>
  </si>
  <si>
    <t>S09487</t>
  </si>
  <si>
    <t>ST0044581N</t>
  </si>
  <si>
    <t>S12028</t>
  </si>
  <si>
    <t>ST0044517N</t>
  </si>
  <si>
    <t>S13019</t>
  </si>
  <si>
    <t>KIRAN INDUSTRIES PVT LTD (PALSANA), ZIGMA</t>
  </si>
  <si>
    <t>ST00418/26</t>
  </si>
  <si>
    <t>ST0041801N</t>
  </si>
  <si>
    <t>3rd</t>
  </si>
  <si>
    <t>ST0031977N</t>
  </si>
  <si>
    <t>S13189</t>
  </si>
  <si>
    <t>ST0043912N</t>
  </si>
  <si>
    <t>S13487</t>
  </si>
  <si>
    <t>ST0044520N</t>
  </si>
  <si>
    <t>S14072</t>
  </si>
  <si>
    <t>ST0043918N</t>
  </si>
  <si>
    <t>S16067</t>
  </si>
  <si>
    <t>ST0043919N</t>
  </si>
  <si>
    <t>S16305</t>
  </si>
  <si>
    <t>ST0044207N</t>
  </si>
  <si>
    <t>S16502</t>
  </si>
  <si>
    <t>ST0044521N</t>
  </si>
  <si>
    <t>S17256</t>
  </si>
  <si>
    <t>ST0044556N</t>
  </si>
  <si>
    <t>S17257</t>
  </si>
  <si>
    <t>ST0044219N</t>
  </si>
  <si>
    <t>S17261</t>
  </si>
  <si>
    <t>ST0044208N</t>
  </si>
  <si>
    <t>S50063</t>
  </si>
  <si>
    <t>ST0044211N</t>
  </si>
  <si>
    <t>S50411</t>
  </si>
  <si>
    <t>ST0044220N</t>
  </si>
  <si>
    <t>S50601</t>
  </si>
  <si>
    <t>ST0044523N</t>
  </si>
  <si>
    <t>S50678</t>
  </si>
  <si>
    <t>ST0044210N</t>
  </si>
  <si>
    <t>S50711</t>
  </si>
  <si>
    <t>ST0043921N</t>
  </si>
  <si>
    <t>S50744</t>
  </si>
  <si>
    <t>ST0044522N</t>
  </si>
  <si>
    <t>S50932</t>
  </si>
  <si>
    <t>ST0043922N</t>
  </si>
  <si>
    <t>S50937</t>
  </si>
  <si>
    <t>ST0044582N</t>
  </si>
  <si>
    <t>SR120</t>
  </si>
  <si>
    <t>ST00417/26</t>
  </si>
  <si>
    <t>ST0041702N</t>
  </si>
  <si>
    <t>SV0282</t>
  </si>
  <si>
    <t>ST00402/26</t>
  </si>
  <si>
    <t>ST0040215N</t>
  </si>
  <si>
    <t>SV0285</t>
  </si>
  <si>
    <t>ST0044504N</t>
  </si>
  <si>
    <t>SV0402</t>
  </si>
  <si>
    <t>ST0040217N</t>
  </si>
  <si>
    <t>SV0613</t>
  </si>
  <si>
    <t>ST0044218N</t>
  </si>
  <si>
    <t>SV0701</t>
  </si>
  <si>
    <t>ST0044569N</t>
  </si>
  <si>
    <t>SV0754</t>
  </si>
  <si>
    <t>ST0044507N</t>
  </si>
  <si>
    <t>SV10692</t>
  </si>
  <si>
    <t>ST0044555N</t>
  </si>
  <si>
    <t>SV19750</t>
  </si>
  <si>
    <t>ST00392/26</t>
  </si>
  <si>
    <t>ST0039243N</t>
  </si>
  <si>
    <t>SV2436</t>
  </si>
  <si>
    <t>ST0044561N</t>
  </si>
  <si>
    <t>SV3072</t>
  </si>
  <si>
    <t>ST0044527N</t>
  </si>
  <si>
    <t>SV3426</t>
  </si>
  <si>
    <t>ST0044549N</t>
  </si>
  <si>
    <t>SV3839</t>
  </si>
  <si>
    <t>ST0044583N</t>
  </si>
  <si>
    <t>SV40636</t>
  </si>
  <si>
    <t>ST0043933N</t>
  </si>
  <si>
    <t>SV4397</t>
  </si>
  <si>
    <t>ST0044548N</t>
  </si>
  <si>
    <t>SV4748</t>
  </si>
  <si>
    <t>ST0044544N</t>
  </si>
  <si>
    <t>SV4921</t>
  </si>
  <si>
    <t>ST0044542N</t>
  </si>
  <si>
    <t>SV4940</t>
  </si>
  <si>
    <t>ST0044526N</t>
  </si>
  <si>
    <t>SV5024</t>
  </si>
  <si>
    <t>ST0044538N</t>
  </si>
  <si>
    <t>SV5044</t>
  </si>
  <si>
    <t>ST0044563N</t>
  </si>
  <si>
    <t>SV5092</t>
  </si>
  <si>
    <t>ST0044557N</t>
  </si>
  <si>
    <t>SV5125</t>
  </si>
  <si>
    <t>ST0044551N</t>
  </si>
  <si>
    <t>SV5136</t>
  </si>
  <si>
    <t>ST0044546N</t>
  </si>
  <si>
    <t>SV5138</t>
  </si>
  <si>
    <t>ST0044560N</t>
  </si>
  <si>
    <t>SV5143</t>
  </si>
  <si>
    <t>ST0044553N</t>
  </si>
  <si>
    <t>SV5144</t>
  </si>
  <si>
    <t>ST0043932N</t>
  </si>
  <si>
    <t>ST0044217N</t>
  </si>
  <si>
    <t>SV5520</t>
  </si>
  <si>
    <t>ST0044567N</t>
  </si>
  <si>
    <t>SV5539</t>
  </si>
  <si>
    <t>ST0043940N</t>
  </si>
  <si>
    <t>SV5823</t>
  </si>
  <si>
    <t>ST0044530N</t>
  </si>
  <si>
    <t>SV6006</t>
  </si>
  <si>
    <t>ST0044568N</t>
  </si>
  <si>
    <t>SV6009</t>
  </si>
  <si>
    <t>ST0044584N</t>
  </si>
  <si>
    <t>SV6025</t>
  </si>
  <si>
    <t>ST0044503N</t>
  </si>
  <si>
    <t>SV6041</t>
  </si>
  <si>
    <t>ST0044528N</t>
  </si>
  <si>
    <t>SV6061</t>
  </si>
  <si>
    <t>ST0044216N</t>
  </si>
  <si>
    <t>SV6062</t>
  </si>
  <si>
    <t>K.K. HOSIERY MATERIAL STORE, KIRAN INDUSTRIES PVT LTD PALSANA, NAMO THREADS, ZIGMA</t>
  </si>
  <si>
    <t>ST0044531N</t>
  </si>
  <si>
    <t>SV6071</t>
  </si>
  <si>
    <t>ST0044529N</t>
  </si>
  <si>
    <t>SV6081</t>
  </si>
  <si>
    <t>ST0043925N</t>
  </si>
  <si>
    <t>SV6086</t>
  </si>
  <si>
    <t>ST0044524N</t>
  </si>
  <si>
    <t>ST0044562N</t>
  </si>
  <si>
    <t>SV6093</t>
  </si>
  <si>
    <t>ST0044547N</t>
  </si>
  <si>
    <t>SV6103</t>
  </si>
  <si>
    <t>ST0044525N</t>
  </si>
  <si>
    <t>SV6109</t>
  </si>
  <si>
    <t>ST0044545N</t>
  </si>
  <si>
    <t>SV6126</t>
  </si>
  <si>
    <t>ST0044554N</t>
  </si>
  <si>
    <t>SV6141</t>
  </si>
  <si>
    <t>ST0044585N</t>
  </si>
  <si>
    <t>SV6157</t>
  </si>
  <si>
    <t>ST0044541N</t>
  </si>
  <si>
    <t>SV6185</t>
  </si>
  <si>
    <t>NAMO THREADS, ZIGMA</t>
  </si>
  <si>
    <t>ST0044540N</t>
  </si>
  <si>
    <t>SV6187</t>
  </si>
  <si>
    <t>ST0044221N</t>
  </si>
  <si>
    <t>SV6318</t>
  </si>
  <si>
    <t>ST0044532N</t>
  </si>
  <si>
    <t>SV6471</t>
  </si>
  <si>
    <t>ST0044539N</t>
  </si>
  <si>
    <t>SV6589</t>
  </si>
  <si>
    <t>ST0044214N</t>
  </si>
  <si>
    <t>SV6755</t>
  </si>
  <si>
    <t>ST0044537N</t>
  </si>
  <si>
    <t>SV6834</t>
  </si>
  <si>
    <t>ST00354/26</t>
  </si>
  <si>
    <t>ST0035435N</t>
  </si>
  <si>
    <t>SV7035</t>
  </si>
  <si>
    <t>ST0044543N</t>
  </si>
  <si>
    <t>SV7377</t>
  </si>
  <si>
    <t>ST0044505N</t>
  </si>
  <si>
    <t>SV7494</t>
  </si>
  <si>
    <t>ST0043931N</t>
  </si>
  <si>
    <t>SV7820</t>
  </si>
  <si>
    <t>ST0044552N</t>
  </si>
  <si>
    <t>SV9454</t>
  </si>
  <si>
    <t>ST0044506N</t>
  </si>
  <si>
    <t>SV9460</t>
  </si>
  <si>
    <t>KIRAN INDUSTRIES PVT LTD PALSANA, NAMO THREADS, ZIGMA</t>
  </si>
  <si>
    <t>ST0043904N</t>
  </si>
  <si>
    <t>SV9613</t>
  </si>
  <si>
    <t>ST0044201N</t>
  </si>
  <si>
    <t>Z86192</t>
  </si>
  <si>
    <t>ST00379/26</t>
  </si>
  <si>
    <t>ST0037929N</t>
  </si>
  <si>
    <t>S00041</t>
  </si>
  <si>
    <t>2/57 SPUN POLYESTER YARN</t>
  </si>
  <si>
    <t>ST00444/26</t>
  </si>
  <si>
    <t>ST0044406N</t>
  </si>
  <si>
    <t>S00074</t>
  </si>
  <si>
    <t>ST00441/26</t>
  </si>
  <si>
    <t>ST0044110N</t>
  </si>
  <si>
    <t>S00093</t>
  </si>
  <si>
    <t>ST0044410N</t>
  </si>
  <si>
    <t>S00094</t>
  </si>
  <si>
    <t>ST0044409N</t>
  </si>
  <si>
    <t>S00222</t>
  </si>
  <si>
    <t>ST0044405N</t>
  </si>
  <si>
    <t>S00227</t>
  </si>
  <si>
    <t>ST0044117N</t>
  </si>
  <si>
    <t>S00267</t>
  </si>
  <si>
    <t>ST0044418N</t>
  </si>
  <si>
    <t>S00282</t>
  </si>
  <si>
    <t>ST00440/26</t>
  </si>
  <si>
    <t>ST0044017N</t>
  </si>
  <si>
    <t>S00294</t>
  </si>
  <si>
    <t>ST0044402N</t>
  </si>
  <si>
    <t>S00386</t>
  </si>
  <si>
    <t>ST0044007N</t>
  </si>
  <si>
    <t>S00410</t>
  </si>
  <si>
    <t>ST0044015N</t>
  </si>
  <si>
    <t>ST0037927N</t>
  </si>
  <si>
    <t>S00510</t>
  </si>
  <si>
    <t>ST0044419N</t>
  </si>
  <si>
    <t>S00657</t>
  </si>
  <si>
    <t>ST0044105N</t>
  </si>
  <si>
    <t>S00700</t>
  </si>
  <si>
    <t>ST0044008N</t>
  </si>
  <si>
    <t>S00730</t>
  </si>
  <si>
    <t>ST0044586N</t>
  </si>
  <si>
    <t>S00755</t>
  </si>
  <si>
    <t>ST00304/26</t>
  </si>
  <si>
    <t>ST0030463N</t>
  </si>
  <si>
    <t>S00779</t>
  </si>
  <si>
    <t>ST0037952N</t>
  </si>
  <si>
    <t>S00837</t>
  </si>
  <si>
    <t>1st</t>
  </si>
  <si>
    <t>ST0044590N</t>
  </si>
  <si>
    <t>S00862</t>
  </si>
  <si>
    <t>ST0044018N</t>
  </si>
  <si>
    <t>S01010</t>
  </si>
  <si>
    <t>ST0044109N</t>
  </si>
  <si>
    <t>S01012</t>
  </si>
  <si>
    <t>ST0044002N</t>
  </si>
  <si>
    <t>ST00443/26</t>
  </si>
  <si>
    <t>ST0044301N</t>
  </si>
  <si>
    <t>S01029</t>
  </si>
  <si>
    <t>ST0044001N</t>
  </si>
  <si>
    <t>S01111</t>
  </si>
  <si>
    <t>ST00401/26</t>
  </si>
  <si>
    <t>ST0040104N</t>
  </si>
  <si>
    <t>S01160</t>
  </si>
  <si>
    <t>ST0044003N</t>
  </si>
  <si>
    <t>S01216</t>
  </si>
  <si>
    <t>ST0044121N</t>
  </si>
  <si>
    <t>S01249</t>
  </si>
  <si>
    <t>ST0044401N</t>
  </si>
  <si>
    <t>S01577</t>
  </si>
  <si>
    <t>ST0044102N</t>
  </si>
  <si>
    <t>ST0044404N</t>
  </si>
  <si>
    <t>S01600</t>
  </si>
  <si>
    <t>ST0030462N</t>
  </si>
  <si>
    <t>S01654</t>
  </si>
  <si>
    <t>ST0044009N</t>
  </si>
  <si>
    <t>S01930</t>
  </si>
  <si>
    <t>ST0044101N</t>
  </si>
  <si>
    <t>S05220</t>
  </si>
  <si>
    <t>ST0044113N</t>
  </si>
  <si>
    <t>S05619</t>
  </si>
  <si>
    <t>ST0044010N</t>
  </si>
  <si>
    <t>ST00380/26</t>
  </si>
  <si>
    <t>ST0038027N</t>
  </si>
  <si>
    <t>ST0038033N</t>
  </si>
  <si>
    <t>S14075</t>
  </si>
  <si>
    <t>ST0044412N</t>
  </si>
  <si>
    <t>S14110</t>
  </si>
  <si>
    <t>ST0044027N</t>
  </si>
  <si>
    <t>S16065</t>
  </si>
  <si>
    <t>ST0044587N</t>
  </si>
  <si>
    <t>ST0044588N</t>
  </si>
  <si>
    <t>S16304</t>
  </si>
  <si>
    <t>ST0044024N</t>
  </si>
  <si>
    <t>S16310</t>
  </si>
  <si>
    <t>ST0044420N</t>
  </si>
  <si>
    <t>S16376</t>
  </si>
  <si>
    <t>ST00305/26</t>
  </si>
  <si>
    <t>ST0030515N</t>
  </si>
  <si>
    <t>S16378</t>
  </si>
  <si>
    <t>ST0038049N</t>
  </si>
  <si>
    <t>S17245</t>
  </si>
  <si>
    <t>ST0044016N</t>
  </si>
  <si>
    <t>S17249</t>
  </si>
  <si>
    <t>ST0044019N</t>
  </si>
  <si>
    <t>ST0044414N</t>
  </si>
  <si>
    <t>ST00381/26</t>
  </si>
  <si>
    <t>ST0038129N</t>
  </si>
  <si>
    <t>S50403</t>
  </si>
  <si>
    <t>ST0044114N</t>
  </si>
  <si>
    <t>S50430</t>
  </si>
  <si>
    <t>ST0044416N</t>
  </si>
  <si>
    <t>S50440</t>
  </si>
  <si>
    <t>ST0044004N</t>
  </si>
  <si>
    <t>S50452</t>
  </si>
  <si>
    <t>ST0044013N</t>
  </si>
  <si>
    <t>S50480</t>
  </si>
  <si>
    <t>ST0044115N</t>
  </si>
  <si>
    <t>S50484</t>
  </si>
  <si>
    <t>ST0044025N</t>
  </si>
  <si>
    <t>S50516</t>
  </si>
  <si>
    <t>ST0044415N</t>
  </si>
  <si>
    <t>S50525</t>
  </si>
  <si>
    <t>ST0044421N</t>
  </si>
  <si>
    <t>S50571</t>
  </si>
  <si>
    <t>ST0038112N</t>
  </si>
  <si>
    <t>S50583</t>
  </si>
  <si>
    <t>ST0044005N</t>
  </si>
  <si>
    <t>S50584</t>
  </si>
  <si>
    <t>ST0044413N</t>
  </si>
  <si>
    <t>S50633</t>
  </si>
  <si>
    <t>ST0044022N</t>
  </si>
  <si>
    <t>S50661</t>
  </si>
  <si>
    <t>ST0044012N</t>
  </si>
  <si>
    <t>S50677</t>
  </si>
  <si>
    <t>ST0038139N</t>
  </si>
  <si>
    <t>S50696</t>
  </si>
  <si>
    <t>ST0044107N</t>
  </si>
  <si>
    <t>S50701</t>
  </si>
  <si>
    <t>ST0044014N</t>
  </si>
  <si>
    <t>S50703</t>
  </si>
  <si>
    <t>ST0044591N</t>
  </si>
  <si>
    <t>S50706</t>
  </si>
  <si>
    <t>ST0044006N</t>
  </si>
  <si>
    <t>S50712</t>
  </si>
  <si>
    <t>ST0038140N</t>
  </si>
  <si>
    <t>S50717</t>
  </si>
  <si>
    <t>ST0030551N</t>
  </si>
  <si>
    <t>S50749</t>
  </si>
  <si>
    <t>ST0038146N</t>
  </si>
  <si>
    <t>S50868</t>
  </si>
  <si>
    <t>ST0044589N</t>
  </si>
  <si>
    <t>S50930</t>
  </si>
  <si>
    <t>ST0044011N</t>
  </si>
  <si>
    <t>S50934</t>
  </si>
  <si>
    <t>ST0044023N</t>
  </si>
  <si>
    <t>S50967</t>
  </si>
  <si>
    <t>ST0044119N</t>
  </si>
  <si>
    <t>ST0044020N</t>
  </si>
  <si>
    <t>S50986</t>
  </si>
  <si>
    <t>ST0044021N</t>
  </si>
  <si>
    <t>S51830</t>
  </si>
  <si>
    <t>ST0044026N</t>
  </si>
  <si>
    <t>S53132</t>
  </si>
  <si>
    <t>ST0044120N</t>
  </si>
  <si>
    <t>ST0044592N</t>
  </si>
  <si>
    <t>S54399</t>
  </si>
  <si>
    <t>ST0038144N</t>
  </si>
  <si>
    <t>S56979</t>
  </si>
  <si>
    <t>ST0038155N</t>
  </si>
  <si>
    <t>S60365</t>
  </si>
  <si>
    <t>ST0038154N</t>
  </si>
  <si>
    <t>S60663</t>
  </si>
  <si>
    <t>ST00376/26</t>
  </si>
  <si>
    <t>ST0037601N</t>
  </si>
  <si>
    <t>P-BLACK</t>
  </si>
  <si>
    <t>210/3 HT CONTINOUS POLYESTER FILAMENT BONDED</t>
  </si>
  <si>
    <t>1/3</t>
  </si>
  <si>
    <t>ST00436/26</t>
  </si>
  <si>
    <t>ST0043601N</t>
  </si>
  <si>
    <t>2/3</t>
  </si>
  <si>
    <t>ST00369/26</t>
  </si>
  <si>
    <t>ST0036901N</t>
  </si>
  <si>
    <t>3/3</t>
  </si>
  <si>
    <t>ST00399/26</t>
  </si>
  <si>
    <t>ST0039902N</t>
  </si>
  <si>
    <t>91230</t>
  </si>
  <si>
    <t>210/3 HT CONTINOUS POLYESTER FILAMENT</t>
  </si>
  <si>
    <t>KIRAN INDUSTRIES PVT LTD (PALSANA), SAFIRA</t>
  </si>
  <si>
    <t>ST0039901N</t>
  </si>
  <si>
    <t>91394</t>
  </si>
  <si>
    <t>ST00433/26</t>
  </si>
  <si>
    <t>ST0043302N</t>
  </si>
  <si>
    <t>D20111</t>
  </si>
  <si>
    <t>JB SOFTPACK PRIVATE LIMITED, KIRAN INDUSTRIES PVT LTD (PALSANA), KIRAN INDUSTRIES PVT LTD PALSANA, ZIGMA</t>
  </si>
  <si>
    <t>2nd</t>
  </si>
  <si>
    <t>ST00400/26</t>
  </si>
  <si>
    <t>ST0040004N</t>
  </si>
  <si>
    <t>D20157</t>
  </si>
  <si>
    <t>MURARKA DISTRIBUTORS PVT LTD</t>
  </si>
  <si>
    <t>ST0040005N</t>
  </si>
  <si>
    <t>D20159</t>
  </si>
  <si>
    <t>ST00280/26</t>
  </si>
  <si>
    <t>ST0028001N</t>
  </si>
  <si>
    <t>CITIZEN UMBRELLA MFRS. LTD.(BAG), FASHION WAVE INDUSTRIES, HARBHAJAN STORE, JB SOFTPACK PRIVATE LIMITED, KIRAN INDUSTRIES PVT LTD PALSANA, MURARKA DISTRIBUTORS PVT LTD, NITISH ENTERPRISES, RAMESH MAHAJAN &amp; CO, SOLANKI LEATHER STORE, SUDH PRIYA PLASTICHEM PVT LTD, T R THREADS</t>
  </si>
  <si>
    <t>6th</t>
  </si>
  <si>
    <t>ST00247/26</t>
  </si>
  <si>
    <t>ST0024706N</t>
  </si>
  <si>
    <t>D30056(PG9444)</t>
  </si>
  <si>
    <t>420/3 HI-TENACITY NYLON 6 YARN</t>
  </si>
  <si>
    <t>JAK, KIRAN INDUSTRIES PVT LTD PALSANA</t>
  </si>
  <si>
    <t>ST00446/26</t>
  </si>
  <si>
    <t>ST0044603N</t>
  </si>
  <si>
    <t>N00904</t>
  </si>
  <si>
    <t>ST00395/26</t>
  </si>
  <si>
    <t>ST0039501N</t>
  </si>
  <si>
    <t>D20053</t>
  </si>
  <si>
    <t>210/2 HI-TENACITY NYLON 6 YARN</t>
  </si>
  <si>
    <t>ST00448/26</t>
  </si>
  <si>
    <t>ST0044801N</t>
  </si>
  <si>
    <t>D30018</t>
  </si>
  <si>
    <t>ST00422/26</t>
  </si>
  <si>
    <t>ST0042201N</t>
  </si>
  <si>
    <t>D30057(PG0767)</t>
  </si>
  <si>
    <t>JAK, KIRAN INDUSTRIES PVT LTD PALSANA, ZIGMA</t>
  </si>
  <si>
    <t>ST00383/26</t>
  </si>
  <si>
    <t>ST0038301N</t>
  </si>
  <si>
    <t>N-BLACK</t>
  </si>
  <si>
    <t>ST0044601N</t>
  </si>
  <si>
    <t>JAK</t>
  </si>
  <si>
    <t>ST00239/26</t>
  </si>
  <si>
    <t>ST0023901N</t>
  </si>
  <si>
    <t>210/3 HI-TENACITY NYLON 6 YARN</t>
  </si>
  <si>
    <t>ABHAY INDUSTRIES, F. KARIM BHOY, FANTAIL, HILLSON, JAK, KIRAN INDUSTRIES PVT LTD PALSANA, MANOJ PVC PRODUCTS, S. R. SALES, SATNAM THREADS, SI INTERPACK, SOLANKI LEATHER STORE, SS THREADS, ZIGMA</t>
  </si>
  <si>
    <t>ST00412/26</t>
  </si>
  <si>
    <t>ST0041201N</t>
  </si>
  <si>
    <t>N00731</t>
  </si>
  <si>
    <t>ST00404/26</t>
  </si>
  <si>
    <t>ST0040405N</t>
  </si>
  <si>
    <t>D20206</t>
  </si>
  <si>
    <t>210/2 HT CONTINOUS POLYESTER FILAMENT</t>
  </si>
  <si>
    <t>K.K. HOSIERY MATERIAL STORE</t>
  </si>
  <si>
    <t>ST0040408N</t>
  </si>
  <si>
    <t>D20209</t>
  </si>
  <si>
    <t>ST0040409N</t>
  </si>
  <si>
    <t>D20210</t>
  </si>
  <si>
    <t>ST0040410N</t>
  </si>
  <si>
    <t>D20211</t>
  </si>
  <si>
    <t>ST0040413N</t>
  </si>
  <si>
    <t>D20214</t>
  </si>
  <si>
    <t>ST0040414N</t>
  </si>
  <si>
    <t>D20215</t>
  </si>
  <si>
    <t>ST0040415N</t>
  </si>
  <si>
    <t>D20216</t>
  </si>
  <si>
    <t>ST0040416N</t>
  </si>
  <si>
    <t>D20217</t>
  </si>
  <si>
    <t>ST0040417N</t>
  </si>
  <si>
    <t>D20218</t>
  </si>
  <si>
    <t>ST0039903N</t>
  </si>
  <si>
    <t>91560</t>
  </si>
  <si>
    <t>420/3 HT CONTINOUS POLYESTER FILAMENT</t>
  </si>
  <si>
    <t>ST00217/26</t>
  </si>
  <si>
    <t>ST0021701N</t>
  </si>
  <si>
    <t>92380</t>
  </si>
  <si>
    <t>SAFIRA</t>
  </si>
  <si>
    <t>ST00362/26</t>
  </si>
  <si>
    <t>ST0036208N</t>
  </si>
  <si>
    <t>91397</t>
  </si>
  <si>
    <t>840/3 HT CONTINOUS POLYESTER FILAMENT</t>
  </si>
  <si>
    <t>KIRAN INDUSTRIES PVT LTD PALSANA, SAFIRA</t>
  </si>
  <si>
    <t>ST00274/26</t>
  </si>
  <si>
    <t>ST0027402N</t>
  </si>
  <si>
    <t>90002</t>
  </si>
  <si>
    <t>250/3 HT CONTINOUS POLYESTER FILAMENT</t>
  </si>
  <si>
    <t>KIRAN INDUSTRIES PVT LTD PALSANA, RAMESH MAHAJAN &amp; CO, SAFIRA</t>
  </si>
  <si>
    <t>ST00307/26</t>
  </si>
  <si>
    <t>ST0030701N</t>
  </si>
  <si>
    <t>91276</t>
  </si>
  <si>
    <t>Last_date_of_Odr/real customer order</t>
  </si>
  <si>
    <t>actual_tot_in_Qty-4 months</t>
  </si>
  <si>
    <t>actual_tot_wt_in_KG-4 months</t>
  </si>
  <si>
    <t>Series_name/package (4P or 10P)</t>
  </si>
  <si>
    <t>fwddc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</si>
</sst>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horizontal="left" vertical="center" wrapText="1"/>
    </xf>
    <xf numFmtId="0" fontId="0" fillId="0" borderId="0" xfId="0" applyAlignment="1">
      <alignment horizontal="left" vertical="center" wrapText="1"/>
    </xf>
    <xf numFmtId="0" fontId="0" fillId="2" borderId="0" xfId="0" applyFill="1" applyAlignment="1">
      <alignment horizontal="left" vertical="center" wrapText="1"/>
    </xf>
    <xf numFmtId="0" fontId="0" fillId="2" borderId="0" xfId="0" applyFill="1"/>
    <xf numFmtId="0" fontId="1" fillId="2" borderId="0" xfId="0" applyFont="1" applyFill="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6"/>
  <sheetViews>
    <sheetView tabSelected="1" topLeftCell="E1" workbookViewId="0">
      <selection activeCell="M1" sqref="M1"/>
    </sheetView>
  </sheetViews>
  <sheetFormatPr defaultRowHeight="15" x14ac:dyDescent="0.25"/>
  <cols>
    <col min="1" max="1" width="10.85546875" bestFit="1" customWidth="1"/>
    <col min="2" max="2" width="11.42578125" bestFit="1" customWidth="1"/>
    <col min="3" max="3" width="18.28515625" bestFit="1" customWidth="1"/>
    <col min="4" max="4" width="41.7109375" style="5" bestFit="1" customWidth="1"/>
    <col min="13" max="13" width="20.85546875" customWidth="1"/>
    <col min="14" max="14" width="14.28515625" style="5" customWidth="1"/>
    <col min="15" max="15" width="12.85546875" style="5" bestFit="1" customWidth="1"/>
    <col min="18" max="18" width="9.140625" style="5"/>
    <col min="19" max="19" width="11.85546875" customWidth="1"/>
    <col min="20" max="20" width="9.140625" style="5"/>
    <col min="23" max="23" width="9.140625" style="5"/>
  </cols>
  <sheetData>
    <row r="1" spans="1:25" s="3" customFormat="1" ht="45" customHeight="1" x14ac:dyDescent="0.25">
      <c r="A1" s="3" t="s">
        <v>0</v>
      </c>
      <c r="B1" s="3" t="s">
        <v>1</v>
      </c>
      <c r="C1" s="3" t="s">
        <v>2</v>
      </c>
      <c r="D1" s="4" t="s">
        <v>3</v>
      </c>
      <c r="E1" s="3" t="s">
        <v>4</v>
      </c>
      <c r="F1" s="3" t="s">
        <v>5</v>
      </c>
      <c r="G1" s="3" t="s">
        <v>6</v>
      </c>
      <c r="H1" s="3" t="s">
        <v>7</v>
      </c>
      <c r="I1" s="3" t="s">
        <v>8</v>
      </c>
      <c r="J1" s="3" t="s">
        <v>9</v>
      </c>
      <c r="K1" s="3" t="s">
        <v>10</v>
      </c>
      <c r="L1" s="3" t="s">
        <v>11</v>
      </c>
      <c r="M1" s="2" t="s">
        <v>592</v>
      </c>
      <c r="N1" s="6" t="s">
        <v>593</v>
      </c>
      <c r="O1" s="6" t="s">
        <v>594</v>
      </c>
      <c r="P1" s="3" t="s">
        <v>15</v>
      </c>
      <c r="Q1" s="3" t="s">
        <v>16</v>
      </c>
      <c r="R1" s="4" t="s">
        <v>17</v>
      </c>
      <c r="S1" s="2" t="s">
        <v>595</v>
      </c>
      <c r="T1" s="4" t="s">
        <v>19</v>
      </c>
      <c r="U1" s="3" t="s">
        <v>20</v>
      </c>
      <c r="V1" s="3" t="s">
        <v>21</v>
      </c>
      <c r="W1" s="4" t="s">
        <v>22</v>
      </c>
      <c r="X1" s="3" t="s">
        <v>23</v>
      </c>
      <c r="Y1" s="3" t="s">
        <v>596</v>
      </c>
    </row>
    <row r="2" spans="1:25" x14ac:dyDescent="0.25">
      <c r="A2" t="s">
        <v>24</v>
      </c>
      <c r="B2" t="s">
        <v>25</v>
      </c>
      <c r="C2" s="1">
        <v>46271</v>
      </c>
      <c r="D2" s="5" t="s">
        <v>26</v>
      </c>
      <c r="E2" t="s">
        <v>27</v>
      </c>
      <c r="F2">
        <v>13.91</v>
      </c>
      <c r="I2">
        <v>0</v>
      </c>
      <c r="J2">
        <v>0</v>
      </c>
      <c r="K2">
        <v>13.91</v>
      </c>
      <c r="L2" t="s">
        <v>28</v>
      </c>
      <c r="M2" s="1">
        <v>46271</v>
      </c>
      <c r="N2" s="5">
        <v>65</v>
      </c>
      <c r="O2" s="5">
        <v>13.13</v>
      </c>
      <c r="P2">
        <v>1</v>
      </c>
      <c r="Q2">
        <v>1</v>
      </c>
      <c r="R2" s="5" t="s">
        <v>29</v>
      </c>
      <c r="S2" t="s">
        <v>30</v>
      </c>
      <c r="T2" s="5">
        <v>12.341772151898731</v>
      </c>
      <c r="U2">
        <v>2.49303797468355</v>
      </c>
      <c r="V2">
        <v>0.189873417721519</v>
      </c>
      <c r="W2" s="5">
        <v>0.189873417721519</v>
      </c>
      <c r="X2" t="s">
        <v>31</v>
      </c>
      <c r="Y2" t="b">
        <f>IF(U2&gt;K2, U2)</f>
        <v>0</v>
      </c>
    </row>
    <row r="3" spans="1:25" x14ac:dyDescent="0.25">
      <c r="A3" t="s">
        <v>24</v>
      </c>
      <c r="B3" t="s">
        <v>32</v>
      </c>
      <c r="C3" s="1">
        <v>46271</v>
      </c>
      <c r="D3" s="5" t="s">
        <v>26</v>
      </c>
      <c r="E3" t="s">
        <v>33</v>
      </c>
      <c r="F3">
        <v>13.91</v>
      </c>
      <c r="I3">
        <v>0</v>
      </c>
      <c r="J3">
        <v>0</v>
      </c>
      <c r="K3">
        <v>13.91</v>
      </c>
      <c r="L3" t="s">
        <v>28</v>
      </c>
      <c r="M3" s="1">
        <v>46271</v>
      </c>
      <c r="N3" s="5">
        <v>530</v>
      </c>
      <c r="O3" s="5">
        <v>107.06</v>
      </c>
      <c r="P3">
        <v>5</v>
      </c>
      <c r="Q3">
        <v>1</v>
      </c>
      <c r="R3" s="5" t="s">
        <v>29</v>
      </c>
      <c r="S3" t="s">
        <v>30</v>
      </c>
      <c r="T3" s="5">
        <v>100.63291139240511</v>
      </c>
      <c r="U3">
        <v>20.327848101265818</v>
      </c>
      <c r="V3">
        <v>0.949367088607595</v>
      </c>
      <c r="W3" s="5">
        <v>0.189873417721519</v>
      </c>
      <c r="X3" t="s">
        <v>31</v>
      </c>
      <c r="Y3">
        <f t="shared" ref="Y3:Y66" si="0">IF(U3&gt;K3, U3)</f>
        <v>20.327848101265818</v>
      </c>
    </row>
    <row r="4" spans="1:25" x14ac:dyDescent="0.25">
      <c r="A4" t="s">
        <v>34</v>
      </c>
      <c r="B4" t="s">
        <v>35</v>
      </c>
      <c r="C4" s="1">
        <v>46271</v>
      </c>
      <c r="D4" s="5" t="s">
        <v>26</v>
      </c>
      <c r="E4" t="s">
        <v>36</v>
      </c>
      <c r="F4">
        <v>13.91</v>
      </c>
      <c r="I4">
        <v>0</v>
      </c>
      <c r="J4">
        <v>0</v>
      </c>
      <c r="K4">
        <v>13.91</v>
      </c>
      <c r="L4" t="s">
        <v>28</v>
      </c>
      <c r="M4" s="1">
        <v>46270</v>
      </c>
      <c r="N4" s="5">
        <v>130</v>
      </c>
      <c r="O4" s="5">
        <v>26.26</v>
      </c>
      <c r="P4">
        <v>2</v>
      </c>
      <c r="Q4">
        <v>1</v>
      </c>
      <c r="R4" s="5" t="s">
        <v>29</v>
      </c>
      <c r="S4" t="s">
        <v>30</v>
      </c>
      <c r="T4" s="5">
        <v>24.683544303797468</v>
      </c>
      <c r="U4">
        <v>4.9860759493670894</v>
      </c>
      <c r="V4">
        <v>0.37974683544303789</v>
      </c>
      <c r="W4" s="5">
        <v>0.189873417721519</v>
      </c>
      <c r="X4" t="s">
        <v>31</v>
      </c>
      <c r="Y4" t="b">
        <f t="shared" si="0"/>
        <v>0</v>
      </c>
    </row>
    <row r="5" spans="1:25" x14ac:dyDescent="0.25">
      <c r="A5" t="s">
        <v>24</v>
      </c>
      <c r="B5" t="s">
        <v>37</v>
      </c>
      <c r="C5" s="1">
        <v>46271</v>
      </c>
      <c r="D5" s="5" t="s">
        <v>26</v>
      </c>
      <c r="E5" t="s">
        <v>38</v>
      </c>
      <c r="F5">
        <v>13.91</v>
      </c>
      <c r="I5">
        <v>0</v>
      </c>
      <c r="J5">
        <v>0</v>
      </c>
      <c r="K5">
        <v>13.91</v>
      </c>
      <c r="L5" t="s">
        <v>28</v>
      </c>
      <c r="M5" s="1">
        <v>46271</v>
      </c>
      <c r="N5" s="5">
        <v>190</v>
      </c>
      <c r="O5" s="5">
        <v>38.380000000000003</v>
      </c>
      <c r="P5">
        <v>4</v>
      </c>
      <c r="Q5">
        <v>1</v>
      </c>
      <c r="R5" s="5" t="s">
        <v>29</v>
      </c>
      <c r="S5" t="s">
        <v>30</v>
      </c>
      <c r="T5" s="5">
        <v>36.075949367088597</v>
      </c>
      <c r="U5">
        <v>7.2873417721518994</v>
      </c>
      <c r="V5">
        <v>0.75949367088607589</v>
      </c>
      <c r="W5" s="5">
        <v>0.189873417721519</v>
      </c>
      <c r="X5" t="s">
        <v>31</v>
      </c>
      <c r="Y5" t="b">
        <f t="shared" si="0"/>
        <v>0</v>
      </c>
    </row>
    <row r="6" spans="1:25" x14ac:dyDescent="0.25">
      <c r="A6" t="s">
        <v>39</v>
      </c>
      <c r="B6" t="s">
        <v>40</v>
      </c>
      <c r="C6" s="1">
        <v>46232</v>
      </c>
      <c r="D6" s="5" t="s">
        <v>26</v>
      </c>
      <c r="E6" t="s">
        <v>41</v>
      </c>
      <c r="F6">
        <v>13.91</v>
      </c>
      <c r="I6">
        <v>0</v>
      </c>
      <c r="J6">
        <v>0</v>
      </c>
      <c r="K6">
        <v>13.91</v>
      </c>
      <c r="L6" t="s">
        <v>28</v>
      </c>
      <c r="M6" s="1">
        <v>46271</v>
      </c>
      <c r="N6" s="5">
        <v>130</v>
      </c>
      <c r="O6" s="5">
        <v>26.26</v>
      </c>
      <c r="P6">
        <v>2</v>
      </c>
      <c r="Q6">
        <v>1</v>
      </c>
      <c r="R6" s="5" t="s">
        <v>29</v>
      </c>
      <c r="S6" t="s">
        <v>30</v>
      </c>
      <c r="T6" s="5">
        <v>24.683544303797468</v>
      </c>
      <c r="U6">
        <v>4.9860759493670894</v>
      </c>
      <c r="V6">
        <v>0.37974683544303789</v>
      </c>
      <c r="W6" s="5">
        <v>0.189873417721519</v>
      </c>
      <c r="X6" t="s">
        <v>42</v>
      </c>
      <c r="Y6" t="b">
        <f t="shared" si="0"/>
        <v>0</v>
      </c>
    </row>
    <row r="7" spans="1:25" x14ac:dyDescent="0.25">
      <c r="A7" t="s">
        <v>24</v>
      </c>
      <c r="B7" t="s">
        <v>43</v>
      </c>
      <c r="C7" s="1">
        <v>46271</v>
      </c>
      <c r="D7" s="5" t="s">
        <v>26</v>
      </c>
      <c r="E7" t="s">
        <v>41</v>
      </c>
      <c r="F7">
        <v>13.91</v>
      </c>
      <c r="I7">
        <v>0</v>
      </c>
      <c r="J7">
        <v>0</v>
      </c>
      <c r="K7">
        <v>13.91</v>
      </c>
      <c r="L7" t="s">
        <v>28</v>
      </c>
      <c r="M7" s="1">
        <v>46271</v>
      </c>
      <c r="N7" s="5">
        <v>130</v>
      </c>
      <c r="O7" s="5">
        <v>26.26</v>
      </c>
      <c r="P7">
        <v>2</v>
      </c>
      <c r="Q7">
        <v>1</v>
      </c>
      <c r="R7" s="5" t="s">
        <v>29</v>
      </c>
      <c r="S7" t="s">
        <v>30</v>
      </c>
      <c r="T7" s="5">
        <v>24.683544303797468</v>
      </c>
      <c r="U7">
        <v>4.9860759493670894</v>
      </c>
      <c r="V7">
        <v>0.37974683544303789</v>
      </c>
      <c r="W7" s="5">
        <v>0.189873417721519</v>
      </c>
      <c r="X7" t="s">
        <v>44</v>
      </c>
      <c r="Y7" t="b">
        <f t="shared" si="0"/>
        <v>0</v>
      </c>
    </row>
    <row r="8" spans="1:25" x14ac:dyDescent="0.25">
      <c r="A8" t="s">
        <v>24</v>
      </c>
      <c r="B8" t="s">
        <v>45</v>
      </c>
      <c r="C8" s="1">
        <v>46271</v>
      </c>
      <c r="D8" s="5" t="s">
        <v>26</v>
      </c>
      <c r="E8" t="s">
        <v>46</v>
      </c>
      <c r="F8">
        <v>13.91</v>
      </c>
      <c r="I8">
        <v>0</v>
      </c>
      <c r="J8">
        <v>0</v>
      </c>
      <c r="K8">
        <v>13.91</v>
      </c>
      <c r="L8" t="s">
        <v>28</v>
      </c>
      <c r="M8" s="1">
        <v>46271</v>
      </c>
      <c r="N8" s="5">
        <v>100</v>
      </c>
      <c r="O8" s="5">
        <v>20.2</v>
      </c>
      <c r="P8">
        <v>2</v>
      </c>
      <c r="Q8">
        <v>1</v>
      </c>
      <c r="R8" s="5" t="s">
        <v>29</v>
      </c>
      <c r="S8" t="s">
        <v>30</v>
      </c>
      <c r="T8" s="5">
        <v>18.9873417721519</v>
      </c>
      <c r="U8">
        <v>3.835443037974684</v>
      </c>
      <c r="V8">
        <v>0.37974683544303789</v>
      </c>
      <c r="W8" s="5">
        <v>0.189873417721519</v>
      </c>
      <c r="X8" t="s">
        <v>31</v>
      </c>
      <c r="Y8" t="b">
        <f t="shared" si="0"/>
        <v>0</v>
      </c>
    </row>
    <row r="9" spans="1:25" x14ac:dyDescent="0.25">
      <c r="A9" t="s">
        <v>24</v>
      </c>
      <c r="B9" t="s">
        <v>47</v>
      </c>
      <c r="C9" s="1">
        <v>46271</v>
      </c>
      <c r="D9" s="5" t="s">
        <v>26</v>
      </c>
      <c r="E9" t="s">
        <v>48</v>
      </c>
      <c r="F9">
        <v>13.91</v>
      </c>
      <c r="I9">
        <v>0</v>
      </c>
      <c r="J9">
        <v>0</v>
      </c>
      <c r="K9">
        <v>13.91</v>
      </c>
      <c r="L9" t="s">
        <v>28</v>
      </c>
      <c r="M9" s="1">
        <v>46271</v>
      </c>
      <c r="N9" s="5">
        <v>65</v>
      </c>
      <c r="O9" s="5">
        <v>13.13</v>
      </c>
      <c r="P9">
        <v>1</v>
      </c>
      <c r="Q9">
        <v>1</v>
      </c>
      <c r="R9" s="5" t="s">
        <v>29</v>
      </c>
      <c r="S9" t="s">
        <v>30</v>
      </c>
      <c r="T9" s="5">
        <v>12.341772151898731</v>
      </c>
      <c r="U9">
        <v>2.4930379746835452</v>
      </c>
      <c r="V9">
        <v>0.189873417721519</v>
      </c>
      <c r="W9" s="5">
        <v>0.189873417721519</v>
      </c>
      <c r="X9" t="s">
        <v>31</v>
      </c>
      <c r="Y9" t="b">
        <f t="shared" si="0"/>
        <v>0</v>
      </c>
    </row>
    <row r="10" spans="1:25" x14ac:dyDescent="0.25">
      <c r="A10" t="s">
        <v>24</v>
      </c>
      <c r="B10" t="s">
        <v>49</v>
      </c>
      <c r="C10" s="1">
        <v>46271</v>
      </c>
      <c r="D10" s="5" t="s">
        <v>26</v>
      </c>
      <c r="E10" t="s">
        <v>50</v>
      </c>
      <c r="F10">
        <v>13.91</v>
      </c>
      <c r="I10">
        <v>0</v>
      </c>
      <c r="J10">
        <v>0</v>
      </c>
      <c r="K10">
        <v>13.91</v>
      </c>
      <c r="L10" t="s">
        <v>28</v>
      </c>
      <c r="M10" s="1">
        <v>46271</v>
      </c>
      <c r="N10" s="5">
        <v>614</v>
      </c>
      <c r="O10" s="5">
        <v>124.02800000000001</v>
      </c>
      <c r="P10">
        <v>6</v>
      </c>
      <c r="Q10">
        <v>2</v>
      </c>
      <c r="R10" s="5" t="s">
        <v>51</v>
      </c>
      <c r="S10" t="s">
        <v>30</v>
      </c>
      <c r="T10" s="5">
        <v>116.58227848101269</v>
      </c>
      <c r="U10">
        <v>23.549620253164559</v>
      </c>
      <c r="V10">
        <v>1.139240506329114</v>
      </c>
      <c r="W10" s="5">
        <v>0.37974683544303789</v>
      </c>
      <c r="X10" t="s">
        <v>31</v>
      </c>
      <c r="Y10">
        <f t="shared" si="0"/>
        <v>23.549620253164559</v>
      </c>
    </row>
    <row r="11" spans="1:25" x14ac:dyDescent="0.25">
      <c r="A11" t="s">
        <v>24</v>
      </c>
      <c r="B11" t="s">
        <v>52</v>
      </c>
      <c r="C11" s="1">
        <v>46271</v>
      </c>
      <c r="D11" s="5" t="s">
        <v>26</v>
      </c>
      <c r="E11" t="s">
        <v>53</v>
      </c>
      <c r="F11">
        <v>13.91</v>
      </c>
      <c r="I11">
        <v>0</v>
      </c>
      <c r="J11">
        <v>0</v>
      </c>
      <c r="K11">
        <v>13.91</v>
      </c>
      <c r="L11" t="s">
        <v>28</v>
      </c>
      <c r="M11" s="1">
        <v>46271</v>
      </c>
      <c r="N11" s="5">
        <v>65</v>
      </c>
      <c r="O11" s="5">
        <v>13.13</v>
      </c>
      <c r="P11">
        <v>1</v>
      </c>
      <c r="Q11">
        <v>1</v>
      </c>
      <c r="R11" s="5" t="s">
        <v>29</v>
      </c>
      <c r="S11" t="s">
        <v>30</v>
      </c>
      <c r="T11" s="5">
        <v>12.341772151898731</v>
      </c>
      <c r="U11">
        <v>2.4930379746835452</v>
      </c>
      <c r="V11">
        <v>0.189873417721519</v>
      </c>
      <c r="W11" s="5">
        <v>0.189873417721519</v>
      </c>
      <c r="X11" t="s">
        <v>31</v>
      </c>
      <c r="Y11" t="b">
        <f t="shared" si="0"/>
        <v>0</v>
      </c>
    </row>
    <row r="12" spans="1:25" x14ac:dyDescent="0.25">
      <c r="A12" t="s">
        <v>24</v>
      </c>
      <c r="B12" t="s">
        <v>54</v>
      </c>
      <c r="C12" s="1">
        <v>46271</v>
      </c>
      <c r="D12" s="5" t="s">
        <v>26</v>
      </c>
      <c r="E12" t="s">
        <v>55</v>
      </c>
      <c r="F12">
        <v>13.91</v>
      </c>
      <c r="I12">
        <v>0</v>
      </c>
      <c r="J12">
        <v>0</v>
      </c>
      <c r="K12">
        <v>13.91</v>
      </c>
      <c r="L12" t="s">
        <v>28</v>
      </c>
      <c r="M12" s="1">
        <v>46271</v>
      </c>
      <c r="N12" s="5">
        <v>149</v>
      </c>
      <c r="O12" s="5">
        <v>30.097999999999999</v>
      </c>
      <c r="P12">
        <v>2</v>
      </c>
      <c r="Q12">
        <v>1</v>
      </c>
      <c r="R12" s="5" t="s">
        <v>29</v>
      </c>
      <c r="S12" t="s">
        <v>30</v>
      </c>
      <c r="T12" s="5">
        <v>28.291139240506329</v>
      </c>
      <c r="U12">
        <v>5.7148101265822779</v>
      </c>
      <c r="V12">
        <v>0.37974683544303789</v>
      </c>
      <c r="W12" s="5">
        <v>0.189873417721519</v>
      </c>
      <c r="X12" t="s">
        <v>31</v>
      </c>
      <c r="Y12" t="b">
        <f t="shared" si="0"/>
        <v>0</v>
      </c>
    </row>
    <row r="13" spans="1:25" x14ac:dyDescent="0.25">
      <c r="A13" t="s">
        <v>24</v>
      </c>
      <c r="B13" t="s">
        <v>56</v>
      </c>
      <c r="C13" s="1">
        <v>46271</v>
      </c>
      <c r="D13" s="5" t="s">
        <v>26</v>
      </c>
      <c r="E13" t="s">
        <v>57</v>
      </c>
      <c r="F13">
        <v>13.91</v>
      </c>
      <c r="I13">
        <v>0</v>
      </c>
      <c r="J13">
        <v>0</v>
      </c>
      <c r="K13">
        <v>13.91</v>
      </c>
      <c r="L13" t="s">
        <v>28</v>
      </c>
      <c r="M13" s="1">
        <v>46271</v>
      </c>
      <c r="N13" s="5">
        <v>195</v>
      </c>
      <c r="O13" s="5">
        <v>39.39</v>
      </c>
      <c r="P13">
        <v>4</v>
      </c>
      <c r="Q13">
        <v>2</v>
      </c>
      <c r="R13" s="5" t="s">
        <v>58</v>
      </c>
      <c r="S13" t="s">
        <v>30</v>
      </c>
      <c r="T13" s="5">
        <v>37.025316455696199</v>
      </c>
      <c r="U13">
        <v>7.4791139240506332</v>
      </c>
      <c r="V13">
        <v>0.75949367088607589</v>
      </c>
      <c r="W13" s="5">
        <v>0.37974683544303789</v>
      </c>
      <c r="X13" t="s">
        <v>31</v>
      </c>
      <c r="Y13" t="b">
        <f t="shared" si="0"/>
        <v>0</v>
      </c>
    </row>
    <row r="14" spans="1:25" x14ac:dyDescent="0.25">
      <c r="A14" t="s">
        <v>24</v>
      </c>
      <c r="B14" t="s">
        <v>59</v>
      </c>
      <c r="C14" s="1">
        <v>46271</v>
      </c>
      <c r="D14" s="5" t="s">
        <v>26</v>
      </c>
      <c r="E14" t="s">
        <v>60</v>
      </c>
      <c r="F14">
        <v>13.91</v>
      </c>
      <c r="I14">
        <v>0</v>
      </c>
      <c r="J14">
        <v>0</v>
      </c>
      <c r="K14">
        <v>13.91</v>
      </c>
      <c r="L14" t="s">
        <v>28</v>
      </c>
      <c r="M14" s="1">
        <v>46271</v>
      </c>
      <c r="N14" s="5">
        <v>130</v>
      </c>
      <c r="O14" s="5">
        <v>26.26</v>
      </c>
      <c r="P14">
        <v>2</v>
      </c>
      <c r="Q14">
        <v>2</v>
      </c>
      <c r="R14" s="5" t="s">
        <v>58</v>
      </c>
      <c r="S14" t="s">
        <v>30</v>
      </c>
      <c r="T14" s="5">
        <v>24.683544303797468</v>
      </c>
      <c r="U14">
        <v>4.9860759493670894</v>
      </c>
      <c r="V14">
        <v>0.37974683544303789</v>
      </c>
      <c r="W14" s="5">
        <v>0.37974683544303789</v>
      </c>
      <c r="X14" t="s">
        <v>31</v>
      </c>
      <c r="Y14" t="b">
        <f t="shared" si="0"/>
        <v>0</v>
      </c>
    </row>
    <row r="15" spans="1:25" x14ac:dyDescent="0.25">
      <c r="A15" t="s">
        <v>24</v>
      </c>
      <c r="B15" t="s">
        <v>61</v>
      </c>
      <c r="C15" s="1">
        <v>46271</v>
      </c>
      <c r="D15" s="5" t="s">
        <v>26</v>
      </c>
      <c r="E15" t="s">
        <v>62</v>
      </c>
      <c r="F15">
        <v>13.91</v>
      </c>
      <c r="I15">
        <v>0</v>
      </c>
      <c r="J15">
        <v>0</v>
      </c>
      <c r="K15">
        <v>13.91</v>
      </c>
      <c r="L15" t="s">
        <v>28</v>
      </c>
      <c r="M15" s="1">
        <v>46271</v>
      </c>
      <c r="N15" s="5">
        <v>128</v>
      </c>
      <c r="O15" s="5">
        <v>25.856000000000002</v>
      </c>
      <c r="P15">
        <v>2</v>
      </c>
      <c r="Q15">
        <v>2</v>
      </c>
      <c r="R15" s="5" t="s">
        <v>58</v>
      </c>
      <c r="S15" t="s">
        <v>30</v>
      </c>
      <c r="T15" s="5">
        <v>24.303797468354428</v>
      </c>
      <c r="U15">
        <v>4.9093670886075964</v>
      </c>
      <c r="V15">
        <v>0.37974683544303789</v>
      </c>
      <c r="W15" s="5">
        <v>0.37974683544303789</v>
      </c>
      <c r="X15" t="s">
        <v>31</v>
      </c>
      <c r="Y15" t="b">
        <f t="shared" si="0"/>
        <v>0</v>
      </c>
    </row>
    <row r="16" spans="1:25" x14ac:dyDescent="0.25">
      <c r="A16" t="s">
        <v>24</v>
      </c>
      <c r="B16" t="s">
        <v>63</v>
      </c>
      <c r="C16" s="1">
        <v>46271</v>
      </c>
      <c r="D16" s="5" t="s">
        <v>26</v>
      </c>
      <c r="E16" t="s">
        <v>64</v>
      </c>
      <c r="F16">
        <v>13.91</v>
      </c>
      <c r="I16">
        <v>0</v>
      </c>
      <c r="J16">
        <v>0</v>
      </c>
      <c r="K16">
        <v>13.91</v>
      </c>
      <c r="L16" t="s">
        <v>28</v>
      </c>
      <c r="M16" s="1">
        <v>46271</v>
      </c>
      <c r="N16" s="5">
        <v>130</v>
      </c>
      <c r="O16" s="5">
        <v>26.26</v>
      </c>
      <c r="P16">
        <v>2</v>
      </c>
      <c r="Q16">
        <v>2</v>
      </c>
      <c r="R16" s="5" t="s">
        <v>58</v>
      </c>
      <c r="S16" t="s">
        <v>30</v>
      </c>
      <c r="T16" s="5">
        <v>24.683544303797468</v>
      </c>
      <c r="U16">
        <v>4.9860759493670894</v>
      </c>
      <c r="V16">
        <v>0.37974683544303789</v>
      </c>
      <c r="W16" s="5">
        <v>0.37974683544303789</v>
      </c>
      <c r="X16" t="s">
        <v>31</v>
      </c>
      <c r="Y16" t="b">
        <f t="shared" si="0"/>
        <v>0</v>
      </c>
    </row>
    <row r="17" spans="1:25" x14ac:dyDescent="0.25">
      <c r="A17" t="s">
        <v>24</v>
      </c>
      <c r="B17" t="s">
        <v>65</v>
      </c>
      <c r="C17" s="1">
        <v>46271</v>
      </c>
      <c r="D17" s="5" t="s">
        <v>26</v>
      </c>
      <c r="E17" t="s">
        <v>66</v>
      </c>
      <c r="F17">
        <v>13.91</v>
      </c>
      <c r="I17">
        <v>0</v>
      </c>
      <c r="J17">
        <v>0</v>
      </c>
      <c r="K17">
        <v>13.91</v>
      </c>
      <c r="L17" t="s">
        <v>28</v>
      </c>
      <c r="M17" s="1">
        <v>46271</v>
      </c>
      <c r="N17" s="5">
        <v>130</v>
      </c>
      <c r="O17" s="5">
        <v>26.26</v>
      </c>
      <c r="P17">
        <v>2</v>
      </c>
      <c r="Q17">
        <v>2</v>
      </c>
      <c r="R17" s="5" t="s">
        <v>58</v>
      </c>
      <c r="S17" t="s">
        <v>30</v>
      </c>
      <c r="T17" s="5">
        <v>24.683544303797468</v>
      </c>
      <c r="U17">
        <v>4.9860759493670894</v>
      </c>
      <c r="V17">
        <v>0.37974683544303789</v>
      </c>
      <c r="W17" s="5">
        <v>0.37974683544303789</v>
      </c>
      <c r="X17" t="s">
        <v>31</v>
      </c>
      <c r="Y17" t="b">
        <f t="shared" si="0"/>
        <v>0</v>
      </c>
    </row>
    <row r="18" spans="1:25" x14ac:dyDescent="0.25">
      <c r="A18" t="s">
        <v>24</v>
      </c>
      <c r="B18" t="s">
        <v>67</v>
      </c>
      <c r="C18" s="1">
        <v>46271</v>
      </c>
      <c r="D18" s="5" t="s">
        <v>26</v>
      </c>
      <c r="E18" t="s">
        <v>68</v>
      </c>
      <c r="F18">
        <v>13.91</v>
      </c>
      <c r="I18">
        <v>0</v>
      </c>
      <c r="J18">
        <v>0</v>
      </c>
      <c r="K18">
        <v>13.91</v>
      </c>
      <c r="L18" t="s">
        <v>28</v>
      </c>
      <c r="M18" s="1">
        <v>46271</v>
      </c>
      <c r="N18" s="5">
        <v>130</v>
      </c>
      <c r="O18" s="5">
        <v>26.26</v>
      </c>
      <c r="P18">
        <v>3</v>
      </c>
      <c r="Q18">
        <v>2</v>
      </c>
      <c r="R18" s="5" t="s">
        <v>58</v>
      </c>
      <c r="S18" t="s">
        <v>30</v>
      </c>
      <c r="T18" s="5">
        <v>24.683544303797468</v>
      </c>
      <c r="U18">
        <v>4.9860759493670894</v>
      </c>
      <c r="V18">
        <v>0.569620253164557</v>
      </c>
      <c r="W18" s="5">
        <v>0.37974683544303789</v>
      </c>
      <c r="X18" t="s">
        <v>31</v>
      </c>
      <c r="Y18" t="b">
        <f t="shared" si="0"/>
        <v>0</v>
      </c>
    </row>
    <row r="19" spans="1:25" x14ac:dyDescent="0.25">
      <c r="A19" t="s">
        <v>24</v>
      </c>
      <c r="B19" t="s">
        <v>69</v>
      </c>
      <c r="C19" s="1">
        <v>46271</v>
      </c>
      <c r="D19" s="5" t="s">
        <v>26</v>
      </c>
      <c r="E19" t="s">
        <v>70</v>
      </c>
      <c r="F19">
        <v>13.91</v>
      </c>
      <c r="I19">
        <v>0</v>
      </c>
      <c r="J19">
        <v>0</v>
      </c>
      <c r="K19">
        <v>13.91</v>
      </c>
      <c r="L19" t="s">
        <v>28</v>
      </c>
      <c r="M19" s="1">
        <v>46271</v>
      </c>
      <c r="N19" s="5">
        <v>130</v>
      </c>
      <c r="O19" s="5">
        <v>26.26</v>
      </c>
      <c r="P19">
        <v>3</v>
      </c>
      <c r="Q19">
        <v>2</v>
      </c>
      <c r="R19" s="5" t="s">
        <v>58</v>
      </c>
      <c r="S19" t="s">
        <v>30</v>
      </c>
      <c r="T19" s="5">
        <v>24.683544303797468</v>
      </c>
      <c r="U19">
        <v>4.9860759493670894</v>
      </c>
      <c r="V19">
        <v>0.569620253164557</v>
      </c>
      <c r="W19" s="5">
        <v>0.37974683544303789</v>
      </c>
      <c r="X19" t="s">
        <v>31</v>
      </c>
      <c r="Y19" t="b">
        <f t="shared" si="0"/>
        <v>0</v>
      </c>
    </row>
    <row r="20" spans="1:25" x14ac:dyDescent="0.25">
      <c r="A20" t="s">
        <v>24</v>
      </c>
      <c r="B20" t="s">
        <v>71</v>
      </c>
      <c r="C20" s="1">
        <v>46271</v>
      </c>
      <c r="D20" s="5" t="s">
        <v>26</v>
      </c>
      <c r="E20" t="s">
        <v>72</v>
      </c>
      <c r="F20">
        <v>13.91</v>
      </c>
      <c r="I20">
        <v>0</v>
      </c>
      <c r="J20">
        <v>0</v>
      </c>
      <c r="K20">
        <v>13.91</v>
      </c>
      <c r="L20" t="s">
        <v>28</v>
      </c>
      <c r="M20" s="1">
        <v>46271</v>
      </c>
      <c r="N20" s="5">
        <v>207</v>
      </c>
      <c r="O20" s="5">
        <v>41.814</v>
      </c>
      <c r="P20">
        <v>4</v>
      </c>
      <c r="Q20">
        <v>2</v>
      </c>
      <c r="R20" s="5" t="s">
        <v>58</v>
      </c>
      <c r="S20" t="s">
        <v>30</v>
      </c>
      <c r="T20" s="5">
        <v>39.303797468354432</v>
      </c>
      <c r="U20">
        <v>7.9393670886075949</v>
      </c>
      <c r="V20">
        <v>0.75949367088607589</v>
      </c>
      <c r="W20" s="5">
        <v>0.37974683544303789</v>
      </c>
      <c r="X20" t="s">
        <v>31</v>
      </c>
      <c r="Y20" t="b">
        <f t="shared" si="0"/>
        <v>0</v>
      </c>
    </row>
    <row r="21" spans="1:25" x14ac:dyDescent="0.25">
      <c r="A21" t="s">
        <v>24</v>
      </c>
      <c r="B21" t="s">
        <v>73</v>
      </c>
      <c r="C21" s="1">
        <v>46271</v>
      </c>
      <c r="D21" s="5" t="s">
        <v>26</v>
      </c>
      <c r="E21" t="s">
        <v>74</v>
      </c>
      <c r="F21">
        <v>13.91</v>
      </c>
      <c r="I21">
        <v>0</v>
      </c>
      <c r="J21">
        <v>0</v>
      </c>
      <c r="K21">
        <v>13.91</v>
      </c>
      <c r="L21" t="s">
        <v>28</v>
      </c>
      <c r="M21" s="1">
        <v>46271</v>
      </c>
      <c r="N21" s="5">
        <v>329</v>
      </c>
      <c r="O21" s="5">
        <v>66.458000000000013</v>
      </c>
      <c r="P21">
        <v>5</v>
      </c>
      <c r="Q21">
        <v>2</v>
      </c>
      <c r="R21" s="5" t="s">
        <v>58</v>
      </c>
      <c r="S21" t="s">
        <v>30</v>
      </c>
      <c r="T21" s="5">
        <v>62.468354430379748</v>
      </c>
      <c r="U21">
        <v>12.61860759493671</v>
      </c>
      <c r="V21">
        <v>0.949367088607595</v>
      </c>
      <c r="W21" s="5">
        <v>0.37974683544303789</v>
      </c>
      <c r="X21" t="s">
        <v>31</v>
      </c>
      <c r="Y21" t="b">
        <f t="shared" si="0"/>
        <v>0</v>
      </c>
    </row>
    <row r="22" spans="1:25" x14ac:dyDescent="0.25">
      <c r="A22" t="s">
        <v>75</v>
      </c>
      <c r="B22" t="s">
        <v>76</v>
      </c>
      <c r="C22" s="1">
        <v>46200</v>
      </c>
      <c r="D22" s="5" t="s">
        <v>26</v>
      </c>
      <c r="E22" t="s">
        <v>77</v>
      </c>
      <c r="F22">
        <v>1005.8</v>
      </c>
      <c r="G22">
        <v>55.64</v>
      </c>
      <c r="H22">
        <v>587.1</v>
      </c>
      <c r="I22">
        <v>0</v>
      </c>
      <c r="J22">
        <v>350.08</v>
      </c>
      <c r="K22">
        <v>363.06</v>
      </c>
      <c r="L22" t="s">
        <v>28</v>
      </c>
      <c r="M22" s="1">
        <v>46269</v>
      </c>
      <c r="N22" s="5">
        <v>50122</v>
      </c>
      <c r="O22" s="5">
        <v>9989.3730839999989</v>
      </c>
      <c r="P22">
        <v>208</v>
      </c>
      <c r="Q22">
        <v>19</v>
      </c>
      <c r="R22" s="5" t="s">
        <v>78</v>
      </c>
      <c r="S22" t="s">
        <v>79</v>
      </c>
      <c r="T22" s="5">
        <v>9516.835443037975</v>
      </c>
      <c r="U22">
        <v>1896.7164083544301</v>
      </c>
      <c r="V22">
        <v>39.493670886075947</v>
      </c>
      <c r="W22" s="5">
        <v>3.6075949367088609</v>
      </c>
      <c r="X22" t="s">
        <v>31</v>
      </c>
      <c r="Y22">
        <f t="shared" si="0"/>
        <v>1896.7164083544301</v>
      </c>
    </row>
    <row r="23" spans="1:25" x14ac:dyDescent="0.25">
      <c r="A23" t="s">
        <v>24</v>
      </c>
      <c r="B23" t="s">
        <v>80</v>
      </c>
      <c r="C23" s="1">
        <v>46271</v>
      </c>
      <c r="D23" s="5" t="s">
        <v>26</v>
      </c>
      <c r="E23" t="s">
        <v>81</v>
      </c>
      <c r="F23">
        <v>13.91</v>
      </c>
      <c r="I23">
        <v>0</v>
      </c>
      <c r="J23">
        <v>0</v>
      </c>
      <c r="K23">
        <v>13.91</v>
      </c>
      <c r="L23" t="s">
        <v>28</v>
      </c>
      <c r="M23" s="1">
        <v>46271</v>
      </c>
      <c r="N23" s="5">
        <v>65</v>
      </c>
      <c r="O23" s="5">
        <v>13.13</v>
      </c>
      <c r="P23">
        <v>2</v>
      </c>
      <c r="Q23">
        <v>1</v>
      </c>
      <c r="R23" s="5" t="s">
        <v>29</v>
      </c>
      <c r="S23" t="s">
        <v>30</v>
      </c>
      <c r="T23" s="5">
        <v>12.341772151898731</v>
      </c>
      <c r="U23">
        <v>2.4930379746835452</v>
      </c>
      <c r="V23">
        <v>0.37974683544303789</v>
      </c>
      <c r="W23" s="5">
        <v>0.189873417721519</v>
      </c>
      <c r="X23" t="s">
        <v>31</v>
      </c>
      <c r="Y23" t="b">
        <f t="shared" si="0"/>
        <v>0</v>
      </c>
    </row>
    <row r="24" spans="1:25" x14ac:dyDescent="0.25">
      <c r="A24" t="s">
        <v>34</v>
      </c>
      <c r="B24" t="s">
        <v>82</v>
      </c>
      <c r="C24" s="1">
        <v>46271</v>
      </c>
      <c r="D24" s="5" t="s">
        <v>26</v>
      </c>
      <c r="E24" t="s">
        <v>83</v>
      </c>
      <c r="F24">
        <v>27.82</v>
      </c>
      <c r="I24">
        <v>0</v>
      </c>
      <c r="J24">
        <v>0</v>
      </c>
      <c r="K24">
        <v>27.82</v>
      </c>
      <c r="L24" t="s">
        <v>28</v>
      </c>
      <c r="M24" s="1">
        <v>46270</v>
      </c>
      <c r="N24" s="5">
        <v>360</v>
      </c>
      <c r="O24" s="5">
        <v>72.72</v>
      </c>
      <c r="P24">
        <v>4</v>
      </c>
      <c r="Q24">
        <v>1</v>
      </c>
      <c r="R24" s="5" t="s">
        <v>29</v>
      </c>
      <c r="S24" t="s">
        <v>84</v>
      </c>
      <c r="T24" s="5">
        <v>68.354430379746844</v>
      </c>
      <c r="U24">
        <v>13.80759493670886</v>
      </c>
      <c r="V24">
        <v>0.75949367088607589</v>
      </c>
      <c r="W24" s="5">
        <v>0.189873417721519</v>
      </c>
      <c r="X24" t="s">
        <v>31</v>
      </c>
      <c r="Y24" t="b">
        <f t="shared" si="0"/>
        <v>0</v>
      </c>
    </row>
    <row r="25" spans="1:25" x14ac:dyDescent="0.25">
      <c r="A25" t="s">
        <v>34</v>
      </c>
      <c r="B25" t="s">
        <v>85</v>
      </c>
      <c r="C25" s="1">
        <v>46271</v>
      </c>
      <c r="D25" s="5" t="s">
        <v>26</v>
      </c>
      <c r="E25" t="s">
        <v>86</v>
      </c>
      <c r="F25">
        <v>27.82</v>
      </c>
      <c r="I25">
        <v>0</v>
      </c>
      <c r="J25">
        <v>0</v>
      </c>
      <c r="K25">
        <v>27.82</v>
      </c>
      <c r="L25" t="s">
        <v>28</v>
      </c>
      <c r="M25" s="1">
        <v>46270</v>
      </c>
      <c r="N25" s="5">
        <v>165</v>
      </c>
      <c r="O25" s="5">
        <v>33.33</v>
      </c>
      <c r="P25">
        <v>3</v>
      </c>
      <c r="Q25">
        <v>1</v>
      </c>
      <c r="R25" s="5" t="s">
        <v>29</v>
      </c>
      <c r="S25" t="s">
        <v>84</v>
      </c>
      <c r="T25" s="5">
        <v>31.329113924050631</v>
      </c>
      <c r="U25">
        <v>6.3284810126582274</v>
      </c>
      <c r="V25">
        <v>0.569620253164557</v>
      </c>
      <c r="W25" s="5">
        <v>0.189873417721519</v>
      </c>
      <c r="X25" t="s">
        <v>31</v>
      </c>
      <c r="Y25" t="b">
        <f t="shared" si="0"/>
        <v>0</v>
      </c>
    </row>
    <row r="26" spans="1:25" x14ac:dyDescent="0.25">
      <c r="A26" t="s">
        <v>24</v>
      </c>
      <c r="B26" t="s">
        <v>87</v>
      </c>
      <c r="C26" s="1">
        <v>46271</v>
      </c>
      <c r="D26" s="5" t="s">
        <v>26</v>
      </c>
      <c r="E26" t="s">
        <v>88</v>
      </c>
      <c r="F26">
        <v>13.91</v>
      </c>
      <c r="I26">
        <v>0</v>
      </c>
      <c r="J26">
        <v>0</v>
      </c>
      <c r="K26">
        <v>13.91</v>
      </c>
      <c r="L26" t="s">
        <v>28</v>
      </c>
      <c r="M26" s="1">
        <v>46271</v>
      </c>
      <c r="N26" s="5">
        <v>65</v>
      </c>
      <c r="O26" s="5">
        <v>13.13</v>
      </c>
      <c r="P26">
        <v>1</v>
      </c>
      <c r="Q26">
        <v>1</v>
      </c>
      <c r="R26" s="5" t="s">
        <v>29</v>
      </c>
      <c r="S26" t="s">
        <v>30</v>
      </c>
      <c r="T26" s="5">
        <v>12.341772151898731</v>
      </c>
      <c r="U26">
        <v>2.4930379746835452</v>
      </c>
      <c r="V26">
        <v>0.189873417721519</v>
      </c>
      <c r="W26" s="5">
        <v>0.189873417721519</v>
      </c>
      <c r="X26" t="s">
        <v>31</v>
      </c>
      <c r="Y26" t="b">
        <f t="shared" si="0"/>
        <v>0</v>
      </c>
    </row>
    <row r="27" spans="1:25" x14ac:dyDescent="0.25">
      <c r="A27" t="s">
        <v>34</v>
      </c>
      <c r="B27" t="s">
        <v>89</v>
      </c>
      <c r="C27" s="1">
        <v>46271</v>
      </c>
      <c r="D27" s="5" t="s">
        <v>26</v>
      </c>
      <c r="E27" t="s">
        <v>90</v>
      </c>
      <c r="F27">
        <v>27.82</v>
      </c>
      <c r="I27">
        <v>0</v>
      </c>
      <c r="J27">
        <v>0</v>
      </c>
      <c r="K27">
        <v>27.82</v>
      </c>
      <c r="L27" t="s">
        <v>28</v>
      </c>
      <c r="M27" s="1">
        <v>46270</v>
      </c>
      <c r="N27" s="5">
        <v>130</v>
      </c>
      <c r="O27" s="5">
        <v>26.26</v>
      </c>
      <c r="P27">
        <v>1</v>
      </c>
      <c r="Q27">
        <v>1</v>
      </c>
      <c r="R27" s="5" t="s">
        <v>29</v>
      </c>
      <c r="S27" t="s">
        <v>84</v>
      </c>
      <c r="T27" s="5">
        <v>24.683544303797468</v>
      </c>
      <c r="U27">
        <v>4.9860759493670894</v>
      </c>
      <c r="V27">
        <v>0.189873417721519</v>
      </c>
      <c r="W27" s="5">
        <v>0.189873417721519</v>
      </c>
      <c r="X27" t="s">
        <v>31</v>
      </c>
      <c r="Y27" t="b">
        <f t="shared" si="0"/>
        <v>0</v>
      </c>
    </row>
    <row r="28" spans="1:25" x14ac:dyDescent="0.25">
      <c r="A28" t="s">
        <v>24</v>
      </c>
      <c r="B28" t="s">
        <v>91</v>
      </c>
      <c r="C28" s="1">
        <v>46271</v>
      </c>
      <c r="D28" s="5" t="s">
        <v>26</v>
      </c>
      <c r="E28" t="s">
        <v>92</v>
      </c>
      <c r="F28">
        <v>13.91</v>
      </c>
      <c r="I28">
        <v>0</v>
      </c>
      <c r="J28">
        <v>0</v>
      </c>
      <c r="K28">
        <v>13.91</v>
      </c>
      <c r="L28" t="s">
        <v>28</v>
      </c>
      <c r="M28" s="1">
        <v>46271</v>
      </c>
      <c r="N28" s="5">
        <v>195</v>
      </c>
      <c r="O28" s="5">
        <v>39.39</v>
      </c>
      <c r="P28">
        <v>2</v>
      </c>
      <c r="Q28">
        <v>1</v>
      </c>
      <c r="R28" s="5" t="s">
        <v>29</v>
      </c>
      <c r="S28" t="s">
        <v>30</v>
      </c>
      <c r="T28" s="5">
        <v>37.025316455696199</v>
      </c>
      <c r="U28">
        <v>7.4791139240506332</v>
      </c>
      <c r="V28">
        <v>0.37974683544303789</v>
      </c>
      <c r="W28" s="5">
        <v>0.189873417721519</v>
      </c>
      <c r="X28" t="s">
        <v>31</v>
      </c>
      <c r="Y28" t="b">
        <f t="shared" si="0"/>
        <v>0</v>
      </c>
    </row>
    <row r="29" spans="1:25" x14ac:dyDescent="0.25">
      <c r="A29" t="s">
        <v>24</v>
      </c>
      <c r="B29" t="s">
        <v>93</v>
      </c>
      <c r="C29" s="1">
        <v>46271</v>
      </c>
      <c r="D29" s="5" t="s">
        <v>26</v>
      </c>
      <c r="E29" t="s">
        <v>94</v>
      </c>
      <c r="F29">
        <v>27.82</v>
      </c>
      <c r="I29">
        <v>0</v>
      </c>
      <c r="J29">
        <v>0</v>
      </c>
      <c r="K29">
        <v>27.82</v>
      </c>
      <c r="L29" t="s">
        <v>28</v>
      </c>
      <c r="M29" s="1">
        <v>46271</v>
      </c>
      <c r="N29" s="5">
        <v>323</v>
      </c>
      <c r="O29" s="5">
        <v>58.895726000000003</v>
      </c>
      <c r="P29">
        <v>8</v>
      </c>
      <c r="Q29">
        <v>1</v>
      </c>
      <c r="R29" s="5" t="s">
        <v>29</v>
      </c>
      <c r="S29" t="s">
        <v>84</v>
      </c>
      <c r="T29" s="5">
        <v>61.329113924050617</v>
      </c>
      <c r="U29">
        <v>11.182732784810129</v>
      </c>
      <c r="V29">
        <v>1.518987341772152</v>
      </c>
      <c r="W29" s="5">
        <v>0.189873417721519</v>
      </c>
      <c r="X29" t="s">
        <v>31</v>
      </c>
      <c r="Y29" t="b">
        <f t="shared" si="0"/>
        <v>0</v>
      </c>
    </row>
    <row r="30" spans="1:25" x14ac:dyDescent="0.25">
      <c r="A30" t="s">
        <v>34</v>
      </c>
      <c r="B30" t="s">
        <v>95</v>
      </c>
      <c r="C30" s="1">
        <v>46271</v>
      </c>
      <c r="D30" s="5" t="s">
        <v>26</v>
      </c>
      <c r="E30" t="s">
        <v>96</v>
      </c>
      <c r="F30">
        <v>81.319999999999993</v>
      </c>
      <c r="H30">
        <v>68.52</v>
      </c>
      <c r="I30">
        <v>0</v>
      </c>
      <c r="J30">
        <v>0</v>
      </c>
      <c r="K30">
        <v>12.79999999999999</v>
      </c>
      <c r="L30" t="s">
        <v>28</v>
      </c>
      <c r="M30" s="1">
        <v>46270</v>
      </c>
      <c r="N30" s="5">
        <v>1430</v>
      </c>
      <c r="O30" s="5">
        <v>288.86</v>
      </c>
      <c r="P30">
        <v>11</v>
      </c>
      <c r="Q30">
        <v>1</v>
      </c>
      <c r="R30" s="5" t="s">
        <v>29</v>
      </c>
      <c r="S30" t="s">
        <v>30</v>
      </c>
      <c r="T30" s="5">
        <v>271.51898734177217</v>
      </c>
      <c r="U30">
        <v>54.846835443037968</v>
      </c>
      <c r="V30">
        <v>2.0886075949367089</v>
      </c>
      <c r="W30" s="5">
        <v>0.189873417721519</v>
      </c>
      <c r="X30" t="s">
        <v>31</v>
      </c>
      <c r="Y30">
        <f t="shared" si="0"/>
        <v>54.846835443037968</v>
      </c>
    </row>
    <row r="31" spans="1:25" x14ac:dyDescent="0.25">
      <c r="A31" t="s">
        <v>24</v>
      </c>
      <c r="B31" t="s">
        <v>97</v>
      </c>
      <c r="C31" s="1">
        <v>46271</v>
      </c>
      <c r="D31" s="5" t="s">
        <v>26</v>
      </c>
      <c r="E31" t="s">
        <v>98</v>
      </c>
      <c r="F31">
        <v>55.64</v>
      </c>
      <c r="I31">
        <v>0</v>
      </c>
      <c r="J31">
        <v>0</v>
      </c>
      <c r="K31">
        <v>55.64</v>
      </c>
      <c r="L31" t="s">
        <v>28</v>
      </c>
      <c r="M31" s="1">
        <v>46271</v>
      </c>
      <c r="N31" s="5">
        <v>390</v>
      </c>
      <c r="O31" s="5">
        <v>78.78</v>
      </c>
      <c r="P31">
        <v>6</v>
      </c>
      <c r="Q31">
        <v>3</v>
      </c>
      <c r="R31" s="5" t="s">
        <v>99</v>
      </c>
      <c r="S31" t="s">
        <v>100</v>
      </c>
      <c r="T31" s="5">
        <v>74.050632911392398</v>
      </c>
      <c r="U31">
        <v>14.95822784810127</v>
      </c>
      <c r="V31">
        <v>1.139240506329114</v>
      </c>
      <c r="W31" s="5">
        <v>0.569620253164557</v>
      </c>
      <c r="X31" t="s">
        <v>31</v>
      </c>
      <c r="Y31" t="b">
        <f t="shared" si="0"/>
        <v>0</v>
      </c>
    </row>
    <row r="32" spans="1:25" x14ac:dyDescent="0.25">
      <c r="A32" t="s">
        <v>34</v>
      </c>
      <c r="B32" t="s">
        <v>101</v>
      </c>
      <c r="C32" s="1">
        <v>46271</v>
      </c>
      <c r="D32" s="5" t="s">
        <v>26</v>
      </c>
      <c r="E32" t="s">
        <v>102</v>
      </c>
      <c r="F32">
        <v>13.91</v>
      </c>
      <c r="I32">
        <v>0</v>
      </c>
      <c r="J32">
        <v>0</v>
      </c>
      <c r="K32">
        <v>13.91</v>
      </c>
      <c r="L32" t="s">
        <v>28</v>
      </c>
      <c r="M32" s="1">
        <v>46270</v>
      </c>
      <c r="N32" s="5">
        <v>65</v>
      </c>
      <c r="O32" s="5">
        <v>13.13</v>
      </c>
      <c r="P32">
        <v>1</v>
      </c>
      <c r="Q32">
        <v>1</v>
      </c>
      <c r="R32" s="5" t="s">
        <v>29</v>
      </c>
      <c r="S32" t="s">
        <v>30</v>
      </c>
      <c r="T32" s="5">
        <v>12.341772151898731</v>
      </c>
      <c r="U32">
        <v>2.4930379746835452</v>
      </c>
      <c r="V32">
        <v>0.189873417721519</v>
      </c>
      <c r="W32" s="5">
        <v>0.189873417721519</v>
      </c>
      <c r="X32" t="s">
        <v>31</v>
      </c>
      <c r="Y32" t="b">
        <f t="shared" si="0"/>
        <v>0</v>
      </c>
    </row>
    <row r="33" spans="1:25" x14ac:dyDescent="0.25">
      <c r="A33" t="s">
        <v>34</v>
      </c>
      <c r="B33" t="s">
        <v>103</v>
      </c>
      <c r="C33" s="1">
        <v>46271</v>
      </c>
      <c r="D33" s="5" t="s">
        <v>26</v>
      </c>
      <c r="E33" t="s">
        <v>104</v>
      </c>
      <c r="F33">
        <v>27.82</v>
      </c>
      <c r="I33">
        <v>0</v>
      </c>
      <c r="J33">
        <v>0</v>
      </c>
      <c r="K33">
        <v>27.82</v>
      </c>
      <c r="L33" t="s">
        <v>28</v>
      </c>
      <c r="M33" s="1">
        <v>46270</v>
      </c>
      <c r="N33" s="5">
        <v>130</v>
      </c>
      <c r="O33" s="5">
        <v>26.26</v>
      </c>
      <c r="P33">
        <v>1</v>
      </c>
      <c r="Q33">
        <v>1</v>
      </c>
      <c r="R33" s="5" t="s">
        <v>29</v>
      </c>
      <c r="S33" t="s">
        <v>84</v>
      </c>
      <c r="T33" s="5">
        <v>24.683544303797468</v>
      </c>
      <c r="U33">
        <v>4.9860759493670894</v>
      </c>
      <c r="V33">
        <v>0.189873417721519</v>
      </c>
      <c r="W33" s="5">
        <v>0.189873417721519</v>
      </c>
      <c r="X33" t="s">
        <v>31</v>
      </c>
      <c r="Y33" t="b">
        <f t="shared" si="0"/>
        <v>0</v>
      </c>
    </row>
    <row r="34" spans="1:25" x14ac:dyDescent="0.25">
      <c r="A34" t="s">
        <v>34</v>
      </c>
      <c r="B34" t="s">
        <v>105</v>
      </c>
      <c r="C34" s="1">
        <v>46271</v>
      </c>
      <c r="D34" s="5" t="s">
        <v>26</v>
      </c>
      <c r="E34" t="s">
        <v>106</v>
      </c>
      <c r="F34">
        <v>13.91</v>
      </c>
      <c r="I34">
        <v>0</v>
      </c>
      <c r="J34">
        <v>0</v>
      </c>
      <c r="K34">
        <v>13.91</v>
      </c>
      <c r="L34" t="s">
        <v>28</v>
      </c>
      <c r="M34" s="1">
        <v>46270</v>
      </c>
      <c r="N34" s="5">
        <v>65</v>
      </c>
      <c r="O34" s="5">
        <v>13.13</v>
      </c>
      <c r="P34">
        <v>1</v>
      </c>
      <c r="Q34">
        <v>1</v>
      </c>
      <c r="R34" s="5" t="s">
        <v>29</v>
      </c>
      <c r="S34" t="s">
        <v>30</v>
      </c>
      <c r="T34" s="5">
        <v>12.341772151898731</v>
      </c>
      <c r="U34">
        <v>2.4930379746835452</v>
      </c>
      <c r="V34">
        <v>0.189873417721519</v>
      </c>
      <c r="W34" s="5">
        <v>0.189873417721519</v>
      </c>
      <c r="X34" t="s">
        <v>31</v>
      </c>
      <c r="Y34" t="b">
        <f t="shared" si="0"/>
        <v>0</v>
      </c>
    </row>
    <row r="35" spans="1:25" x14ac:dyDescent="0.25">
      <c r="A35" t="s">
        <v>34</v>
      </c>
      <c r="B35" t="s">
        <v>107</v>
      </c>
      <c r="C35" s="1">
        <v>46271</v>
      </c>
      <c r="D35" s="5" t="s">
        <v>26</v>
      </c>
      <c r="E35" t="s">
        <v>108</v>
      </c>
      <c r="F35">
        <v>13.91</v>
      </c>
      <c r="I35">
        <v>0</v>
      </c>
      <c r="J35">
        <v>0</v>
      </c>
      <c r="K35">
        <v>13.91</v>
      </c>
      <c r="L35" t="s">
        <v>28</v>
      </c>
      <c r="M35" s="1">
        <v>46270</v>
      </c>
      <c r="N35" s="5">
        <v>65</v>
      </c>
      <c r="O35" s="5">
        <v>13.13</v>
      </c>
      <c r="P35">
        <v>3</v>
      </c>
      <c r="Q35">
        <v>1</v>
      </c>
      <c r="R35" s="5" t="s">
        <v>29</v>
      </c>
      <c r="S35" t="s">
        <v>30</v>
      </c>
      <c r="T35" s="5">
        <v>12.341772151898731</v>
      </c>
      <c r="U35">
        <v>2.4930379746835452</v>
      </c>
      <c r="V35">
        <v>0.569620253164557</v>
      </c>
      <c r="W35" s="5">
        <v>0.189873417721519</v>
      </c>
      <c r="X35" t="s">
        <v>31</v>
      </c>
      <c r="Y35" t="b">
        <f t="shared" si="0"/>
        <v>0</v>
      </c>
    </row>
    <row r="36" spans="1:25" x14ac:dyDescent="0.25">
      <c r="A36" t="s">
        <v>24</v>
      </c>
      <c r="B36" t="s">
        <v>109</v>
      </c>
      <c r="C36" s="1">
        <v>46271</v>
      </c>
      <c r="D36" s="5" t="s">
        <v>26</v>
      </c>
      <c r="E36" t="s">
        <v>110</v>
      </c>
      <c r="F36">
        <v>13.91</v>
      </c>
      <c r="I36">
        <v>0</v>
      </c>
      <c r="J36">
        <v>0</v>
      </c>
      <c r="K36">
        <v>13.91</v>
      </c>
      <c r="L36" t="s">
        <v>28</v>
      </c>
      <c r="M36" s="1">
        <v>46271</v>
      </c>
      <c r="N36" s="5">
        <v>165</v>
      </c>
      <c r="O36" s="5">
        <v>33.33</v>
      </c>
      <c r="P36">
        <v>3</v>
      </c>
      <c r="Q36">
        <v>1</v>
      </c>
      <c r="R36" s="5" t="s">
        <v>29</v>
      </c>
      <c r="S36" t="s">
        <v>30</v>
      </c>
      <c r="T36" s="5">
        <v>31.329113924050631</v>
      </c>
      <c r="U36">
        <v>6.3284810126582274</v>
      </c>
      <c r="V36">
        <v>0.569620253164557</v>
      </c>
      <c r="W36" s="5">
        <v>0.189873417721519</v>
      </c>
      <c r="X36" t="s">
        <v>31</v>
      </c>
      <c r="Y36" t="b">
        <f t="shared" si="0"/>
        <v>0</v>
      </c>
    </row>
    <row r="37" spans="1:25" x14ac:dyDescent="0.25">
      <c r="A37" t="s">
        <v>34</v>
      </c>
      <c r="B37" t="s">
        <v>111</v>
      </c>
      <c r="C37" s="1">
        <v>46271</v>
      </c>
      <c r="D37" s="5" t="s">
        <v>26</v>
      </c>
      <c r="E37" t="s">
        <v>112</v>
      </c>
      <c r="F37">
        <v>13.91</v>
      </c>
      <c r="I37">
        <v>0</v>
      </c>
      <c r="J37">
        <v>0</v>
      </c>
      <c r="K37">
        <v>13.91</v>
      </c>
      <c r="L37" t="s">
        <v>28</v>
      </c>
      <c r="M37" s="1">
        <v>46270</v>
      </c>
      <c r="N37" s="5">
        <v>945</v>
      </c>
      <c r="O37" s="5">
        <v>190.89</v>
      </c>
      <c r="P37">
        <v>10</v>
      </c>
      <c r="Q37">
        <v>2</v>
      </c>
      <c r="R37" s="5" t="s">
        <v>58</v>
      </c>
      <c r="S37" t="s">
        <v>30</v>
      </c>
      <c r="T37" s="5">
        <v>179.4303797468354</v>
      </c>
      <c r="U37">
        <v>36.244936708860763</v>
      </c>
      <c r="V37">
        <v>1.89873417721519</v>
      </c>
      <c r="W37" s="5">
        <v>0.37974683544303789</v>
      </c>
      <c r="X37" t="s">
        <v>31</v>
      </c>
      <c r="Y37">
        <f t="shared" si="0"/>
        <v>36.244936708860763</v>
      </c>
    </row>
    <row r="38" spans="1:25" x14ac:dyDescent="0.25">
      <c r="A38" t="s">
        <v>24</v>
      </c>
      <c r="B38" t="s">
        <v>113</v>
      </c>
      <c r="C38" s="1">
        <v>46271</v>
      </c>
      <c r="D38" s="5" t="s">
        <v>26</v>
      </c>
      <c r="E38" t="s">
        <v>114</v>
      </c>
      <c r="F38">
        <v>77.040000000000006</v>
      </c>
      <c r="I38">
        <v>0</v>
      </c>
      <c r="J38">
        <v>0</v>
      </c>
      <c r="K38">
        <v>77.040000000000006</v>
      </c>
      <c r="L38" t="s">
        <v>28</v>
      </c>
      <c r="M38" s="1">
        <v>46271</v>
      </c>
      <c r="N38" s="5">
        <v>1088</v>
      </c>
      <c r="O38" s="5">
        <v>206.87385599999999</v>
      </c>
      <c r="P38">
        <v>9</v>
      </c>
      <c r="Q38">
        <v>1</v>
      </c>
      <c r="R38" s="5" t="s">
        <v>29</v>
      </c>
      <c r="S38" t="s">
        <v>79</v>
      </c>
      <c r="T38" s="5">
        <v>206.58227848101271</v>
      </c>
      <c r="U38">
        <v>39.279846075949372</v>
      </c>
      <c r="V38">
        <v>1.7088607594936711</v>
      </c>
      <c r="W38" s="5">
        <v>0.189873417721519</v>
      </c>
      <c r="X38" t="s">
        <v>31</v>
      </c>
      <c r="Y38" t="b">
        <f t="shared" si="0"/>
        <v>0</v>
      </c>
    </row>
    <row r="39" spans="1:25" x14ac:dyDescent="0.25">
      <c r="A39" t="s">
        <v>34</v>
      </c>
      <c r="B39" t="s">
        <v>115</v>
      </c>
      <c r="C39" s="1">
        <v>46271</v>
      </c>
      <c r="D39" s="5" t="s">
        <v>26</v>
      </c>
      <c r="E39" t="s">
        <v>116</v>
      </c>
      <c r="F39">
        <v>27.82</v>
      </c>
      <c r="I39">
        <v>0</v>
      </c>
      <c r="J39">
        <v>0</v>
      </c>
      <c r="K39">
        <v>27.82</v>
      </c>
      <c r="L39" t="s">
        <v>28</v>
      </c>
      <c r="M39" s="1">
        <v>46270</v>
      </c>
      <c r="N39" s="5">
        <v>130</v>
      </c>
      <c r="O39" s="5">
        <v>26.26</v>
      </c>
      <c r="P39">
        <v>2</v>
      </c>
      <c r="Q39">
        <v>1</v>
      </c>
      <c r="R39" s="5" t="s">
        <v>29</v>
      </c>
      <c r="S39" t="s">
        <v>84</v>
      </c>
      <c r="T39" s="5">
        <v>24.683544303797468</v>
      </c>
      <c r="U39">
        <v>4.9860759493670894</v>
      </c>
      <c r="V39">
        <v>0.37974683544303789</v>
      </c>
      <c r="W39" s="5">
        <v>0.189873417721519</v>
      </c>
      <c r="X39" t="s">
        <v>31</v>
      </c>
      <c r="Y39" t="b">
        <f t="shared" si="0"/>
        <v>0</v>
      </c>
    </row>
    <row r="40" spans="1:25" x14ac:dyDescent="0.25">
      <c r="A40" t="s">
        <v>24</v>
      </c>
      <c r="B40" t="s">
        <v>117</v>
      </c>
      <c r="C40" s="1">
        <v>46271</v>
      </c>
      <c r="D40" s="5" t="s">
        <v>26</v>
      </c>
      <c r="E40" t="s">
        <v>118</v>
      </c>
      <c r="F40">
        <v>27.82</v>
      </c>
      <c r="I40">
        <v>0</v>
      </c>
      <c r="J40">
        <v>0</v>
      </c>
      <c r="K40">
        <v>27.82</v>
      </c>
      <c r="L40" t="s">
        <v>28</v>
      </c>
      <c r="M40" s="1">
        <v>46271</v>
      </c>
      <c r="N40" s="5">
        <v>260</v>
      </c>
      <c r="O40" s="5">
        <v>52.52</v>
      </c>
      <c r="P40">
        <v>3</v>
      </c>
      <c r="Q40">
        <v>1</v>
      </c>
      <c r="R40" s="5" t="s">
        <v>29</v>
      </c>
      <c r="S40" t="s">
        <v>84</v>
      </c>
      <c r="T40" s="5">
        <v>49.367088607594937</v>
      </c>
      <c r="U40">
        <v>9.9721518987341788</v>
      </c>
      <c r="V40">
        <v>0.569620253164557</v>
      </c>
      <c r="W40" s="5">
        <v>0.189873417721519</v>
      </c>
      <c r="X40" t="s">
        <v>31</v>
      </c>
      <c r="Y40" t="b">
        <f t="shared" si="0"/>
        <v>0</v>
      </c>
    </row>
    <row r="41" spans="1:25" x14ac:dyDescent="0.25">
      <c r="A41" t="s">
        <v>34</v>
      </c>
      <c r="B41" t="s">
        <v>119</v>
      </c>
      <c r="C41" s="1">
        <v>46271</v>
      </c>
      <c r="D41" s="5" t="s">
        <v>26</v>
      </c>
      <c r="E41" t="s">
        <v>120</v>
      </c>
      <c r="F41">
        <v>13.91</v>
      </c>
      <c r="I41">
        <v>0</v>
      </c>
      <c r="J41">
        <v>0</v>
      </c>
      <c r="K41">
        <v>13.91</v>
      </c>
      <c r="L41" t="s">
        <v>28</v>
      </c>
      <c r="M41" s="1">
        <v>46270</v>
      </c>
      <c r="N41" s="5">
        <v>65</v>
      </c>
      <c r="O41" s="5">
        <v>13.13</v>
      </c>
      <c r="P41">
        <v>1</v>
      </c>
      <c r="Q41">
        <v>1</v>
      </c>
      <c r="R41" s="5" t="s">
        <v>29</v>
      </c>
      <c r="S41" t="s">
        <v>30</v>
      </c>
      <c r="T41" s="5">
        <v>12.341772151898731</v>
      </c>
      <c r="U41">
        <v>2.4930379746835452</v>
      </c>
      <c r="V41">
        <v>0.189873417721519</v>
      </c>
      <c r="W41" s="5">
        <v>0.189873417721519</v>
      </c>
      <c r="X41" t="s">
        <v>31</v>
      </c>
      <c r="Y41" t="b">
        <f t="shared" si="0"/>
        <v>0</v>
      </c>
    </row>
    <row r="42" spans="1:25" x14ac:dyDescent="0.25">
      <c r="A42" t="s">
        <v>24</v>
      </c>
      <c r="B42" t="s">
        <v>121</v>
      </c>
      <c r="C42" s="1">
        <v>46271</v>
      </c>
      <c r="D42" s="5" t="s">
        <v>26</v>
      </c>
      <c r="E42" t="s">
        <v>122</v>
      </c>
      <c r="F42">
        <v>27.82</v>
      </c>
      <c r="I42">
        <v>0</v>
      </c>
      <c r="J42">
        <v>0</v>
      </c>
      <c r="K42">
        <v>27.82</v>
      </c>
      <c r="L42" t="s">
        <v>28</v>
      </c>
      <c r="M42" s="1">
        <v>46271</v>
      </c>
      <c r="N42" s="5">
        <v>820</v>
      </c>
      <c r="O42" s="5">
        <v>165.64</v>
      </c>
      <c r="P42">
        <v>11</v>
      </c>
      <c r="Q42">
        <v>1</v>
      </c>
      <c r="R42" s="5" t="s">
        <v>29</v>
      </c>
      <c r="S42" t="s">
        <v>84</v>
      </c>
      <c r="T42" s="5">
        <v>155.69620253164561</v>
      </c>
      <c r="U42">
        <v>31.450632911392411</v>
      </c>
      <c r="V42">
        <v>2.0886075949367089</v>
      </c>
      <c r="W42" s="5">
        <v>0.189873417721519</v>
      </c>
      <c r="X42" t="s">
        <v>31</v>
      </c>
      <c r="Y42">
        <f t="shared" si="0"/>
        <v>31.450632911392411</v>
      </c>
    </row>
    <row r="43" spans="1:25" x14ac:dyDescent="0.25">
      <c r="A43" t="s">
        <v>34</v>
      </c>
      <c r="B43" t="s">
        <v>123</v>
      </c>
      <c r="C43" s="1">
        <v>46271</v>
      </c>
      <c r="D43" s="5" t="s">
        <v>26</v>
      </c>
      <c r="E43" t="s">
        <v>124</v>
      </c>
      <c r="F43">
        <v>81.319999999999993</v>
      </c>
      <c r="I43">
        <v>0</v>
      </c>
      <c r="J43">
        <v>0</v>
      </c>
      <c r="K43">
        <v>81.319999999999993</v>
      </c>
      <c r="L43" t="s">
        <v>28</v>
      </c>
      <c r="M43" s="1">
        <v>46270</v>
      </c>
      <c r="N43" s="5">
        <v>3662</v>
      </c>
      <c r="O43" s="5">
        <v>726.41866400000004</v>
      </c>
      <c r="P43">
        <v>26</v>
      </c>
      <c r="Q43">
        <v>1</v>
      </c>
      <c r="R43" s="5" t="s">
        <v>29</v>
      </c>
      <c r="S43" t="s">
        <v>79</v>
      </c>
      <c r="T43" s="5">
        <v>695.31645569620252</v>
      </c>
      <c r="U43">
        <v>137.9275944303798</v>
      </c>
      <c r="V43">
        <v>4.9367088607594933</v>
      </c>
      <c r="W43" s="5">
        <v>0.189873417721519</v>
      </c>
      <c r="X43" t="s">
        <v>31</v>
      </c>
      <c r="Y43">
        <f t="shared" si="0"/>
        <v>137.9275944303798</v>
      </c>
    </row>
    <row r="44" spans="1:25" x14ac:dyDescent="0.25">
      <c r="A44" t="s">
        <v>125</v>
      </c>
      <c r="B44" t="s">
        <v>126</v>
      </c>
      <c r="C44" s="1">
        <v>46241</v>
      </c>
      <c r="D44" s="5" t="s">
        <v>26</v>
      </c>
      <c r="E44" t="s">
        <v>127</v>
      </c>
      <c r="F44">
        <v>13.91</v>
      </c>
      <c r="I44">
        <v>0</v>
      </c>
      <c r="J44">
        <v>0</v>
      </c>
      <c r="K44">
        <v>13.91</v>
      </c>
      <c r="L44" t="s">
        <v>28</v>
      </c>
      <c r="M44" s="1">
        <v>46241</v>
      </c>
      <c r="N44" s="5">
        <v>65</v>
      </c>
      <c r="O44" s="5">
        <v>13.13</v>
      </c>
      <c r="P44">
        <v>1</v>
      </c>
      <c r="Q44">
        <v>1</v>
      </c>
      <c r="R44" s="5" t="s">
        <v>29</v>
      </c>
      <c r="S44" t="s">
        <v>30</v>
      </c>
      <c r="T44" s="5">
        <v>12.341772151898731</v>
      </c>
      <c r="U44">
        <v>2.4930379746835452</v>
      </c>
      <c r="V44">
        <v>0.189873417721519</v>
      </c>
      <c r="W44" s="5">
        <v>0.189873417721519</v>
      </c>
      <c r="X44" t="s">
        <v>31</v>
      </c>
      <c r="Y44" t="b">
        <f t="shared" si="0"/>
        <v>0</v>
      </c>
    </row>
    <row r="45" spans="1:25" x14ac:dyDescent="0.25">
      <c r="A45" t="s">
        <v>24</v>
      </c>
      <c r="B45" t="s">
        <v>128</v>
      </c>
      <c r="C45" s="1">
        <v>46271</v>
      </c>
      <c r="D45" s="5" t="s">
        <v>26</v>
      </c>
      <c r="E45" t="s">
        <v>129</v>
      </c>
      <c r="F45">
        <v>13.91</v>
      </c>
      <c r="I45">
        <v>0</v>
      </c>
      <c r="J45">
        <v>0</v>
      </c>
      <c r="K45">
        <v>13.91</v>
      </c>
      <c r="L45" t="s">
        <v>28</v>
      </c>
      <c r="M45" s="1">
        <v>46271</v>
      </c>
      <c r="N45" s="5">
        <v>65</v>
      </c>
      <c r="O45" s="5">
        <v>13.13</v>
      </c>
      <c r="P45">
        <v>1</v>
      </c>
      <c r="Q45">
        <v>1</v>
      </c>
      <c r="R45" s="5" t="s">
        <v>29</v>
      </c>
      <c r="S45" t="s">
        <v>30</v>
      </c>
      <c r="T45" s="5">
        <v>12.341772151898731</v>
      </c>
      <c r="U45">
        <v>2.4930379746835452</v>
      </c>
      <c r="V45">
        <v>0.189873417721519</v>
      </c>
      <c r="W45" s="5">
        <v>0.189873417721519</v>
      </c>
      <c r="X45" t="s">
        <v>31</v>
      </c>
      <c r="Y45" t="b">
        <f t="shared" si="0"/>
        <v>0</v>
      </c>
    </row>
    <row r="46" spans="1:25" x14ac:dyDescent="0.25">
      <c r="A46" t="s">
        <v>39</v>
      </c>
      <c r="B46" t="s">
        <v>130</v>
      </c>
      <c r="C46" s="1">
        <v>46232</v>
      </c>
      <c r="D46" s="5" t="s">
        <v>26</v>
      </c>
      <c r="E46" t="s">
        <v>131</v>
      </c>
      <c r="F46">
        <v>13.91</v>
      </c>
      <c r="I46">
        <v>0</v>
      </c>
      <c r="J46">
        <v>0</v>
      </c>
      <c r="K46">
        <v>13.91</v>
      </c>
      <c r="L46" t="s">
        <v>28</v>
      </c>
      <c r="M46" s="1">
        <v>46228</v>
      </c>
      <c r="N46" s="5">
        <v>65</v>
      </c>
      <c r="O46" s="5">
        <v>13.13</v>
      </c>
      <c r="P46">
        <v>1</v>
      </c>
      <c r="Q46">
        <v>1</v>
      </c>
      <c r="R46" s="5" t="s">
        <v>29</v>
      </c>
      <c r="S46" t="s">
        <v>30</v>
      </c>
      <c r="T46" s="5">
        <v>12.341772151898731</v>
      </c>
      <c r="U46">
        <v>2.4930379746835452</v>
      </c>
      <c r="V46">
        <v>0.189873417721519</v>
      </c>
      <c r="W46" s="5">
        <v>0.189873417721519</v>
      </c>
      <c r="X46" t="s">
        <v>31</v>
      </c>
      <c r="Y46" t="b">
        <f t="shared" si="0"/>
        <v>0</v>
      </c>
    </row>
    <row r="47" spans="1:25" x14ac:dyDescent="0.25">
      <c r="A47" t="s">
        <v>24</v>
      </c>
      <c r="B47" t="s">
        <v>132</v>
      </c>
      <c r="C47" s="1">
        <v>46271</v>
      </c>
      <c r="D47" s="5" t="s">
        <v>26</v>
      </c>
      <c r="E47" t="s">
        <v>133</v>
      </c>
      <c r="F47">
        <v>13.91</v>
      </c>
      <c r="I47">
        <v>0</v>
      </c>
      <c r="J47">
        <v>0</v>
      </c>
      <c r="K47">
        <v>13.91</v>
      </c>
      <c r="L47" t="s">
        <v>28</v>
      </c>
      <c r="M47" s="1">
        <v>46271</v>
      </c>
      <c r="N47" s="5">
        <v>130</v>
      </c>
      <c r="O47" s="5">
        <v>26.26</v>
      </c>
      <c r="P47">
        <v>2</v>
      </c>
      <c r="Q47">
        <v>1</v>
      </c>
      <c r="R47" s="5" t="s">
        <v>29</v>
      </c>
      <c r="S47" t="s">
        <v>30</v>
      </c>
      <c r="T47" s="5">
        <v>24.683544303797468</v>
      </c>
      <c r="U47">
        <v>4.9860759493670894</v>
      </c>
      <c r="V47">
        <v>0.37974683544303789</v>
      </c>
      <c r="W47" s="5">
        <v>0.189873417721519</v>
      </c>
      <c r="X47" t="s">
        <v>44</v>
      </c>
      <c r="Y47" t="b">
        <f t="shared" si="0"/>
        <v>0</v>
      </c>
    </row>
    <row r="48" spans="1:25" x14ac:dyDescent="0.25">
      <c r="A48" t="s">
        <v>34</v>
      </c>
      <c r="B48" t="s">
        <v>134</v>
      </c>
      <c r="C48" s="1">
        <v>46271</v>
      </c>
      <c r="D48" s="5" t="s">
        <v>26</v>
      </c>
      <c r="E48" t="s">
        <v>133</v>
      </c>
      <c r="F48">
        <v>13.91</v>
      </c>
      <c r="I48">
        <v>0</v>
      </c>
      <c r="J48">
        <v>0</v>
      </c>
      <c r="K48">
        <v>13.91</v>
      </c>
      <c r="L48" t="s">
        <v>28</v>
      </c>
      <c r="M48" s="1">
        <v>46271</v>
      </c>
      <c r="N48" s="5">
        <v>130</v>
      </c>
      <c r="O48" s="5">
        <v>26.26</v>
      </c>
      <c r="P48">
        <v>2</v>
      </c>
      <c r="Q48">
        <v>1</v>
      </c>
      <c r="R48" s="5" t="s">
        <v>29</v>
      </c>
      <c r="S48" t="s">
        <v>30</v>
      </c>
      <c r="T48" s="5">
        <v>24.683544303797468</v>
      </c>
      <c r="U48">
        <v>4.9860759493670894</v>
      </c>
      <c r="V48">
        <v>0.37974683544303789</v>
      </c>
      <c r="W48" s="5">
        <v>0.189873417721519</v>
      </c>
      <c r="X48" t="s">
        <v>42</v>
      </c>
      <c r="Y48" t="b">
        <f t="shared" si="0"/>
        <v>0</v>
      </c>
    </row>
    <row r="49" spans="1:25" x14ac:dyDescent="0.25">
      <c r="A49" t="s">
        <v>24</v>
      </c>
      <c r="B49" t="s">
        <v>135</v>
      </c>
      <c r="C49" s="1">
        <v>46271</v>
      </c>
      <c r="D49" s="5" t="s">
        <v>26</v>
      </c>
      <c r="E49" t="s">
        <v>136</v>
      </c>
      <c r="F49">
        <v>27.82</v>
      </c>
      <c r="I49">
        <v>0</v>
      </c>
      <c r="J49">
        <v>0</v>
      </c>
      <c r="K49">
        <v>27.82</v>
      </c>
      <c r="L49" t="s">
        <v>28</v>
      </c>
      <c r="M49" s="1">
        <v>46271</v>
      </c>
      <c r="N49" s="5">
        <v>335</v>
      </c>
      <c r="O49" s="5">
        <v>67.67</v>
      </c>
      <c r="P49">
        <v>7</v>
      </c>
      <c r="Q49">
        <v>1</v>
      </c>
      <c r="R49" s="5" t="s">
        <v>29</v>
      </c>
      <c r="S49" t="s">
        <v>84</v>
      </c>
      <c r="T49" s="5">
        <v>63.607594936708857</v>
      </c>
      <c r="U49">
        <v>12.84873417721519</v>
      </c>
      <c r="V49">
        <v>1.3291139240506331</v>
      </c>
      <c r="W49" s="5">
        <v>0.189873417721519</v>
      </c>
      <c r="X49" t="s">
        <v>31</v>
      </c>
      <c r="Y49" t="b">
        <f t="shared" si="0"/>
        <v>0</v>
      </c>
    </row>
    <row r="50" spans="1:25" x14ac:dyDescent="0.25">
      <c r="A50" t="s">
        <v>137</v>
      </c>
      <c r="B50" t="s">
        <v>138</v>
      </c>
      <c r="C50" s="1">
        <v>46271</v>
      </c>
      <c r="D50" s="5" t="s">
        <v>26</v>
      </c>
      <c r="E50" t="s">
        <v>139</v>
      </c>
      <c r="F50">
        <v>55.64</v>
      </c>
      <c r="I50">
        <v>0</v>
      </c>
      <c r="J50">
        <v>0</v>
      </c>
      <c r="K50">
        <v>55.64</v>
      </c>
      <c r="L50" t="s">
        <v>28</v>
      </c>
      <c r="M50" s="1">
        <v>46271</v>
      </c>
      <c r="N50" s="5">
        <v>1460</v>
      </c>
      <c r="O50" s="5">
        <v>294.92</v>
      </c>
      <c r="P50">
        <v>16</v>
      </c>
      <c r="Q50">
        <v>2</v>
      </c>
      <c r="R50" s="5" t="s">
        <v>140</v>
      </c>
      <c r="S50" t="s">
        <v>100</v>
      </c>
      <c r="T50" s="5">
        <v>277.21518987341773</v>
      </c>
      <c r="U50">
        <v>55.997468354430382</v>
      </c>
      <c r="V50">
        <v>3.037974683544304</v>
      </c>
      <c r="W50" s="5">
        <v>0.37974683544303789</v>
      </c>
      <c r="X50" t="s">
        <v>31</v>
      </c>
      <c r="Y50">
        <f t="shared" si="0"/>
        <v>55.997468354430382</v>
      </c>
    </row>
    <row r="51" spans="1:25" x14ac:dyDescent="0.25">
      <c r="A51" t="s">
        <v>24</v>
      </c>
      <c r="B51" t="s">
        <v>141</v>
      </c>
      <c r="C51" s="1">
        <v>46271</v>
      </c>
      <c r="D51" s="5" t="s">
        <v>26</v>
      </c>
      <c r="E51" t="s">
        <v>142</v>
      </c>
      <c r="F51">
        <v>13.91</v>
      </c>
      <c r="I51">
        <v>0</v>
      </c>
      <c r="J51">
        <v>0</v>
      </c>
      <c r="K51">
        <v>13.91</v>
      </c>
      <c r="L51" t="s">
        <v>28</v>
      </c>
      <c r="M51" s="1">
        <v>46271</v>
      </c>
      <c r="N51" s="5">
        <v>130</v>
      </c>
      <c r="O51" s="5">
        <v>26.26</v>
      </c>
      <c r="P51">
        <v>2</v>
      </c>
      <c r="Q51">
        <v>1</v>
      </c>
      <c r="R51" s="5" t="s">
        <v>29</v>
      </c>
      <c r="S51" t="s">
        <v>30</v>
      </c>
      <c r="T51" s="5">
        <v>24.683544303797468</v>
      </c>
      <c r="U51">
        <v>4.9860759493670894</v>
      </c>
      <c r="V51">
        <v>0.37974683544303789</v>
      </c>
      <c r="W51" s="5">
        <v>0.189873417721519</v>
      </c>
      <c r="X51" t="s">
        <v>44</v>
      </c>
      <c r="Y51" t="b">
        <f t="shared" si="0"/>
        <v>0</v>
      </c>
    </row>
    <row r="52" spans="1:25" x14ac:dyDescent="0.25">
      <c r="A52" t="s">
        <v>34</v>
      </c>
      <c r="B52" t="s">
        <v>143</v>
      </c>
      <c r="C52" s="1">
        <v>46271</v>
      </c>
      <c r="D52" s="5" t="s">
        <v>26</v>
      </c>
      <c r="E52" t="s">
        <v>142</v>
      </c>
      <c r="F52">
        <v>13.91</v>
      </c>
      <c r="I52">
        <v>0</v>
      </c>
      <c r="J52">
        <v>0</v>
      </c>
      <c r="K52">
        <v>13.91</v>
      </c>
      <c r="L52" t="s">
        <v>28</v>
      </c>
      <c r="M52" s="1">
        <v>46271</v>
      </c>
      <c r="N52" s="5">
        <v>130</v>
      </c>
      <c r="O52" s="5">
        <v>26.26</v>
      </c>
      <c r="P52">
        <v>2</v>
      </c>
      <c r="Q52">
        <v>1</v>
      </c>
      <c r="R52" s="5" t="s">
        <v>29</v>
      </c>
      <c r="S52" t="s">
        <v>30</v>
      </c>
      <c r="T52" s="5">
        <v>24.683544303797468</v>
      </c>
      <c r="U52">
        <v>4.9860759493670894</v>
      </c>
      <c r="V52">
        <v>0.37974683544303789</v>
      </c>
      <c r="W52" s="5">
        <v>0.189873417721519</v>
      </c>
      <c r="X52" t="s">
        <v>42</v>
      </c>
      <c r="Y52" t="b">
        <f t="shared" si="0"/>
        <v>0</v>
      </c>
    </row>
    <row r="53" spans="1:25" x14ac:dyDescent="0.25">
      <c r="A53" t="s">
        <v>24</v>
      </c>
      <c r="B53" t="s">
        <v>144</v>
      </c>
      <c r="C53" s="1">
        <v>46271</v>
      </c>
      <c r="D53" s="5" t="s">
        <v>26</v>
      </c>
      <c r="E53" t="s">
        <v>145</v>
      </c>
      <c r="F53">
        <v>27.82</v>
      </c>
      <c r="I53">
        <v>0</v>
      </c>
      <c r="J53">
        <v>0</v>
      </c>
      <c r="K53">
        <v>27.82</v>
      </c>
      <c r="L53" t="s">
        <v>28</v>
      </c>
      <c r="M53" s="1">
        <v>46271</v>
      </c>
      <c r="N53" s="5">
        <v>225</v>
      </c>
      <c r="O53" s="5">
        <v>45.45</v>
      </c>
      <c r="P53">
        <v>5</v>
      </c>
      <c r="Q53">
        <v>1</v>
      </c>
      <c r="R53" s="5" t="s">
        <v>29</v>
      </c>
      <c r="S53" t="s">
        <v>84</v>
      </c>
      <c r="T53" s="5">
        <v>42.721518987341767</v>
      </c>
      <c r="U53">
        <v>8.6297468354430382</v>
      </c>
      <c r="V53">
        <v>0.949367088607595</v>
      </c>
      <c r="W53" s="5">
        <v>0.189873417721519</v>
      </c>
      <c r="X53" t="s">
        <v>31</v>
      </c>
      <c r="Y53" t="b">
        <f t="shared" si="0"/>
        <v>0</v>
      </c>
    </row>
    <row r="54" spans="1:25" x14ac:dyDescent="0.25">
      <c r="A54" t="s">
        <v>24</v>
      </c>
      <c r="B54" t="s">
        <v>146</v>
      </c>
      <c r="C54" s="1">
        <v>46271</v>
      </c>
      <c r="D54" s="5" t="s">
        <v>26</v>
      </c>
      <c r="E54" t="s">
        <v>147</v>
      </c>
      <c r="F54">
        <v>13.91</v>
      </c>
      <c r="I54">
        <v>0</v>
      </c>
      <c r="J54">
        <v>0</v>
      </c>
      <c r="K54">
        <v>13.91</v>
      </c>
      <c r="L54" t="s">
        <v>28</v>
      </c>
      <c r="M54" s="1">
        <v>46271</v>
      </c>
      <c r="N54" s="5">
        <v>65</v>
      </c>
      <c r="O54" s="5">
        <v>13.13</v>
      </c>
      <c r="P54">
        <v>1</v>
      </c>
      <c r="Q54">
        <v>1</v>
      </c>
      <c r="R54" s="5" t="s">
        <v>29</v>
      </c>
      <c r="S54" t="s">
        <v>30</v>
      </c>
      <c r="T54" s="5">
        <v>12.341772151898731</v>
      </c>
      <c r="U54">
        <v>2.4930379746835452</v>
      </c>
      <c r="V54">
        <v>0.189873417721519</v>
      </c>
      <c r="W54" s="5">
        <v>0.189873417721519</v>
      </c>
      <c r="X54" t="s">
        <v>31</v>
      </c>
      <c r="Y54" t="b">
        <f t="shared" si="0"/>
        <v>0</v>
      </c>
    </row>
    <row r="55" spans="1:25" x14ac:dyDescent="0.25">
      <c r="A55" t="s">
        <v>24</v>
      </c>
      <c r="B55" t="s">
        <v>148</v>
      </c>
      <c r="C55" s="1">
        <v>46271</v>
      </c>
      <c r="D55" s="5" t="s">
        <v>26</v>
      </c>
      <c r="E55" t="s">
        <v>149</v>
      </c>
      <c r="F55">
        <v>13.91</v>
      </c>
      <c r="I55">
        <v>0</v>
      </c>
      <c r="J55">
        <v>0</v>
      </c>
      <c r="K55">
        <v>13.91</v>
      </c>
      <c r="L55" t="s">
        <v>28</v>
      </c>
      <c r="M55" s="1">
        <v>46271</v>
      </c>
      <c r="N55" s="5">
        <v>65</v>
      </c>
      <c r="O55" s="5">
        <v>13.13</v>
      </c>
      <c r="P55">
        <v>1</v>
      </c>
      <c r="Q55">
        <v>1</v>
      </c>
      <c r="R55" s="5" t="s">
        <v>29</v>
      </c>
      <c r="S55" t="s">
        <v>30</v>
      </c>
      <c r="T55" s="5">
        <v>12.341772151898731</v>
      </c>
      <c r="U55">
        <v>2.4930379746835452</v>
      </c>
      <c r="V55">
        <v>0.189873417721519</v>
      </c>
      <c r="W55" s="5">
        <v>0.189873417721519</v>
      </c>
      <c r="X55" t="s">
        <v>31</v>
      </c>
      <c r="Y55" t="b">
        <f t="shared" si="0"/>
        <v>0</v>
      </c>
    </row>
    <row r="56" spans="1:25" x14ac:dyDescent="0.25">
      <c r="A56" t="s">
        <v>24</v>
      </c>
      <c r="B56" t="s">
        <v>150</v>
      </c>
      <c r="C56" s="1">
        <v>46271</v>
      </c>
      <c r="D56" s="5" t="s">
        <v>26</v>
      </c>
      <c r="E56" t="s">
        <v>151</v>
      </c>
      <c r="F56">
        <v>13.91</v>
      </c>
      <c r="I56">
        <v>0</v>
      </c>
      <c r="J56">
        <v>0</v>
      </c>
      <c r="K56">
        <v>13.91</v>
      </c>
      <c r="L56" t="s">
        <v>28</v>
      </c>
      <c r="M56" s="1">
        <v>46271</v>
      </c>
      <c r="N56" s="5">
        <v>165</v>
      </c>
      <c r="O56" s="5">
        <v>33.33</v>
      </c>
      <c r="P56">
        <v>2</v>
      </c>
      <c r="Q56">
        <v>1</v>
      </c>
      <c r="R56" s="5" t="s">
        <v>29</v>
      </c>
      <c r="S56" t="s">
        <v>30</v>
      </c>
      <c r="T56" s="5">
        <v>31.329113924050631</v>
      </c>
      <c r="U56">
        <v>6.3284810126582274</v>
      </c>
      <c r="V56">
        <v>0.37974683544303789</v>
      </c>
      <c r="W56" s="5">
        <v>0.189873417721519</v>
      </c>
      <c r="X56" t="s">
        <v>31</v>
      </c>
      <c r="Y56" t="b">
        <f t="shared" si="0"/>
        <v>0</v>
      </c>
    </row>
    <row r="57" spans="1:25" x14ac:dyDescent="0.25">
      <c r="A57" t="s">
        <v>24</v>
      </c>
      <c r="B57" t="s">
        <v>152</v>
      </c>
      <c r="C57" s="1">
        <v>46271</v>
      </c>
      <c r="D57" s="5" t="s">
        <v>26</v>
      </c>
      <c r="E57" t="s">
        <v>153</v>
      </c>
      <c r="F57">
        <v>13.91</v>
      </c>
      <c r="I57">
        <v>0</v>
      </c>
      <c r="J57">
        <v>0</v>
      </c>
      <c r="K57">
        <v>13.91</v>
      </c>
      <c r="L57" t="s">
        <v>28</v>
      </c>
      <c r="M57" s="1">
        <v>46271</v>
      </c>
      <c r="N57" s="5">
        <v>100</v>
      </c>
      <c r="O57" s="5">
        <v>20.2</v>
      </c>
      <c r="P57">
        <v>3</v>
      </c>
      <c r="Q57">
        <v>2</v>
      </c>
      <c r="R57" s="5" t="s">
        <v>154</v>
      </c>
      <c r="S57" t="s">
        <v>30</v>
      </c>
      <c r="T57" s="5">
        <v>18.9873417721519</v>
      </c>
      <c r="U57">
        <v>3.835443037974684</v>
      </c>
      <c r="V57">
        <v>0.569620253164557</v>
      </c>
      <c r="W57" s="5">
        <v>0.37974683544303789</v>
      </c>
      <c r="X57" t="s">
        <v>44</v>
      </c>
      <c r="Y57" t="b">
        <f t="shared" si="0"/>
        <v>0</v>
      </c>
    </row>
    <row r="58" spans="1:25" x14ac:dyDescent="0.25">
      <c r="A58" t="s">
        <v>155</v>
      </c>
      <c r="B58" t="s">
        <v>156</v>
      </c>
      <c r="C58" s="1">
        <v>46265</v>
      </c>
      <c r="D58" s="5" t="s">
        <v>26</v>
      </c>
      <c r="E58" t="s">
        <v>153</v>
      </c>
      <c r="F58">
        <v>13.91</v>
      </c>
      <c r="I58">
        <v>7</v>
      </c>
      <c r="J58">
        <v>0</v>
      </c>
      <c r="K58">
        <v>6.91</v>
      </c>
      <c r="L58" t="s">
        <v>28</v>
      </c>
      <c r="M58" s="1">
        <v>46271</v>
      </c>
      <c r="N58" s="5">
        <v>100</v>
      </c>
      <c r="O58" s="5">
        <v>20.2</v>
      </c>
      <c r="P58">
        <v>3</v>
      </c>
      <c r="Q58">
        <v>2</v>
      </c>
      <c r="R58" s="5" t="s">
        <v>154</v>
      </c>
      <c r="S58" t="s">
        <v>157</v>
      </c>
      <c r="T58" s="5">
        <v>18.9873417721519</v>
      </c>
      <c r="U58">
        <v>3.835443037974684</v>
      </c>
      <c r="V58">
        <v>0.569620253164557</v>
      </c>
      <c r="W58" s="5">
        <v>0.37974683544303789</v>
      </c>
      <c r="X58" t="s">
        <v>42</v>
      </c>
      <c r="Y58" t="b">
        <f t="shared" si="0"/>
        <v>0</v>
      </c>
    </row>
    <row r="59" spans="1:25" x14ac:dyDescent="0.25">
      <c r="A59" t="s">
        <v>39</v>
      </c>
      <c r="B59" t="s">
        <v>158</v>
      </c>
      <c r="C59" s="1">
        <v>46232</v>
      </c>
      <c r="D59" s="5" t="s">
        <v>26</v>
      </c>
      <c r="E59" t="s">
        <v>159</v>
      </c>
      <c r="F59">
        <v>13.91</v>
      </c>
      <c r="I59">
        <v>0</v>
      </c>
      <c r="J59">
        <v>0</v>
      </c>
      <c r="K59">
        <v>13.91</v>
      </c>
      <c r="L59" t="s">
        <v>28</v>
      </c>
      <c r="M59" s="1">
        <v>46228</v>
      </c>
      <c r="N59" s="5">
        <v>160</v>
      </c>
      <c r="O59" s="5">
        <v>32.32</v>
      </c>
      <c r="P59">
        <v>3</v>
      </c>
      <c r="Q59">
        <v>1</v>
      </c>
      <c r="R59" s="5" t="s">
        <v>29</v>
      </c>
      <c r="S59" t="s">
        <v>30</v>
      </c>
      <c r="T59" s="5">
        <v>30.37974683544304</v>
      </c>
      <c r="U59">
        <v>6.1367088607594944</v>
      </c>
      <c r="V59">
        <v>0.569620253164557</v>
      </c>
      <c r="W59" s="5">
        <v>0.189873417721519</v>
      </c>
      <c r="X59" t="s">
        <v>31</v>
      </c>
      <c r="Y59" t="b">
        <f t="shared" si="0"/>
        <v>0</v>
      </c>
    </row>
    <row r="60" spans="1:25" x14ac:dyDescent="0.25">
      <c r="A60" t="s">
        <v>34</v>
      </c>
      <c r="B60" t="s">
        <v>160</v>
      </c>
      <c r="C60" s="1">
        <v>46271</v>
      </c>
      <c r="D60" s="5" t="s">
        <v>26</v>
      </c>
      <c r="E60" t="s">
        <v>161</v>
      </c>
      <c r="F60">
        <v>13.91</v>
      </c>
      <c r="I60">
        <v>0</v>
      </c>
      <c r="J60">
        <v>0</v>
      </c>
      <c r="K60">
        <v>13.91</v>
      </c>
      <c r="L60" t="s">
        <v>28</v>
      </c>
      <c r="M60" s="1">
        <v>46270</v>
      </c>
      <c r="N60" s="5">
        <v>65</v>
      </c>
      <c r="O60" s="5">
        <v>13.13</v>
      </c>
      <c r="P60">
        <v>1</v>
      </c>
      <c r="Q60">
        <v>1</v>
      </c>
      <c r="R60" s="5" t="s">
        <v>29</v>
      </c>
      <c r="S60" t="s">
        <v>30</v>
      </c>
      <c r="T60" s="5">
        <v>12.341772151898731</v>
      </c>
      <c r="U60">
        <v>2.4930379746835452</v>
      </c>
      <c r="V60">
        <v>0.189873417721519</v>
      </c>
      <c r="W60" s="5">
        <v>0.189873417721519</v>
      </c>
      <c r="X60" t="s">
        <v>31</v>
      </c>
      <c r="Y60" t="b">
        <f t="shared" si="0"/>
        <v>0</v>
      </c>
    </row>
    <row r="61" spans="1:25" x14ac:dyDescent="0.25">
      <c r="A61" t="s">
        <v>24</v>
      </c>
      <c r="B61" t="s">
        <v>162</v>
      </c>
      <c r="C61" s="1">
        <v>46271</v>
      </c>
      <c r="D61" s="5" t="s">
        <v>26</v>
      </c>
      <c r="E61" t="s">
        <v>163</v>
      </c>
      <c r="F61">
        <v>55.64</v>
      </c>
      <c r="I61">
        <v>0</v>
      </c>
      <c r="J61">
        <v>0</v>
      </c>
      <c r="K61">
        <v>55.64</v>
      </c>
      <c r="L61" t="s">
        <v>28</v>
      </c>
      <c r="M61" s="1">
        <v>46271</v>
      </c>
      <c r="N61" s="5">
        <v>880</v>
      </c>
      <c r="O61" s="5">
        <v>177.76</v>
      </c>
      <c r="P61">
        <v>7</v>
      </c>
      <c r="Q61">
        <v>1</v>
      </c>
      <c r="R61" s="5" t="s">
        <v>29</v>
      </c>
      <c r="S61" t="s">
        <v>100</v>
      </c>
      <c r="T61" s="5">
        <v>167.08860759493669</v>
      </c>
      <c r="U61">
        <v>33.75189873417721</v>
      </c>
      <c r="V61">
        <v>1.3291139240506331</v>
      </c>
      <c r="W61" s="5">
        <v>0.189873417721519</v>
      </c>
      <c r="X61" t="s">
        <v>31</v>
      </c>
      <c r="Y61" t="b">
        <f t="shared" si="0"/>
        <v>0</v>
      </c>
    </row>
    <row r="62" spans="1:25" x14ac:dyDescent="0.25">
      <c r="A62" t="s">
        <v>34</v>
      </c>
      <c r="B62" t="s">
        <v>164</v>
      </c>
      <c r="C62" s="1">
        <v>46271</v>
      </c>
      <c r="D62" s="5" t="s">
        <v>26</v>
      </c>
      <c r="E62" t="s">
        <v>165</v>
      </c>
      <c r="F62">
        <v>27.82</v>
      </c>
      <c r="I62">
        <v>0</v>
      </c>
      <c r="J62">
        <v>0</v>
      </c>
      <c r="K62">
        <v>27.82</v>
      </c>
      <c r="L62" t="s">
        <v>28</v>
      </c>
      <c r="M62" s="1">
        <v>46270</v>
      </c>
      <c r="N62" s="5">
        <v>550</v>
      </c>
      <c r="O62" s="5">
        <v>111.1</v>
      </c>
      <c r="P62">
        <v>9</v>
      </c>
      <c r="Q62">
        <v>1</v>
      </c>
      <c r="R62" s="5" t="s">
        <v>29</v>
      </c>
      <c r="S62" t="s">
        <v>84</v>
      </c>
      <c r="T62" s="5">
        <v>104.4303797468354</v>
      </c>
      <c r="U62">
        <v>21.094936708860761</v>
      </c>
      <c r="V62">
        <v>1.7088607594936711</v>
      </c>
      <c r="W62" s="5">
        <v>0.189873417721519</v>
      </c>
      <c r="X62" t="s">
        <v>31</v>
      </c>
      <c r="Y62" t="b">
        <f t="shared" si="0"/>
        <v>0</v>
      </c>
    </row>
    <row r="63" spans="1:25" x14ac:dyDescent="0.25">
      <c r="A63" t="s">
        <v>34</v>
      </c>
      <c r="B63" t="s">
        <v>166</v>
      </c>
      <c r="C63" s="1">
        <v>46271</v>
      </c>
      <c r="D63" s="5" t="s">
        <v>26</v>
      </c>
      <c r="E63" t="s">
        <v>167</v>
      </c>
      <c r="F63">
        <v>27.82</v>
      </c>
      <c r="I63">
        <v>0</v>
      </c>
      <c r="J63">
        <v>0</v>
      </c>
      <c r="K63">
        <v>27.82</v>
      </c>
      <c r="L63" t="s">
        <v>28</v>
      </c>
      <c r="M63" s="1">
        <v>46270</v>
      </c>
      <c r="N63" s="5">
        <v>460</v>
      </c>
      <c r="O63" s="5">
        <v>92.92</v>
      </c>
      <c r="P63">
        <v>6</v>
      </c>
      <c r="Q63">
        <v>2</v>
      </c>
      <c r="R63" s="5" t="s">
        <v>140</v>
      </c>
      <c r="S63" t="s">
        <v>84</v>
      </c>
      <c r="T63" s="5">
        <v>87.341772151898738</v>
      </c>
      <c r="U63">
        <v>17.643037974683541</v>
      </c>
      <c r="V63">
        <v>1.139240506329114</v>
      </c>
      <c r="W63" s="5">
        <v>0.37974683544303789</v>
      </c>
      <c r="X63" t="s">
        <v>31</v>
      </c>
      <c r="Y63" t="b">
        <f t="shared" si="0"/>
        <v>0</v>
      </c>
    </row>
    <row r="64" spans="1:25" x14ac:dyDescent="0.25">
      <c r="A64" t="s">
        <v>137</v>
      </c>
      <c r="B64" t="s">
        <v>168</v>
      </c>
      <c r="C64" s="1">
        <v>46271</v>
      </c>
      <c r="D64" s="5" t="s">
        <v>26</v>
      </c>
      <c r="E64" t="s">
        <v>169</v>
      </c>
      <c r="F64">
        <v>13.91</v>
      </c>
      <c r="I64">
        <v>0</v>
      </c>
      <c r="J64">
        <v>0</v>
      </c>
      <c r="K64">
        <v>13.91</v>
      </c>
      <c r="L64" t="s">
        <v>28</v>
      </c>
      <c r="M64" s="1">
        <v>46271</v>
      </c>
      <c r="N64" s="5">
        <v>295</v>
      </c>
      <c r="O64" s="5">
        <v>59.59</v>
      </c>
      <c r="P64">
        <v>5</v>
      </c>
      <c r="Q64">
        <v>1</v>
      </c>
      <c r="R64" s="5" t="s">
        <v>29</v>
      </c>
      <c r="S64" t="s">
        <v>30</v>
      </c>
      <c r="T64" s="5">
        <v>56.0126582278481</v>
      </c>
      <c r="U64">
        <v>11.314556962025319</v>
      </c>
      <c r="V64">
        <v>0.949367088607595</v>
      </c>
      <c r="W64" s="5">
        <v>0.189873417721519</v>
      </c>
      <c r="X64" t="s">
        <v>31</v>
      </c>
      <c r="Y64" t="b">
        <f t="shared" si="0"/>
        <v>0</v>
      </c>
    </row>
    <row r="65" spans="1:25" x14ac:dyDescent="0.25">
      <c r="A65" t="s">
        <v>24</v>
      </c>
      <c r="B65" t="s">
        <v>170</v>
      </c>
      <c r="C65" s="1">
        <v>46271</v>
      </c>
      <c r="D65" s="5" t="s">
        <v>26</v>
      </c>
      <c r="E65" t="s">
        <v>171</v>
      </c>
      <c r="F65">
        <v>13.91</v>
      </c>
      <c r="I65">
        <v>0</v>
      </c>
      <c r="J65">
        <v>0</v>
      </c>
      <c r="K65">
        <v>13.91</v>
      </c>
      <c r="L65" t="s">
        <v>28</v>
      </c>
      <c r="M65" s="1">
        <v>46271</v>
      </c>
      <c r="N65" s="5">
        <v>65</v>
      </c>
      <c r="O65" s="5">
        <v>13.13</v>
      </c>
      <c r="P65">
        <v>1</v>
      </c>
      <c r="Q65">
        <v>1</v>
      </c>
      <c r="R65" s="5" t="s">
        <v>29</v>
      </c>
      <c r="S65" t="s">
        <v>30</v>
      </c>
      <c r="T65" s="5">
        <v>12.341772151898731</v>
      </c>
      <c r="U65">
        <v>2.4930379746835452</v>
      </c>
      <c r="V65">
        <v>0.189873417721519</v>
      </c>
      <c r="W65" s="5">
        <v>0.189873417721519</v>
      </c>
      <c r="X65" t="s">
        <v>31</v>
      </c>
      <c r="Y65" t="b">
        <f t="shared" si="0"/>
        <v>0</v>
      </c>
    </row>
    <row r="66" spans="1:25" x14ac:dyDescent="0.25">
      <c r="A66" t="s">
        <v>24</v>
      </c>
      <c r="B66" t="s">
        <v>172</v>
      </c>
      <c r="C66" s="1">
        <v>46271</v>
      </c>
      <c r="D66" s="5" t="s">
        <v>26</v>
      </c>
      <c r="E66" t="s">
        <v>173</v>
      </c>
      <c r="F66">
        <v>13.91</v>
      </c>
      <c r="I66">
        <v>0</v>
      </c>
      <c r="J66">
        <v>0</v>
      </c>
      <c r="K66">
        <v>13.91</v>
      </c>
      <c r="L66" t="s">
        <v>28</v>
      </c>
      <c r="M66" s="1">
        <v>46271</v>
      </c>
      <c r="N66" s="5">
        <v>65</v>
      </c>
      <c r="O66" s="5">
        <v>13.13</v>
      </c>
      <c r="P66">
        <v>1</v>
      </c>
      <c r="Q66">
        <v>1</v>
      </c>
      <c r="R66" s="5" t="s">
        <v>29</v>
      </c>
      <c r="S66" t="s">
        <v>30</v>
      </c>
      <c r="T66" s="5">
        <v>12.341772151898731</v>
      </c>
      <c r="U66">
        <v>2.4930379746835452</v>
      </c>
      <c r="V66">
        <v>0.189873417721519</v>
      </c>
      <c r="W66" s="5">
        <v>0.189873417721519</v>
      </c>
      <c r="X66" t="s">
        <v>31</v>
      </c>
      <c r="Y66" t="b">
        <f t="shared" si="0"/>
        <v>0</v>
      </c>
    </row>
    <row r="67" spans="1:25" x14ac:dyDescent="0.25">
      <c r="A67" t="s">
        <v>137</v>
      </c>
      <c r="B67" t="s">
        <v>174</v>
      </c>
      <c r="C67" s="1">
        <v>46271</v>
      </c>
      <c r="D67" s="5" t="s">
        <v>26</v>
      </c>
      <c r="E67" t="s">
        <v>175</v>
      </c>
      <c r="F67">
        <v>13.91</v>
      </c>
      <c r="I67">
        <v>0</v>
      </c>
      <c r="J67">
        <v>0</v>
      </c>
      <c r="K67">
        <v>13.91</v>
      </c>
      <c r="L67" t="s">
        <v>28</v>
      </c>
      <c r="M67" s="1">
        <v>46271</v>
      </c>
      <c r="N67" s="5">
        <v>65</v>
      </c>
      <c r="O67" s="5">
        <v>13.13</v>
      </c>
      <c r="P67">
        <v>1</v>
      </c>
      <c r="Q67">
        <v>1</v>
      </c>
      <c r="R67" s="5" t="s">
        <v>29</v>
      </c>
      <c r="S67" t="s">
        <v>30</v>
      </c>
      <c r="T67" s="5">
        <v>12.341772151898731</v>
      </c>
      <c r="U67">
        <v>2.4930379746835452</v>
      </c>
      <c r="V67">
        <v>0.189873417721519</v>
      </c>
      <c r="W67" s="5">
        <v>0.189873417721519</v>
      </c>
      <c r="X67" t="s">
        <v>31</v>
      </c>
      <c r="Y67" t="b">
        <f t="shared" ref="Y67:Y130" si="1">IF(U67&gt;K67, U67)</f>
        <v>0</v>
      </c>
    </row>
    <row r="68" spans="1:25" x14ac:dyDescent="0.25">
      <c r="A68" t="s">
        <v>137</v>
      </c>
      <c r="B68" t="s">
        <v>176</v>
      </c>
      <c r="C68" s="1">
        <v>46271</v>
      </c>
      <c r="D68" s="5" t="s">
        <v>26</v>
      </c>
      <c r="E68" t="s">
        <v>177</v>
      </c>
      <c r="F68">
        <v>13.91</v>
      </c>
      <c r="I68">
        <v>0</v>
      </c>
      <c r="J68">
        <v>0</v>
      </c>
      <c r="K68">
        <v>13.91</v>
      </c>
      <c r="L68" t="s">
        <v>28</v>
      </c>
      <c r="M68" s="1">
        <v>46271</v>
      </c>
      <c r="N68" s="5">
        <v>190</v>
      </c>
      <c r="O68" s="5">
        <v>38.380000000000003</v>
      </c>
      <c r="P68">
        <v>3</v>
      </c>
      <c r="Q68">
        <v>1</v>
      </c>
      <c r="R68" s="5" t="s">
        <v>29</v>
      </c>
      <c r="S68" t="s">
        <v>30</v>
      </c>
      <c r="T68" s="5">
        <v>36.075949367088597</v>
      </c>
      <c r="U68">
        <v>7.2873417721518994</v>
      </c>
      <c r="V68">
        <v>0.569620253164557</v>
      </c>
      <c r="W68" s="5">
        <v>0.189873417721519</v>
      </c>
      <c r="X68" t="s">
        <v>31</v>
      </c>
      <c r="Y68" t="b">
        <f t="shared" si="1"/>
        <v>0</v>
      </c>
    </row>
    <row r="69" spans="1:25" x14ac:dyDescent="0.25">
      <c r="A69" t="s">
        <v>137</v>
      </c>
      <c r="B69" t="s">
        <v>178</v>
      </c>
      <c r="C69" s="1">
        <v>46271</v>
      </c>
      <c r="D69" s="5" t="s">
        <v>26</v>
      </c>
      <c r="E69" t="s">
        <v>179</v>
      </c>
      <c r="F69">
        <v>27.82</v>
      </c>
      <c r="I69">
        <v>0</v>
      </c>
      <c r="J69">
        <v>0</v>
      </c>
      <c r="K69">
        <v>27.82</v>
      </c>
      <c r="L69" t="s">
        <v>28</v>
      </c>
      <c r="M69" s="1">
        <v>46271</v>
      </c>
      <c r="N69" s="5">
        <v>395</v>
      </c>
      <c r="O69" s="5">
        <v>79.790000000000006</v>
      </c>
      <c r="P69">
        <v>8</v>
      </c>
      <c r="Q69">
        <v>1</v>
      </c>
      <c r="R69" s="5" t="s">
        <v>29</v>
      </c>
      <c r="S69" t="s">
        <v>84</v>
      </c>
      <c r="T69" s="5">
        <v>75</v>
      </c>
      <c r="U69">
        <v>15.15</v>
      </c>
      <c r="V69">
        <v>1.518987341772152</v>
      </c>
      <c r="W69" s="5">
        <v>0.189873417721519</v>
      </c>
      <c r="X69" t="s">
        <v>31</v>
      </c>
      <c r="Y69" t="b">
        <f t="shared" si="1"/>
        <v>0</v>
      </c>
    </row>
    <row r="70" spans="1:25" x14ac:dyDescent="0.25">
      <c r="A70" t="s">
        <v>137</v>
      </c>
      <c r="B70" t="s">
        <v>180</v>
      </c>
      <c r="C70" s="1">
        <v>46271</v>
      </c>
      <c r="D70" s="5" t="s">
        <v>26</v>
      </c>
      <c r="E70" t="s">
        <v>181</v>
      </c>
      <c r="F70">
        <v>27.82</v>
      </c>
      <c r="I70">
        <v>0</v>
      </c>
      <c r="J70">
        <v>0</v>
      </c>
      <c r="K70">
        <v>27.82</v>
      </c>
      <c r="L70" t="s">
        <v>28</v>
      </c>
      <c r="M70" s="1">
        <v>46271</v>
      </c>
      <c r="N70" s="5">
        <v>830</v>
      </c>
      <c r="O70" s="5">
        <v>167.66</v>
      </c>
      <c r="P70">
        <v>6</v>
      </c>
      <c r="Q70">
        <v>1</v>
      </c>
      <c r="R70" s="5" t="s">
        <v>29</v>
      </c>
      <c r="S70" t="s">
        <v>84</v>
      </c>
      <c r="T70" s="5">
        <v>157.59493670886081</v>
      </c>
      <c r="U70">
        <v>31.834177215189879</v>
      </c>
      <c r="V70">
        <v>1.139240506329114</v>
      </c>
      <c r="W70" s="5">
        <v>0.189873417721519</v>
      </c>
      <c r="X70" t="s">
        <v>31</v>
      </c>
      <c r="Y70">
        <f t="shared" si="1"/>
        <v>31.834177215189879</v>
      </c>
    </row>
    <row r="71" spans="1:25" x14ac:dyDescent="0.25">
      <c r="A71" t="s">
        <v>24</v>
      </c>
      <c r="B71" t="s">
        <v>182</v>
      </c>
      <c r="C71" s="1">
        <v>46271</v>
      </c>
      <c r="D71" s="5" t="s">
        <v>26</v>
      </c>
      <c r="E71" t="s">
        <v>183</v>
      </c>
      <c r="F71">
        <v>55.64</v>
      </c>
      <c r="I71">
        <v>0</v>
      </c>
      <c r="J71">
        <v>0</v>
      </c>
      <c r="K71">
        <v>55.64</v>
      </c>
      <c r="L71" t="s">
        <v>28</v>
      </c>
      <c r="M71" s="1">
        <v>46271</v>
      </c>
      <c r="N71" s="5">
        <v>620</v>
      </c>
      <c r="O71" s="5">
        <v>125.24</v>
      </c>
      <c r="P71">
        <v>7</v>
      </c>
      <c r="Q71">
        <v>1</v>
      </c>
      <c r="R71" s="5" t="s">
        <v>29</v>
      </c>
      <c r="S71" t="s">
        <v>100</v>
      </c>
      <c r="T71" s="5">
        <v>117.7215189873418</v>
      </c>
      <c r="U71">
        <v>23.779746835443039</v>
      </c>
      <c r="V71">
        <v>1.3291139240506331</v>
      </c>
      <c r="W71" s="5">
        <v>0.189873417721519</v>
      </c>
      <c r="X71" t="s">
        <v>31</v>
      </c>
      <c r="Y71" t="b">
        <f t="shared" si="1"/>
        <v>0</v>
      </c>
    </row>
    <row r="72" spans="1:25" x14ac:dyDescent="0.25">
      <c r="A72" t="s">
        <v>137</v>
      </c>
      <c r="B72" t="s">
        <v>184</v>
      </c>
      <c r="C72" s="1">
        <v>46271</v>
      </c>
      <c r="D72" s="5" t="s">
        <v>26</v>
      </c>
      <c r="E72" t="s">
        <v>185</v>
      </c>
      <c r="F72">
        <v>13.91</v>
      </c>
      <c r="I72">
        <v>0</v>
      </c>
      <c r="J72">
        <v>0</v>
      </c>
      <c r="K72">
        <v>13.91</v>
      </c>
      <c r="L72" t="s">
        <v>28</v>
      </c>
      <c r="M72" s="1">
        <v>46271</v>
      </c>
      <c r="N72" s="5">
        <v>130</v>
      </c>
      <c r="O72" s="5">
        <v>26.26</v>
      </c>
      <c r="P72">
        <v>2</v>
      </c>
      <c r="Q72">
        <v>1</v>
      </c>
      <c r="R72" s="5" t="s">
        <v>29</v>
      </c>
      <c r="S72" t="s">
        <v>30</v>
      </c>
      <c r="T72" s="5">
        <v>24.683544303797468</v>
      </c>
      <c r="U72">
        <v>4.9860759493670894</v>
      </c>
      <c r="V72">
        <v>0.37974683544303789</v>
      </c>
      <c r="W72" s="5">
        <v>0.189873417721519</v>
      </c>
      <c r="X72" t="s">
        <v>31</v>
      </c>
      <c r="Y72" t="b">
        <f t="shared" si="1"/>
        <v>0</v>
      </c>
    </row>
    <row r="73" spans="1:25" x14ac:dyDescent="0.25">
      <c r="A73" t="s">
        <v>34</v>
      </c>
      <c r="B73" t="s">
        <v>186</v>
      </c>
      <c r="C73" s="1">
        <v>46271</v>
      </c>
      <c r="D73" s="5" t="s">
        <v>26</v>
      </c>
      <c r="E73" t="s">
        <v>187</v>
      </c>
      <c r="F73">
        <v>27.82</v>
      </c>
      <c r="I73">
        <v>0</v>
      </c>
      <c r="J73">
        <v>0</v>
      </c>
      <c r="K73">
        <v>27.82</v>
      </c>
      <c r="L73" t="s">
        <v>28</v>
      </c>
      <c r="M73" s="1">
        <v>46270</v>
      </c>
      <c r="N73" s="5">
        <v>195</v>
      </c>
      <c r="O73" s="5">
        <v>39.39</v>
      </c>
      <c r="P73">
        <v>3</v>
      </c>
      <c r="Q73">
        <v>1</v>
      </c>
      <c r="R73" s="5" t="s">
        <v>29</v>
      </c>
      <c r="S73" t="s">
        <v>84</v>
      </c>
      <c r="T73" s="5">
        <v>37.025316455696199</v>
      </c>
      <c r="U73">
        <v>7.4791139240506332</v>
      </c>
      <c r="V73">
        <v>0.569620253164557</v>
      </c>
      <c r="W73" s="5">
        <v>0.189873417721519</v>
      </c>
      <c r="X73" t="s">
        <v>31</v>
      </c>
      <c r="Y73" t="b">
        <f t="shared" si="1"/>
        <v>0</v>
      </c>
    </row>
    <row r="74" spans="1:25" x14ac:dyDescent="0.25">
      <c r="A74" t="s">
        <v>24</v>
      </c>
      <c r="B74" t="s">
        <v>188</v>
      </c>
      <c r="C74" s="1">
        <v>46271</v>
      </c>
      <c r="D74" s="5" t="s">
        <v>26</v>
      </c>
      <c r="E74" t="s">
        <v>189</v>
      </c>
      <c r="F74">
        <v>27.82</v>
      </c>
      <c r="I74">
        <v>0</v>
      </c>
      <c r="J74">
        <v>0</v>
      </c>
      <c r="K74">
        <v>27.82</v>
      </c>
      <c r="L74" t="s">
        <v>28</v>
      </c>
      <c r="M74" s="1">
        <v>46271</v>
      </c>
      <c r="N74" s="5">
        <v>320</v>
      </c>
      <c r="O74" s="5">
        <v>64.64</v>
      </c>
      <c r="P74">
        <v>4</v>
      </c>
      <c r="Q74">
        <v>2</v>
      </c>
      <c r="R74" s="5" t="s">
        <v>140</v>
      </c>
      <c r="S74" t="s">
        <v>84</v>
      </c>
      <c r="T74" s="5">
        <v>60.75949367088608</v>
      </c>
      <c r="U74">
        <v>12.273417721518991</v>
      </c>
      <c r="V74">
        <v>0.75949367088607589</v>
      </c>
      <c r="W74" s="5">
        <v>0.37974683544303789</v>
      </c>
      <c r="X74" t="s">
        <v>31</v>
      </c>
      <c r="Y74" t="b">
        <f t="shared" si="1"/>
        <v>0</v>
      </c>
    </row>
    <row r="75" spans="1:25" x14ac:dyDescent="0.25">
      <c r="A75" t="s">
        <v>34</v>
      </c>
      <c r="B75" t="s">
        <v>190</v>
      </c>
      <c r="C75" s="1">
        <v>46271</v>
      </c>
      <c r="D75" s="5" t="s">
        <v>26</v>
      </c>
      <c r="E75" t="s">
        <v>191</v>
      </c>
      <c r="F75">
        <v>13.91</v>
      </c>
      <c r="I75">
        <v>0</v>
      </c>
      <c r="J75">
        <v>0</v>
      </c>
      <c r="K75">
        <v>13.91</v>
      </c>
      <c r="L75" t="s">
        <v>28</v>
      </c>
      <c r="M75" s="1">
        <v>46270</v>
      </c>
      <c r="N75" s="5">
        <v>65</v>
      </c>
      <c r="O75" s="5">
        <v>13.13</v>
      </c>
      <c r="P75">
        <v>1</v>
      </c>
      <c r="Q75">
        <v>1</v>
      </c>
      <c r="R75" s="5" t="s">
        <v>29</v>
      </c>
      <c r="S75" t="s">
        <v>30</v>
      </c>
      <c r="T75" s="5">
        <v>12.341772151898731</v>
      </c>
      <c r="U75">
        <v>2.4930379746835452</v>
      </c>
      <c r="V75">
        <v>0.189873417721519</v>
      </c>
      <c r="W75" s="5">
        <v>0.189873417721519</v>
      </c>
      <c r="X75" t="s">
        <v>31</v>
      </c>
      <c r="Y75" t="b">
        <f t="shared" si="1"/>
        <v>0</v>
      </c>
    </row>
    <row r="76" spans="1:25" x14ac:dyDescent="0.25">
      <c r="A76" t="s">
        <v>24</v>
      </c>
      <c r="B76" t="s">
        <v>192</v>
      </c>
      <c r="C76" s="1">
        <v>46271</v>
      </c>
      <c r="D76" s="5" t="s">
        <v>26</v>
      </c>
      <c r="E76" t="s">
        <v>193</v>
      </c>
      <c r="F76">
        <v>27.82</v>
      </c>
      <c r="I76">
        <v>0</v>
      </c>
      <c r="J76">
        <v>0</v>
      </c>
      <c r="K76">
        <v>27.82</v>
      </c>
      <c r="L76" t="s">
        <v>28</v>
      </c>
      <c r="M76" s="1">
        <v>46271</v>
      </c>
      <c r="N76" s="5">
        <v>130</v>
      </c>
      <c r="O76" s="5">
        <v>26.26</v>
      </c>
      <c r="P76">
        <v>1</v>
      </c>
      <c r="Q76">
        <v>1</v>
      </c>
      <c r="R76" s="5" t="s">
        <v>29</v>
      </c>
      <c r="S76" t="s">
        <v>84</v>
      </c>
      <c r="T76" s="5">
        <v>24.683544303797468</v>
      </c>
      <c r="U76">
        <v>4.9860759493670894</v>
      </c>
      <c r="V76">
        <v>0.189873417721519</v>
      </c>
      <c r="W76" s="5">
        <v>0.189873417721519</v>
      </c>
      <c r="X76" t="s">
        <v>31</v>
      </c>
      <c r="Y76" t="b">
        <f t="shared" si="1"/>
        <v>0</v>
      </c>
    </row>
    <row r="77" spans="1:25" x14ac:dyDescent="0.25">
      <c r="A77" t="s">
        <v>194</v>
      </c>
      <c r="B77" t="s">
        <v>195</v>
      </c>
      <c r="C77" s="1">
        <v>46264</v>
      </c>
      <c r="D77" s="5" t="s">
        <v>26</v>
      </c>
      <c r="E77" t="s">
        <v>196</v>
      </c>
      <c r="F77">
        <v>27.82</v>
      </c>
      <c r="I77">
        <v>0</v>
      </c>
      <c r="J77">
        <v>0</v>
      </c>
      <c r="K77">
        <v>27.82</v>
      </c>
      <c r="L77" t="s">
        <v>28</v>
      </c>
      <c r="M77" s="1">
        <v>46264</v>
      </c>
      <c r="N77" s="5">
        <v>130</v>
      </c>
      <c r="O77" s="5">
        <v>26.26</v>
      </c>
      <c r="P77">
        <v>1</v>
      </c>
      <c r="Q77">
        <v>1</v>
      </c>
      <c r="R77" s="5" t="s">
        <v>29</v>
      </c>
      <c r="S77" t="s">
        <v>84</v>
      </c>
      <c r="T77" s="5">
        <v>24.683544303797468</v>
      </c>
      <c r="U77">
        <v>4.9860759493670894</v>
      </c>
      <c r="V77">
        <v>0.189873417721519</v>
      </c>
      <c r="W77" s="5">
        <v>0.189873417721519</v>
      </c>
      <c r="X77" t="s">
        <v>31</v>
      </c>
      <c r="Y77" t="b">
        <f t="shared" si="1"/>
        <v>0</v>
      </c>
    </row>
    <row r="78" spans="1:25" x14ac:dyDescent="0.25">
      <c r="A78" t="s">
        <v>197</v>
      </c>
      <c r="B78" t="s">
        <v>198</v>
      </c>
      <c r="C78" s="1">
        <v>46260</v>
      </c>
      <c r="D78" s="5" t="s">
        <v>26</v>
      </c>
      <c r="E78" t="s">
        <v>199</v>
      </c>
      <c r="F78">
        <v>147.66</v>
      </c>
      <c r="I78">
        <v>0</v>
      </c>
      <c r="J78">
        <v>0</v>
      </c>
      <c r="K78">
        <v>147.66</v>
      </c>
      <c r="L78" t="s">
        <v>28</v>
      </c>
      <c r="M78" s="1">
        <v>46259</v>
      </c>
      <c r="N78" s="5">
        <v>690</v>
      </c>
      <c r="O78" s="5">
        <v>139.38</v>
      </c>
      <c r="P78">
        <v>1</v>
      </c>
      <c r="Q78">
        <v>1</v>
      </c>
      <c r="R78" s="5" t="s">
        <v>29</v>
      </c>
      <c r="S78" t="s">
        <v>79</v>
      </c>
      <c r="T78" s="5">
        <v>131.01265822784811</v>
      </c>
      <c r="U78">
        <v>26.46455696202532</v>
      </c>
      <c r="V78">
        <v>0.189873417721519</v>
      </c>
      <c r="W78" s="5">
        <v>0.189873417721519</v>
      </c>
      <c r="X78" t="s">
        <v>31</v>
      </c>
      <c r="Y78" t="b">
        <f t="shared" si="1"/>
        <v>0</v>
      </c>
    </row>
    <row r="79" spans="1:25" x14ac:dyDescent="0.25">
      <c r="A79" t="s">
        <v>24</v>
      </c>
      <c r="B79" t="s">
        <v>200</v>
      </c>
      <c r="C79" s="1">
        <v>46271</v>
      </c>
      <c r="D79" s="5" t="s">
        <v>26</v>
      </c>
      <c r="E79" t="s">
        <v>201</v>
      </c>
      <c r="F79">
        <v>27.82</v>
      </c>
      <c r="I79">
        <v>0</v>
      </c>
      <c r="J79">
        <v>0</v>
      </c>
      <c r="K79">
        <v>27.82</v>
      </c>
      <c r="L79" t="s">
        <v>28</v>
      </c>
      <c r="M79" s="1">
        <v>46271</v>
      </c>
      <c r="N79" s="5">
        <v>240</v>
      </c>
      <c r="O79" s="5">
        <v>48.48</v>
      </c>
      <c r="P79">
        <v>2</v>
      </c>
      <c r="Q79">
        <v>1</v>
      </c>
      <c r="R79" s="5" t="s">
        <v>29</v>
      </c>
      <c r="S79" t="s">
        <v>84</v>
      </c>
      <c r="T79" s="5">
        <v>45.569620253164558</v>
      </c>
      <c r="U79">
        <v>9.2050632911392416</v>
      </c>
      <c r="V79">
        <v>0.37974683544303789</v>
      </c>
      <c r="W79" s="5">
        <v>0.189873417721519</v>
      </c>
      <c r="X79" t="s">
        <v>31</v>
      </c>
      <c r="Y79" t="b">
        <f t="shared" si="1"/>
        <v>0</v>
      </c>
    </row>
    <row r="80" spans="1:25" x14ac:dyDescent="0.25">
      <c r="A80" t="s">
        <v>197</v>
      </c>
      <c r="B80" t="s">
        <v>202</v>
      </c>
      <c r="C80" s="1">
        <v>46260</v>
      </c>
      <c r="D80" s="5" t="s">
        <v>26</v>
      </c>
      <c r="E80" t="s">
        <v>203</v>
      </c>
      <c r="F80">
        <v>27.82</v>
      </c>
      <c r="I80">
        <v>0</v>
      </c>
      <c r="J80">
        <v>0</v>
      </c>
      <c r="K80">
        <v>27.82</v>
      </c>
      <c r="L80" t="s">
        <v>28</v>
      </c>
      <c r="M80" s="1">
        <v>46259</v>
      </c>
      <c r="N80" s="5">
        <v>250</v>
      </c>
      <c r="O80" s="5">
        <v>50.5</v>
      </c>
      <c r="P80">
        <v>2</v>
      </c>
      <c r="Q80">
        <v>1</v>
      </c>
      <c r="R80" s="5" t="s">
        <v>29</v>
      </c>
      <c r="S80" t="s">
        <v>84</v>
      </c>
      <c r="T80" s="5">
        <v>47.468354430379748</v>
      </c>
      <c r="U80">
        <v>9.5886075949367076</v>
      </c>
      <c r="V80">
        <v>0.37974683544303789</v>
      </c>
      <c r="W80" s="5">
        <v>0.189873417721519</v>
      </c>
      <c r="X80" t="s">
        <v>31</v>
      </c>
      <c r="Y80" t="b">
        <f t="shared" si="1"/>
        <v>0</v>
      </c>
    </row>
    <row r="81" spans="1:25" x14ac:dyDescent="0.25">
      <c r="A81" t="s">
        <v>137</v>
      </c>
      <c r="B81" t="s">
        <v>204</v>
      </c>
      <c r="C81" s="1">
        <v>46271</v>
      </c>
      <c r="D81" s="5" t="s">
        <v>26</v>
      </c>
      <c r="E81" t="s">
        <v>205</v>
      </c>
      <c r="F81">
        <v>13.91</v>
      </c>
      <c r="I81">
        <v>0</v>
      </c>
      <c r="J81">
        <v>0</v>
      </c>
      <c r="K81">
        <v>13.91</v>
      </c>
      <c r="L81" t="s">
        <v>28</v>
      </c>
      <c r="M81" s="1">
        <v>46271</v>
      </c>
      <c r="N81" s="5">
        <v>130</v>
      </c>
      <c r="O81" s="5">
        <v>26.26</v>
      </c>
      <c r="P81">
        <v>2</v>
      </c>
      <c r="Q81">
        <v>1</v>
      </c>
      <c r="R81" s="5" t="s">
        <v>29</v>
      </c>
      <c r="S81" t="s">
        <v>30</v>
      </c>
      <c r="T81" s="5">
        <v>24.683544303797468</v>
      </c>
      <c r="U81">
        <v>4.9860759493670894</v>
      </c>
      <c r="V81">
        <v>0.37974683544303789</v>
      </c>
      <c r="W81" s="5">
        <v>0.189873417721519</v>
      </c>
      <c r="X81" t="s">
        <v>31</v>
      </c>
      <c r="Y81" t="b">
        <f t="shared" si="1"/>
        <v>0</v>
      </c>
    </row>
    <row r="82" spans="1:25" x14ac:dyDescent="0.25">
      <c r="A82" t="s">
        <v>24</v>
      </c>
      <c r="B82" t="s">
        <v>206</v>
      </c>
      <c r="C82" s="1">
        <v>46271</v>
      </c>
      <c r="D82" s="5" t="s">
        <v>26</v>
      </c>
      <c r="E82" t="s">
        <v>207</v>
      </c>
      <c r="F82">
        <v>27.82</v>
      </c>
      <c r="I82">
        <v>0</v>
      </c>
      <c r="J82">
        <v>0</v>
      </c>
      <c r="K82">
        <v>27.82</v>
      </c>
      <c r="L82" t="s">
        <v>28</v>
      </c>
      <c r="M82" s="1">
        <v>46271</v>
      </c>
      <c r="N82" s="5">
        <v>249</v>
      </c>
      <c r="O82" s="5">
        <v>50.298000000000002</v>
      </c>
      <c r="P82">
        <v>4</v>
      </c>
      <c r="Q82">
        <v>1</v>
      </c>
      <c r="R82" s="5" t="s">
        <v>29</v>
      </c>
      <c r="S82" t="s">
        <v>84</v>
      </c>
      <c r="T82" s="5">
        <v>47.278481012658233</v>
      </c>
      <c r="U82">
        <v>9.5502531645569615</v>
      </c>
      <c r="V82">
        <v>0.75949367088607589</v>
      </c>
      <c r="W82" s="5">
        <v>0.189873417721519</v>
      </c>
      <c r="X82" t="s">
        <v>31</v>
      </c>
      <c r="Y82" t="b">
        <f t="shared" si="1"/>
        <v>0</v>
      </c>
    </row>
    <row r="83" spans="1:25" x14ac:dyDescent="0.25">
      <c r="A83" t="s">
        <v>24</v>
      </c>
      <c r="B83" t="s">
        <v>208</v>
      </c>
      <c r="C83" s="1">
        <v>46271</v>
      </c>
      <c r="D83" s="5" t="s">
        <v>26</v>
      </c>
      <c r="E83" t="s">
        <v>209</v>
      </c>
      <c r="F83">
        <v>55.64</v>
      </c>
      <c r="I83">
        <v>0</v>
      </c>
      <c r="J83">
        <v>0</v>
      </c>
      <c r="K83">
        <v>55.64</v>
      </c>
      <c r="L83" t="s">
        <v>28</v>
      </c>
      <c r="M83" s="1">
        <v>46271</v>
      </c>
      <c r="N83" s="5">
        <v>970</v>
      </c>
      <c r="O83" s="5">
        <v>195.94</v>
      </c>
      <c r="P83">
        <v>11</v>
      </c>
      <c r="Q83">
        <v>1</v>
      </c>
      <c r="R83" s="5" t="s">
        <v>29</v>
      </c>
      <c r="S83" t="s">
        <v>100</v>
      </c>
      <c r="T83" s="5">
        <v>184.17721518987341</v>
      </c>
      <c r="U83">
        <v>37.203797468354431</v>
      </c>
      <c r="V83">
        <v>2.0886075949367089</v>
      </c>
      <c r="W83" s="5">
        <v>0.189873417721519</v>
      </c>
      <c r="X83" t="s">
        <v>31</v>
      </c>
      <c r="Y83" t="b">
        <f t="shared" si="1"/>
        <v>0</v>
      </c>
    </row>
    <row r="84" spans="1:25" x14ac:dyDescent="0.25">
      <c r="A84" t="s">
        <v>24</v>
      </c>
      <c r="B84" t="s">
        <v>210</v>
      </c>
      <c r="C84" s="1">
        <v>46271</v>
      </c>
      <c r="D84" s="5" t="s">
        <v>26</v>
      </c>
      <c r="E84" t="s">
        <v>211</v>
      </c>
      <c r="F84">
        <v>13.91</v>
      </c>
      <c r="I84">
        <v>0</v>
      </c>
      <c r="J84">
        <v>0</v>
      </c>
      <c r="K84">
        <v>13.91</v>
      </c>
      <c r="L84" t="s">
        <v>28</v>
      </c>
      <c r="M84" s="1">
        <v>46271</v>
      </c>
      <c r="N84" s="5">
        <v>65</v>
      </c>
      <c r="O84" s="5">
        <v>13.13</v>
      </c>
      <c r="P84">
        <v>1</v>
      </c>
      <c r="Q84">
        <v>1</v>
      </c>
      <c r="R84" s="5" t="s">
        <v>29</v>
      </c>
      <c r="S84" t="s">
        <v>30</v>
      </c>
      <c r="T84" s="5">
        <v>12.341772151898731</v>
      </c>
      <c r="U84">
        <v>2.4930379746835452</v>
      </c>
      <c r="V84">
        <v>0.189873417721519</v>
      </c>
      <c r="W84" s="5">
        <v>0.189873417721519</v>
      </c>
      <c r="X84" t="s">
        <v>31</v>
      </c>
      <c r="Y84" t="b">
        <f t="shared" si="1"/>
        <v>0</v>
      </c>
    </row>
    <row r="85" spans="1:25" x14ac:dyDescent="0.25">
      <c r="A85" t="s">
        <v>212</v>
      </c>
      <c r="B85" t="s">
        <v>213</v>
      </c>
      <c r="C85" s="1">
        <v>46258</v>
      </c>
      <c r="D85" s="5" t="s">
        <v>26</v>
      </c>
      <c r="E85" t="s">
        <v>214</v>
      </c>
      <c r="F85">
        <v>13.91</v>
      </c>
      <c r="I85">
        <v>0</v>
      </c>
      <c r="J85">
        <v>0</v>
      </c>
      <c r="K85">
        <v>13.91</v>
      </c>
      <c r="L85" t="s">
        <v>28</v>
      </c>
      <c r="M85" s="1">
        <v>46258</v>
      </c>
      <c r="N85" s="5">
        <v>65</v>
      </c>
      <c r="O85" s="5">
        <v>13.13</v>
      </c>
      <c r="P85">
        <v>1</v>
      </c>
      <c r="Q85">
        <v>1</v>
      </c>
      <c r="R85" s="5" t="s">
        <v>29</v>
      </c>
      <c r="S85" t="s">
        <v>30</v>
      </c>
      <c r="T85" s="5">
        <v>12.341772151898731</v>
      </c>
      <c r="U85">
        <v>2.4930379746835452</v>
      </c>
      <c r="V85">
        <v>0.189873417721519</v>
      </c>
      <c r="W85" s="5">
        <v>0.189873417721519</v>
      </c>
      <c r="X85" t="s">
        <v>31</v>
      </c>
      <c r="Y85" t="b">
        <f t="shared" si="1"/>
        <v>0</v>
      </c>
    </row>
    <row r="86" spans="1:25" x14ac:dyDescent="0.25">
      <c r="A86" t="s">
        <v>24</v>
      </c>
      <c r="B86" t="s">
        <v>215</v>
      </c>
      <c r="C86" s="1">
        <v>46271</v>
      </c>
      <c r="D86" s="5" t="s">
        <v>26</v>
      </c>
      <c r="E86" t="s">
        <v>216</v>
      </c>
      <c r="F86">
        <v>27.82</v>
      </c>
      <c r="I86">
        <v>0</v>
      </c>
      <c r="J86">
        <v>0</v>
      </c>
      <c r="K86">
        <v>27.82</v>
      </c>
      <c r="L86" t="s">
        <v>28</v>
      </c>
      <c r="M86" s="1">
        <v>46271</v>
      </c>
      <c r="N86" s="5">
        <v>264</v>
      </c>
      <c r="O86" s="5">
        <v>53.328000000000003</v>
      </c>
      <c r="P86">
        <v>4</v>
      </c>
      <c r="Q86">
        <v>1</v>
      </c>
      <c r="R86" s="5" t="s">
        <v>29</v>
      </c>
      <c r="S86" t="s">
        <v>84</v>
      </c>
      <c r="T86" s="5">
        <v>50.12658227848101</v>
      </c>
      <c r="U86">
        <v>10.12556962025316</v>
      </c>
      <c r="V86">
        <v>0.75949367088607589</v>
      </c>
      <c r="W86" s="5">
        <v>0.189873417721519</v>
      </c>
      <c r="X86" t="s">
        <v>31</v>
      </c>
      <c r="Y86" t="b">
        <f t="shared" si="1"/>
        <v>0</v>
      </c>
    </row>
    <row r="87" spans="1:25" x14ac:dyDescent="0.25">
      <c r="A87" t="s">
        <v>24</v>
      </c>
      <c r="B87" t="s">
        <v>217</v>
      </c>
      <c r="C87" s="1">
        <v>46271</v>
      </c>
      <c r="D87" s="5" t="s">
        <v>26</v>
      </c>
      <c r="E87" t="s">
        <v>218</v>
      </c>
      <c r="F87">
        <v>13.91</v>
      </c>
      <c r="I87">
        <v>0</v>
      </c>
      <c r="J87">
        <v>0</v>
      </c>
      <c r="K87">
        <v>13.91</v>
      </c>
      <c r="L87" t="s">
        <v>28</v>
      </c>
      <c r="M87" s="1">
        <v>46271</v>
      </c>
      <c r="N87" s="5">
        <v>65</v>
      </c>
      <c r="O87" s="5">
        <v>13.13</v>
      </c>
      <c r="P87">
        <v>1</v>
      </c>
      <c r="Q87">
        <v>1</v>
      </c>
      <c r="R87" s="5" t="s">
        <v>29</v>
      </c>
      <c r="S87" t="s">
        <v>30</v>
      </c>
      <c r="T87" s="5">
        <v>12.341772151898731</v>
      </c>
      <c r="U87">
        <v>2.4930379746835452</v>
      </c>
      <c r="V87">
        <v>0.189873417721519</v>
      </c>
      <c r="W87" s="5">
        <v>0.189873417721519</v>
      </c>
      <c r="X87" t="s">
        <v>31</v>
      </c>
      <c r="Y87" t="b">
        <f t="shared" si="1"/>
        <v>0</v>
      </c>
    </row>
    <row r="88" spans="1:25" x14ac:dyDescent="0.25">
      <c r="A88" t="s">
        <v>24</v>
      </c>
      <c r="B88" t="s">
        <v>219</v>
      </c>
      <c r="C88" s="1">
        <v>46271</v>
      </c>
      <c r="D88" s="5" t="s">
        <v>26</v>
      </c>
      <c r="E88" t="s">
        <v>220</v>
      </c>
      <c r="F88">
        <v>13.91</v>
      </c>
      <c r="I88">
        <v>0</v>
      </c>
      <c r="J88">
        <v>0</v>
      </c>
      <c r="K88">
        <v>13.91</v>
      </c>
      <c r="L88" t="s">
        <v>28</v>
      </c>
      <c r="M88" s="1">
        <v>46271</v>
      </c>
      <c r="N88" s="5">
        <v>65</v>
      </c>
      <c r="O88" s="5">
        <v>13.13</v>
      </c>
      <c r="P88">
        <v>1</v>
      </c>
      <c r="Q88">
        <v>1</v>
      </c>
      <c r="R88" s="5" t="s">
        <v>29</v>
      </c>
      <c r="S88" t="s">
        <v>30</v>
      </c>
      <c r="T88" s="5">
        <v>12.341772151898731</v>
      </c>
      <c r="U88">
        <v>2.4930379746835452</v>
      </c>
      <c r="V88">
        <v>0.189873417721519</v>
      </c>
      <c r="W88" s="5">
        <v>0.189873417721519</v>
      </c>
      <c r="X88" t="s">
        <v>31</v>
      </c>
      <c r="Y88" t="b">
        <f t="shared" si="1"/>
        <v>0</v>
      </c>
    </row>
    <row r="89" spans="1:25" x14ac:dyDescent="0.25">
      <c r="A89" t="s">
        <v>24</v>
      </c>
      <c r="B89" t="s">
        <v>221</v>
      </c>
      <c r="C89" s="1">
        <v>46271</v>
      </c>
      <c r="D89" s="5" t="s">
        <v>26</v>
      </c>
      <c r="E89" t="s">
        <v>222</v>
      </c>
      <c r="F89">
        <v>13.91</v>
      </c>
      <c r="I89">
        <v>0</v>
      </c>
      <c r="J89">
        <v>0</v>
      </c>
      <c r="K89">
        <v>13.91</v>
      </c>
      <c r="L89" t="s">
        <v>28</v>
      </c>
      <c r="M89" s="1">
        <v>46271</v>
      </c>
      <c r="N89" s="5">
        <v>65</v>
      </c>
      <c r="O89" s="5">
        <v>13.13</v>
      </c>
      <c r="P89">
        <v>1</v>
      </c>
      <c r="Q89">
        <v>1</v>
      </c>
      <c r="R89" s="5" t="s">
        <v>29</v>
      </c>
      <c r="S89" t="s">
        <v>30</v>
      </c>
      <c r="T89" s="5">
        <v>12.341772151898731</v>
      </c>
      <c r="U89">
        <v>2.4930379746835452</v>
      </c>
      <c r="V89">
        <v>0.189873417721519</v>
      </c>
      <c r="W89" s="5">
        <v>0.189873417721519</v>
      </c>
      <c r="X89" t="s">
        <v>31</v>
      </c>
      <c r="Y89" t="b">
        <f t="shared" si="1"/>
        <v>0</v>
      </c>
    </row>
    <row r="90" spans="1:25" x14ac:dyDescent="0.25">
      <c r="A90" t="s">
        <v>34</v>
      </c>
      <c r="B90" t="s">
        <v>223</v>
      </c>
      <c r="C90" s="1">
        <v>46271</v>
      </c>
      <c r="D90" s="5" t="s">
        <v>26</v>
      </c>
      <c r="E90" t="s">
        <v>224</v>
      </c>
      <c r="F90">
        <v>13.91</v>
      </c>
      <c r="I90">
        <v>0</v>
      </c>
      <c r="J90">
        <v>0</v>
      </c>
      <c r="K90">
        <v>13.91</v>
      </c>
      <c r="L90" t="s">
        <v>28</v>
      </c>
      <c r="M90" s="1">
        <v>46270</v>
      </c>
      <c r="N90" s="5">
        <v>195</v>
      </c>
      <c r="O90" s="5">
        <v>39.39</v>
      </c>
      <c r="P90">
        <v>3</v>
      </c>
      <c r="Q90">
        <v>1</v>
      </c>
      <c r="R90" s="5" t="s">
        <v>29</v>
      </c>
      <c r="S90" t="s">
        <v>30</v>
      </c>
      <c r="T90" s="5">
        <v>37.025316455696199</v>
      </c>
      <c r="U90">
        <v>7.4791139240506332</v>
      </c>
      <c r="V90">
        <v>0.569620253164557</v>
      </c>
      <c r="W90" s="5">
        <v>0.189873417721519</v>
      </c>
      <c r="X90" t="s">
        <v>31</v>
      </c>
      <c r="Y90" t="b">
        <f t="shared" si="1"/>
        <v>0</v>
      </c>
    </row>
    <row r="91" spans="1:25" x14ac:dyDescent="0.25">
      <c r="A91" t="s">
        <v>24</v>
      </c>
      <c r="B91" t="s">
        <v>225</v>
      </c>
      <c r="C91" s="1">
        <v>46271</v>
      </c>
      <c r="D91" s="5" t="s">
        <v>26</v>
      </c>
      <c r="E91" t="s">
        <v>226</v>
      </c>
      <c r="F91">
        <v>13.91</v>
      </c>
      <c r="I91">
        <v>0</v>
      </c>
      <c r="J91">
        <v>0</v>
      </c>
      <c r="K91">
        <v>13.91</v>
      </c>
      <c r="L91" t="s">
        <v>28</v>
      </c>
      <c r="M91" s="1">
        <v>46271</v>
      </c>
      <c r="N91" s="5">
        <v>65</v>
      </c>
      <c r="O91" s="5">
        <v>13.13</v>
      </c>
      <c r="P91">
        <v>1</v>
      </c>
      <c r="Q91">
        <v>1</v>
      </c>
      <c r="R91" s="5" t="s">
        <v>29</v>
      </c>
      <c r="S91" t="s">
        <v>30</v>
      </c>
      <c r="T91" s="5">
        <v>12.341772151898731</v>
      </c>
      <c r="U91">
        <v>2.4930379746835452</v>
      </c>
      <c r="V91">
        <v>0.189873417721519</v>
      </c>
      <c r="W91" s="5">
        <v>0.189873417721519</v>
      </c>
      <c r="X91" t="s">
        <v>31</v>
      </c>
      <c r="Y91" t="b">
        <f t="shared" si="1"/>
        <v>0</v>
      </c>
    </row>
    <row r="92" spans="1:25" x14ac:dyDescent="0.25">
      <c r="A92" t="s">
        <v>24</v>
      </c>
      <c r="B92" t="s">
        <v>227</v>
      </c>
      <c r="C92" s="1">
        <v>46271</v>
      </c>
      <c r="D92" s="5" t="s">
        <v>26</v>
      </c>
      <c r="E92" t="s">
        <v>228</v>
      </c>
      <c r="F92">
        <v>13.91</v>
      </c>
      <c r="I92">
        <v>0</v>
      </c>
      <c r="J92">
        <v>0</v>
      </c>
      <c r="K92">
        <v>13.91</v>
      </c>
      <c r="L92" t="s">
        <v>28</v>
      </c>
      <c r="M92" s="1">
        <v>46271</v>
      </c>
      <c r="N92" s="5">
        <v>190</v>
      </c>
      <c r="O92" s="5">
        <v>38.380000000000003</v>
      </c>
      <c r="P92">
        <v>4</v>
      </c>
      <c r="Q92">
        <v>1</v>
      </c>
      <c r="R92" s="5" t="s">
        <v>29</v>
      </c>
      <c r="S92" t="s">
        <v>30</v>
      </c>
      <c r="T92" s="5">
        <v>36.075949367088597</v>
      </c>
      <c r="U92">
        <v>7.2873417721518994</v>
      </c>
      <c r="V92">
        <v>0.75949367088607589</v>
      </c>
      <c r="W92" s="5">
        <v>0.189873417721519</v>
      </c>
      <c r="X92" t="s">
        <v>31</v>
      </c>
      <c r="Y92" t="b">
        <f t="shared" si="1"/>
        <v>0</v>
      </c>
    </row>
    <row r="93" spans="1:25" x14ac:dyDescent="0.25">
      <c r="A93" t="s">
        <v>24</v>
      </c>
      <c r="B93" t="s">
        <v>229</v>
      </c>
      <c r="C93" s="1">
        <v>46271</v>
      </c>
      <c r="D93" s="5" t="s">
        <v>26</v>
      </c>
      <c r="E93" t="s">
        <v>230</v>
      </c>
      <c r="F93">
        <v>13.91</v>
      </c>
      <c r="I93">
        <v>0</v>
      </c>
      <c r="J93">
        <v>0</v>
      </c>
      <c r="K93">
        <v>13.91</v>
      </c>
      <c r="L93" t="s">
        <v>28</v>
      </c>
      <c r="M93" s="1">
        <v>46271</v>
      </c>
      <c r="N93" s="5">
        <v>65</v>
      </c>
      <c r="O93" s="5">
        <v>13.13</v>
      </c>
      <c r="P93">
        <v>1</v>
      </c>
      <c r="Q93">
        <v>1</v>
      </c>
      <c r="R93" s="5" t="s">
        <v>29</v>
      </c>
      <c r="S93" t="s">
        <v>30</v>
      </c>
      <c r="T93" s="5">
        <v>12.341772151898731</v>
      </c>
      <c r="U93">
        <v>2.4930379746835452</v>
      </c>
      <c r="V93">
        <v>0.189873417721519</v>
      </c>
      <c r="W93" s="5">
        <v>0.189873417721519</v>
      </c>
      <c r="X93" t="s">
        <v>31</v>
      </c>
      <c r="Y93" t="b">
        <f t="shared" si="1"/>
        <v>0</v>
      </c>
    </row>
    <row r="94" spans="1:25" x14ac:dyDescent="0.25">
      <c r="A94" t="s">
        <v>24</v>
      </c>
      <c r="B94" t="s">
        <v>231</v>
      </c>
      <c r="C94" s="1">
        <v>46271</v>
      </c>
      <c r="D94" s="5" t="s">
        <v>26</v>
      </c>
      <c r="E94" t="s">
        <v>232</v>
      </c>
      <c r="F94">
        <v>13.91</v>
      </c>
      <c r="I94">
        <v>0</v>
      </c>
      <c r="J94">
        <v>0</v>
      </c>
      <c r="K94">
        <v>13.91</v>
      </c>
      <c r="L94" t="s">
        <v>28</v>
      </c>
      <c r="M94" s="1">
        <v>46271</v>
      </c>
      <c r="N94" s="5">
        <v>65</v>
      </c>
      <c r="O94" s="5">
        <v>13.13</v>
      </c>
      <c r="P94">
        <v>1</v>
      </c>
      <c r="Q94">
        <v>1</v>
      </c>
      <c r="R94" s="5" t="s">
        <v>29</v>
      </c>
      <c r="S94" t="s">
        <v>30</v>
      </c>
      <c r="T94" s="5">
        <v>12.341772151898731</v>
      </c>
      <c r="U94">
        <v>2.4930379746835452</v>
      </c>
      <c r="V94">
        <v>0.189873417721519</v>
      </c>
      <c r="W94" s="5">
        <v>0.189873417721519</v>
      </c>
      <c r="X94" t="s">
        <v>31</v>
      </c>
      <c r="Y94" t="b">
        <f t="shared" si="1"/>
        <v>0</v>
      </c>
    </row>
    <row r="95" spans="1:25" x14ac:dyDescent="0.25">
      <c r="A95" t="s">
        <v>24</v>
      </c>
      <c r="B95" t="s">
        <v>233</v>
      </c>
      <c r="C95" s="1">
        <v>46271</v>
      </c>
      <c r="D95" s="5" t="s">
        <v>26</v>
      </c>
      <c r="E95" t="s">
        <v>234</v>
      </c>
      <c r="F95">
        <v>13.91</v>
      </c>
      <c r="I95">
        <v>0</v>
      </c>
      <c r="J95">
        <v>0</v>
      </c>
      <c r="K95">
        <v>13.91</v>
      </c>
      <c r="L95" t="s">
        <v>28</v>
      </c>
      <c r="M95" s="1">
        <v>46271</v>
      </c>
      <c r="N95" s="5">
        <v>65</v>
      </c>
      <c r="O95" s="5">
        <v>13.13</v>
      </c>
      <c r="P95">
        <v>1</v>
      </c>
      <c r="Q95">
        <v>1</v>
      </c>
      <c r="R95" s="5" t="s">
        <v>29</v>
      </c>
      <c r="S95" t="s">
        <v>30</v>
      </c>
      <c r="T95" s="5">
        <v>12.341772151898731</v>
      </c>
      <c r="U95">
        <v>2.4930379746835452</v>
      </c>
      <c r="V95">
        <v>0.189873417721519</v>
      </c>
      <c r="W95" s="5">
        <v>0.189873417721519</v>
      </c>
      <c r="X95" t="s">
        <v>31</v>
      </c>
      <c r="Y95" t="b">
        <f t="shared" si="1"/>
        <v>0</v>
      </c>
    </row>
    <row r="96" spans="1:25" x14ac:dyDescent="0.25">
      <c r="A96" t="s">
        <v>24</v>
      </c>
      <c r="B96" t="s">
        <v>235</v>
      </c>
      <c r="C96" s="1">
        <v>46271</v>
      </c>
      <c r="D96" s="5" t="s">
        <v>26</v>
      </c>
      <c r="E96" t="s">
        <v>236</v>
      </c>
      <c r="F96">
        <v>13.91</v>
      </c>
      <c r="I96">
        <v>0</v>
      </c>
      <c r="J96">
        <v>0</v>
      </c>
      <c r="K96">
        <v>13.91</v>
      </c>
      <c r="L96" t="s">
        <v>28</v>
      </c>
      <c r="M96" s="1">
        <v>46271</v>
      </c>
      <c r="N96" s="5">
        <v>65</v>
      </c>
      <c r="O96" s="5">
        <v>13.13</v>
      </c>
      <c r="P96">
        <v>1</v>
      </c>
      <c r="Q96">
        <v>1</v>
      </c>
      <c r="R96" s="5" t="s">
        <v>29</v>
      </c>
      <c r="S96" t="s">
        <v>30</v>
      </c>
      <c r="T96" s="5">
        <v>12.341772151898731</v>
      </c>
      <c r="U96">
        <v>2.4930379746835452</v>
      </c>
      <c r="V96">
        <v>0.189873417721519</v>
      </c>
      <c r="W96" s="5">
        <v>0.189873417721519</v>
      </c>
      <c r="X96" t="s">
        <v>31</v>
      </c>
      <c r="Y96" t="b">
        <f t="shared" si="1"/>
        <v>0</v>
      </c>
    </row>
    <row r="97" spans="1:25" x14ac:dyDescent="0.25">
      <c r="A97" t="s">
        <v>24</v>
      </c>
      <c r="B97" t="s">
        <v>237</v>
      </c>
      <c r="C97" s="1">
        <v>46271</v>
      </c>
      <c r="D97" s="5" t="s">
        <v>26</v>
      </c>
      <c r="E97" t="s">
        <v>238</v>
      </c>
      <c r="F97">
        <v>13.91</v>
      </c>
      <c r="I97">
        <v>0</v>
      </c>
      <c r="J97">
        <v>0</v>
      </c>
      <c r="K97">
        <v>13.91</v>
      </c>
      <c r="L97" t="s">
        <v>28</v>
      </c>
      <c r="M97" s="1">
        <v>46271</v>
      </c>
      <c r="N97" s="5">
        <v>130</v>
      </c>
      <c r="O97" s="5">
        <v>26.26</v>
      </c>
      <c r="P97">
        <v>2</v>
      </c>
      <c r="Q97">
        <v>1</v>
      </c>
      <c r="R97" s="5" t="s">
        <v>29</v>
      </c>
      <c r="S97" t="s">
        <v>30</v>
      </c>
      <c r="T97" s="5">
        <v>24.683544303797468</v>
      </c>
      <c r="U97">
        <v>4.9860759493670894</v>
      </c>
      <c r="V97">
        <v>0.37974683544303789</v>
      </c>
      <c r="W97" s="5">
        <v>0.189873417721519</v>
      </c>
      <c r="X97" t="s">
        <v>31</v>
      </c>
      <c r="Y97" t="b">
        <f t="shared" si="1"/>
        <v>0</v>
      </c>
    </row>
    <row r="98" spans="1:25" x14ac:dyDescent="0.25">
      <c r="A98" t="s">
        <v>24</v>
      </c>
      <c r="B98" t="s">
        <v>239</v>
      </c>
      <c r="C98" s="1">
        <v>46271</v>
      </c>
      <c r="D98" s="5" t="s">
        <v>26</v>
      </c>
      <c r="E98" t="s">
        <v>240</v>
      </c>
      <c r="F98">
        <v>13.91</v>
      </c>
      <c r="I98">
        <v>0</v>
      </c>
      <c r="J98">
        <v>0</v>
      </c>
      <c r="K98">
        <v>13.91</v>
      </c>
      <c r="L98" t="s">
        <v>28</v>
      </c>
      <c r="M98" s="1">
        <v>46271</v>
      </c>
      <c r="N98" s="5">
        <v>250</v>
      </c>
      <c r="O98" s="5">
        <v>50.5</v>
      </c>
      <c r="P98">
        <v>5</v>
      </c>
      <c r="Q98">
        <v>1</v>
      </c>
      <c r="R98" s="5" t="s">
        <v>29</v>
      </c>
      <c r="S98" t="s">
        <v>30</v>
      </c>
      <c r="T98" s="5">
        <v>47.468354430379748</v>
      </c>
      <c r="U98">
        <v>9.5886075949367076</v>
      </c>
      <c r="V98">
        <v>0.949367088607595</v>
      </c>
      <c r="W98" s="5">
        <v>0.189873417721519</v>
      </c>
      <c r="X98" t="s">
        <v>31</v>
      </c>
      <c r="Y98" t="b">
        <f t="shared" si="1"/>
        <v>0</v>
      </c>
    </row>
    <row r="99" spans="1:25" x14ac:dyDescent="0.25">
      <c r="A99" t="s">
        <v>24</v>
      </c>
      <c r="B99" t="s">
        <v>241</v>
      </c>
      <c r="C99" s="1">
        <v>46271</v>
      </c>
      <c r="D99" s="5" t="s">
        <v>26</v>
      </c>
      <c r="E99" t="s">
        <v>242</v>
      </c>
      <c r="F99">
        <v>13.91</v>
      </c>
      <c r="I99">
        <v>0</v>
      </c>
      <c r="J99">
        <v>0</v>
      </c>
      <c r="K99">
        <v>13.91</v>
      </c>
      <c r="L99" t="s">
        <v>28</v>
      </c>
      <c r="M99" s="1">
        <v>46271</v>
      </c>
      <c r="N99" s="5">
        <v>65</v>
      </c>
      <c r="O99" s="5">
        <v>13.13</v>
      </c>
      <c r="P99">
        <v>1</v>
      </c>
      <c r="Q99">
        <v>1</v>
      </c>
      <c r="R99" s="5" t="s">
        <v>29</v>
      </c>
      <c r="S99" t="s">
        <v>30</v>
      </c>
      <c r="T99" s="5">
        <v>12.341772151898731</v>
      </c>
      <c r="U99">
        <v>2.4930379746835452</v>
      </c>
      <c r="V99">
        <v>0.189873417721519</v>
      </c>
      <c r="W99" s="5">
        <v>0.189873417721519</v>
      </c>
      <c r="X99" t="s">
        <v>31</v>
      </c>
      <c r="Y99" t="b">
        <f t="shared" si="1"/>
        <v>0</v>
      </c>
    </row>
    <row r="100" spans="1:25" x14ac:dyDescent="0.25">
      <c r="A100" t="s">
        <v>24</v>
      </c>
      <c r="B100" t="s">
        <v>243</v>
      </c>
      <c r="C100" s="1">
        <v>46271</v>
      </c>
      <c r="D100" s="5" t="s">
        <v>26</v>
      </c>
      <c r="E100" t="s">
        <v>244</v>
      </c>
      <c r="F100">
        <v>13.91</v>
      </c>
      <c r="I100">
        <v>0</v>
      </c>
      <c r="J100">
        <v>0</v>
      </c>
      <c r="K100">
        <v>13.91</v>
      </c>
      <c r="L100" t="s">
        <v>28</v>
      </c>
      <c r="M100" s="1">
        <v>46271</v>
      </c>
      <c r="N100" s="5">
        <v>65</v>
      </c>
      <c r="O100" s="5">
        <v>13.13</v>
      </c>
      <c r="P100">
        <v>1</v>
      </c>
      <c r="Q100">
        <v>1</v>
      </c>
      <c r="R100" s="5" t="s">
        <v>29</v>
      </c>
      <c r="S100" t="s">
        <v>30</v>
      </c>
      <c r="T100" s="5">
        <v>12.341772151898731</v>
      </c>
      <c r="U100">
        <v>2.4930379746835452</v>
      </c>
      <c r="V100">
        <v>0.189873417721519</v>
      </c>
      <c r="W100" s="5">
        <v>0.189873417721519</v>
      </c>
      <c r="X100" t="s">
        <v>31</v>
      </c>
      <c r="Y100" t="b">
        <f t="shared" si="1"/>
        <v>0</v>
      </c>
    </row>
    <row r="101" spans="1:25" x14ac:dyDescent="0.25">
      <c r="A101" t="s">
        <v>24</v>
      </c>
      <c r="B101" t="s">
        <v>245</v>
      </c>
      <c r="C101" s="1">
        <v>46271</v>
      </c>
      <c r="D101" s="5" t="s">
        <v>26</v>
      </c>
      <c r="E101" t="s">
        <v>246</v>
      </c>
      <c r="F101">
        <v>27.82</v>
      </c>
      <c r="I101">
        <v>0</v>
      </c>
      <c r="J101">
        <v>0</v>
      </c>
      <c r="K101">
        <v>27.82</v>
      </c>
      <c r="L101" t="s">
        <v>28</v>
      </c>
      <c r="M101" s="1">
        <v>46271</v>
      </c>
      <c r="N101" s="5">
        <v>380</v>
      </c>
      <c r="O101" s="5">
        <v>76.760000000000005</v>
      </c>
      <c r="P101">
        <v>5</v>
      </c>
      <c r="Q101">
        <v>1</v>
      </c>
      <c r="R101" s="5" t="s">
        <v>29</v>
      </c>
      <c r="S101" t="s">
        <v>84</v>
      </c>
      <c r="T101" s="5">
        <v>72.151898734177209</v>
      </c>
      <c r="U101">
        <v>14.574683544303801</v>
      </c>
      <c r="V101">
        <v>0.949367088607595</v>
      </c>
      <c r="W101" s="5">
        <v>0.189873417721519</v>
      </c>
      <c r="X101" t="s">
        <v>44</v>
      </c>
      <c r="Y101" t="b">
        <f t="shared" si="1"/>
        <v>0</v>
      </c>
    </row>
    <row r="102" spans="1:25" x14ac:dyDescent="0.25">
      <c r="A102" t="s">
        <v>34</v>
      </c>
      <c r="B102" t="s">
        <v>247</v>
      </c>
      <c r="C102" s="1">
        <v>46271</v>
      </c>
      <c r="D102" s="5" t="s">
        <v>26</v>
      </c>
      <c r="E102" t="s">
        <v>246</v>
      </c>
      <c r="F102">
        <v>13.91</v>
      </c>
      <c r="I102">
        <v>0</v>
      </c>
      <c r="J102">
        <v>0</v>
      </c>
      <c r="K102">
        <v>13.91</v>
      </c>
      <c r="L102" t="s">
        <v>28</v>
      </c>
      <c r="M102" s="1">
        <v>46271</v>
      </c>
      <c r="N102" s="5">
        <v>380</v>
      </c>
      <c r="O102" s="5">
        <v>76.760000000000005</v>
      </c>
      <c r="P102">
        <v>5</v>
      </c>
      <c r="Q102">
        <v>1</v>
      </c>
      <c r="R102" s="5" t="s">
        <v>29</v>
      </c>
      <c r="S102" t="s">
        <v>30</v>
      </c>
      <c r="T102" s="5">
        <v>72.151898734177209</v>
      </c>
      <c r="U102">
        <v>14.574683544303801</v>
      </c>
      <c r="V102">
        <v>0.949367088607595</v>
      </c>
      <c r="W102" s="5">
        <v>0.189873417721519</v>
      </c>
      <c r="X102" t="s">
        <v>42</v>
      </c>
      <c r="Y102">
        <f t="shared" si="1"/>
        <v>14.574683544303801</v>
      </c>
    </row>
    <row r="103" spans="1:25" x14ac:dyDescent="0.25">
      <c r="A103" t="s">
        <v>137</v>
      </c>
      <c r="B103" t="s">
        <v>248</v>
      </c>
      <c r="C103" s="1">
        <v>46271</v>
      </c>
      <c r="D103" s="5" t="s">
        <v>26</v>
      </c>
      <c r="E103" t="s">
        <v>249</v>
      </c>
      <c r="F103">
        <v>13.91</v>
      </c>
      <c r="I103">
        <v>0</v>
      </c>
      <c r="J103">
        <v>0</v>
      </c>
      <c r="K103">
        <v>13.91</v>
      </c>
      <c r="L103" t="s">
        <v>28</v>
      </c>
      <c r="M103" s="1">
        <v>46271</v>
      </c>
      <c r="N103" s="5">
        <v>195</v>
      </c>
      <c r="O103" s="5">
        <v>39.39</v>
      </c>
      <c r="P103">
        <v>3</v>
      </c>
      <c r="Q103">
        <v>1</v>
      </c>
      <c r="R103" s="5" t="s">
        <v>29</v>
      </c>
      <c r="S103" t="s">
        <v>30</v>
      </c>
      <c r="T103" s="5">
        <v>37.025316455696199</v>
      </c>
      <c r="U103">
        <v>7.4791139240506332</v>
      </c>
      <c r="V103">
        <v>0.569620253164557</v>
      </c>
      <c r="W103" s="5">
        <v>0.189873417721519</v>
      </c>
      <c r="X103" t="s">
        <v>31</v>
      </c>
      <c r="Y103" t="b">
        <f t="shared" si="1"/>
        <v>0</v>
      </c>
    </row>
    <row r="104" spans="1:25" x14ac:dyDescent="0.25">
      <c r="A104" t="s">
        <v>24</v>
      </c>
      <c r="B104" t="s">
        <v>250</v>
      </c>
      <c r="C104" s="1">
        <v>46271</v>
      </c>
      <c r="D104" s="5" t="s">
        <v>26</v>
      </c>
      <c r="E104" t="s">
        <v>251</v>
      </c>
      <c r="F104">
        <v>27.82</v>
      </c>
      <c r="I104">
        <v>0</v>
      </c>
      <c r="J104">
        <v>0</v>
      </c>
      <c r="K104">
        <v>27.82</v>
      </c>
      <c r="L104" t="s">
        <v>28</v>
      </c>
      <c r="M104" s="1">
        <v>46271</v>
      </c>
      <c r="N104" s="5">
        <v>380</v>
      </c>
      <c r="O104" s="5">
        <v>76.760000000000005</v>
      </c>
      <c r="P104">
        <v>8</v>
      </c>
      <c r="Q104">
        <v>1</v>
      </c>
      <c r="R104" s="5" t="s">
        <v>29</v>
      </c>
      <c r="S104" t="s">
        <v>84</v>
      </c>
      <c r="T104" s="5">
        <v>72.151898734177209</v>
      </c>
      <c r="U104">
        <v>14.574683544303801</v>
      </c>
      <c r="V104">
        <v>1.518987341772152</v>
      </c>
      <c r="W104" s="5">
        <v>0.189873417721519</v>
      </c>
      <c r="X104" t="s">
        <v>31</v>
      </c>
      <c r="Y104" t="b">
        <f t="shared" si="1"/>
        <v>0</v>
      </c>
    </row>
    <row r="105" spans="1:25" x14ac:dyDescent="0.25">
      <c r="A105" t="s">
        <v>34</v>
      </c>
      <c r="B105" t="s">
        <v>252</v>
      </c>
      <c r="C105" s="1">
        <v>46271</v>
      </c>
      <c r="D105" s="5" t="s">
        <v>26</v>
      </c>
      <c r="E105" t="s">
        <v>253</v>
      </c>
      <c r="F105">
        <v>13.91</v>
      </c>
      <c r="I105">
        <v>0</v>
      </c>
      <c r="J105">
        <v>0</v>
      </c>
      <c r="K105">
        <v>13.91</v>
      </c>
      <c r="L105" t="s">
        <v>28</v>
      </c>
      <c r="M105" s="1">
        <v>46270</v>
      </c>
      <c r="N105" s="5">
        <v>185</v>
      </c>
      <c r="O105" s="5">
        <v>37.369999999999997</v>
      </c>
      <c r="P105">
        <v>3</v>
      </c>
      <c r="Q105">
        <v>1</v>
      </c>
      <c r="R105" s="5" t="s">
        <v>29</v>
      </c>
      <c r="S105" t="s">
        <v>30</v>
      </c>
      <c r="T105" s="5">
        <v>35.12658227848101</v>
      </c>
      <c r="U105">
        <v>7.0955696202531637</v>
      </c>
      <c r="V105">
        <v>0.569620253164557</v>
      </c>
      <c r="W105" s="5">
        <v>0.189873417721519</v>
      </c>
      <c r="X105" t="s">
        <v>31</v>
      </c>
      <c r="Y105" t="b">
        <f t="shared" si="1"/>
        <v>0</v>
      </c>
    </row>
    <row r="106" spans="1:25" x14ac:dyDescent="0.25">
      <c r="A106" t="s">
        <v>24</v>
      </c>
      <c r="B106" t="s">
        <v>254</v>
      </c>
      <c r="C106" s="1">
        <v>46271</v>
      </c>
      <c r="D106" s="5" t="s">
        <v>26</v>
      </c>
      <c r="E106" t="s">
        <v>255</v>
      </c>
      <c r="F106">
        <v>13.91</v>
      </c>
      <c r="I106">
        <v>0</v>
      </c>
      <c r="J106">
        <v>0</v>
      </c>
      <c r="K106">
        <v>13.91</v>
      </c>
      <c r="L106" t="s">
        <v>28</v>
      </c>
      <c r="M106" s="1">
        <v>46271</v>
      </c>
      <c r="N106" s="5">
        <v>65</v>
      </c>
      <c r="O106" s="5">
        <v>13.13</v>
      </c>
      <c r="P106">
        <v>1</v>
      </c>
      <c r="Q106">
        <v>1</v>
      </c>
      <c r="R106" s="5" t="s">
        <v>29</v>
      </c>
      <c r="S106" t="s">
        <v>30</v>
      </c>
      <c r="T106" s="5">
        <v>12.341772151898731</v>
      </c>
      <c r="U106">
        <v>2.4930379746835452</v>
      </c>
      <c r="V106">
        <v>0.189873417721519</v>
      </c>
      <c r="W106" s="5">
        <v>0.189873417721519</v>
      </c>
      <c r="X106" t="s">
        <v>31</v>
      </c>
      <c r="Y106" t="b">
        <f t="shared" si="1"/>
        <v>0</v>
      </c>
    </row>
    <row r="107" spans="1:25" x14ac:dyDescent="0.25">
      <c r="A107" t="s">
        <v>24</v>
      </c>
      <c r="B107" t="s">
        <v>256</v>
      </c>
      <c r="C107" s="1">
        <v>46271</v>
      </c>
      <c r="D107" s="5" t="s">
        <v>26</v>
      </c>
      <c r="E107" t="s">
        <v>257</v>
      </c>
      <c r="F107">
        <v>13.91</v>
      </c>
      <c r="I107">
        <v>0</v>
      </c>
      <c r="J107">
        <v>0</v>
      </c>
      <c r="K107">
        <v>13.91</v>
      </c>
      <c r="L107" t="s">
        <v>28</v>
      </c>
      <c r="M107" s="1">
        <v>46271</v>
      </c>
      <c r="N107" s="5">
        <v>125</v>
      </c>
      <c r="O107" s="5">
        <v>25.25</v>
      </c>
      <c r="P107">
        <v>2</v>
      </c>
      <c r="Q107">
        <v>1</v>
      </c>
      <c r="R107" s="5" t="s">
        <v>29</v>
      </c>
      <c r="S107" t="s">
        <v>30</v>
      </c>
      <c r="T107" s="5">
        <v>23.73417721518987</v>
      </c>
      <c r="U107">
        <v>4.7943037974683538</v>
      </c>
      <c r="V107">
        <v>0.37974683544303789</v>
      </c>
      <c r="W107" s="5">
        <v>0.189873417721519</v>
      </c>
      <c r="X107" t="s">
        <v>31</v>
      </c>
      <c r="Y107" t="b">
        <f t="shared" si="1"/>
        <v>0</v>
      </c>
    </row>
    <row r="108" spans="1:25" x14ac:dyDescent="0.25">
      <c r="A108" t="s">
        <v>24</v>
      </c>
      <c r="B108" t="s">
        <v>258</v>
      </c>
      <c r="C108" s="1">
        <v>46271</v>
      </c>
      <c r="D108" s="5" t="s">
        <v>26</v>
      </c>
      <c r="E108" t="s">
        <v>259</v>
      </c>
      <c r="F108">
        <v>13.91</v>
      </c>
      <c r="I108">
        <v>0</v>
      </c>
      <c r="J108">
        <v>0</v>
      </c>
      <c r="K108">
        <v>13.91</v>
      </c>
      <c r="L108" t="s">
        <v>28</v>
      </c>
      <c r="M108" s="1">
        <v>46271</v>
      </c>
      <c r="N108" s="5">
        <v>65</v>
      </c>
      <c r="O108" s="5">
        <v>13.13</v>
      </c>
      <c r="P108">
        <v>1</v>
      </c>
      <c r="Q108">
        <v>1</v>
      </c>
      <c r="R108" s="5" t="s">
        <v>29</v>
      </c>
      <c r="S108" t="s">
        <v>30</v>
      </c>
      <c r="T108" s="5">
        <v>12.341772151898731</v>
      </c>
      <c r="U108">
        <v>2.4930379746835452</v>
      </c>
      <c r="V108">
        <v>0.189873417721519</v>
      </c>
      <c r="W108" s="5">
        <v>0.189873417721519</v>
      </c>
      <c r="X108" t="s">
        <v>31</v>
      </c>
      <c r="Y108" t="b">
        <f t="shared" si="1"/>
        <v>0</v>
      </c>
    </row>
    <row r="109" spans="1:25" x14ac:dyDescent="0.25">
      <c r="A109" t="s">
        <v>24</v>
      </c>
      <c r="B109" t="s">
        <v>260</v>
      </c>
      <c r="C109" s="1">
        <v>46271</v>
      </c>
      <c r="D109" s="5" t="s">
        <v>26</v>
      </c>
      <c r="E109" t="s">
        <v>261</v>
      </c>
      <c r="F109">
        <v>13.91</v>
      </c>
      <c r="I109">
        <v>0</v>
      </c>
      <c r="J109">
        <v>0</v>
      </c>
      <c r="K109">
        <v>13.91</v>
      </c>
      <c r="L109" t="s">
        <v>28</v>
      </c>
      <c r="M109" s="1">
        <v>46271</v>
      </c>
      <c r="N109" s="5">
        <v>155</v>
      </c>
      <c r="O109" s="5">
        <v>31.31</v>
      </c>
      <c r="P109">
        <v>2</v>
      </c>
      <c r="Q109">
        <v>1</v>
      </c>
      <c r="R109" s="5" t="s">
        <v>29</v>
      </c>
      <c r="S109" t="s">
        <v>30</v>
      </c>
      <c r="T109" s="5">
        <v>29.430379746835438</v>
      </c>
      <c r="U109">
        <v>5.9449367088607614</v>
      </c>
      <c r="V109">
        <v>0.37974683544303789</v>
      </c>
      <c r="W109" s="5">
        <v>0.189873417721519</v>
      </c>
      <c r="X109" t="s">
        <v>31</v>
      </c>
      <c r="Y109" t="b">
        <f t="shared" si="1"/>
        <v>0</v>
      </c>
    </row>
    <row r="110" spans="1:25" x14ac:dyDescent="0.25">
      <c r="A110" t="s">
        <v>24</v>
      </c>
      <c r="B110" t="s">
        <v>262</v>
      </c>
      <c r="C110" s="1">
        <v>46271</v>
      </c>
      <c r="D110" s="5" t="s">
        <v>26</v>
      </c>
      <c r="E110" t="s">
        <v>263</v>
      </c>
      <c r="F110">
        <v>27.82</v>
      </c>
      <c r="I110">
        <v>0</v>
      </c>
      <c r="J110">
        <v>0</v>
      </c>
      <c r="K110">
        <v>27.82</v>
      </c>
      <c r="L110" t="s">
        <v>28</v>
      </c>
      <c r="M110" s="1">
        <v>46271</v>
      </c>
      <c r="N110" s="5">
        <v>250</v>
      </c>
      <c r="O110" s="5">
        <v>50.5</v>
      </c>
      <c r="P110">
        <v>2</v>
      </c>
      <c r="Q110">
        <v>1</v>
      </c>
      <c r="R110" s="5" t="s">
        <v>29</v>
      </c>
      <c r="S110" t="s">
        <v>84</v>
      </c>
      <c r="T110" s="5">
        <v>47.468354430379748</v>
      </c>
      <c r="U110">
        <v>9.5886075949367076</v>
      </c>
      <c r="V110">
        <v>0.37974683544303789</v>
      </c>
      <c r="W110" s="5">
        <v>0.189873417721519</v>
      </c>
      <c r="X110" t="s">
        <v>31</v>
      </c>
      <c r="Y110" t="b">
        <f t="shared" si="1"/>
        <v>0</v>
      </c>
    </row>
    <row r="111" spans="1:25" x14ac:dyDescent="0.25">
      <c r="A111" t="s">
        <v>137</v>
      </c>
      <c r="B111" t="s">
        <v>264</v>
      </c>
      <c r="C111" s="1">
        <v>46271</v>
      </c>
      <c r="D111" s="5" t="s">
        <v>26</v>
      </c>
      <c r="E111" t="s">
        <v>265</v>
      </c>
      <c r="F111">
        <v>13.91</v>
      </c>
      <c r="I111">
        <v>0</v>
      </c>
      <c r="J111">
        <v>0</v>
      </c>
      <c r="K111">
        <v>13.91</v>
      </c>
      <c r="L111" t="s">
        <v>28</v>
      </c>
      <c r="M111" s="1">
        <v>46271</v>
      </c>
      <c r="N111" s="5">
        <v>2135</v>
      </c>
      <c r="O111" s="5">
        <v>431.27</v>
      </c>
      <c r="P111">
        <v>16</v>
      </c>
      <c r="Q111">
        <v>4</v>
      </c>
      <c r="R111" s="5" t="s">
        <v>266</v>
      </c>
      <c r="S111" t="s">
        <v>30</v>
      </c>
      <c r="T111" s="5">
        <v>405.37974683544297</v>
      </c>
      <c r="U111">
        <v>81.886708860759498</v>
      </c>
      <c r="V111">
        <v>3.037974683544304</v>
      </c>
      <c r="W111" s="5">
        <v>0.75949367088607589</v>
      </c>
      <c r="X111" t="s">
        <v>31</v>
      </c>
      <c r="Y111">
        <f t="shared" si="1"/>
        <v>81.886708860759498</v>
      </c>
    </row>
    <row r="112" spans="1:25" x14ac:dyDescent="0.25">
      <c r="A112" t="s">
        <v>24</v>
      </c>
      <c r="B112" t="s">
        <v>267</v>
      </c>
      <c r="C112" s="1">
        <v>46271</v>
      </c>
      <c r="D112" s="5" t="s">
        <v>26</v>
      </c>
      <c r="E112" t="s">
        <v>268</v>
      </c>
      <c r="F112">
        <v>13.91</v>
      </c>
      <c r="I112">
        <v>0</v>
      </c>
      <c r="J112">
        <v>0</v>
      </c>
      <c r="K112">
        <v>13.91</v>
      </c>
      <c r="L112" t="s">
        <v>28</v>
      </c>
      <c r="M112" s="1">
        <v>46271</v>
      </c>
      <c r="N112" s="5">
        <v>65</v>
      </c>
      <c r="O112" s="5">
        <v>13.13</v>
      </c>
      <c r="P112">
        <v>1</v>
      </c>
      <c r="Q112">
        <v>1</v>
      </c>
      <c r="R112" s="5" t="s">
        <v>29</v>
      </c>
      <c r="S112" t="s">
        <v>30</v>
      </c>
      <c r="T112" s="5">
        <v>12.341772151898731</v>
      </c>
      <c r="U112">
        <v>2.4930379746835452</v>
      </c>
      <c r="V112">
        <v>0.189873417721519</v>
      </c>
      <c r="W112" s="5">
        <v>0.189873417721519</v>
      </c>
      <c r="X112" t="s">
        <v>31</v>
      </c>
      <c r="Y112" t="b">
        <f t="shared" si="1"/>
        <v>0</v>
      </c>
    </row>
    <row r="113" spans="1:25" x14ac:dyDescent="0.25">
      <c r="A113" t="s">
        <v>24</v>
      </c>
      <c r="B113" t="s">
        <v>269</v>
      </c>
      <c r="C113" s="1">
        <v>46271</v>
      </c>
      <c r="D113" s="5" t="s">
        <v>26</v>
      </c>
      <c r="E113" t="s">
        <v>270</v>
      </c>
      <c r="F113">
        <v>13.91</v>
      </c>
      <c r="I113">
        <v>0</v>
      </c>
      <c r="J113">
        <v>0</v>
      </c>
      <c r="K113">
        <v>13.91</v>
      </c>
      <c r="L113" t="s">
        <v>28</v>
      </c>
      <c r="M113" s="1">
        <v>46271</v>
      </c>
      <c r="N113" s="5">
        <v>65</v>
      </c>
      <c r="O113" s="5">
        <v>13.13</v>
      </c>
      <c r="P113">
        <v>1</v>
      </c>
      <c r="Q113">
        <v>1</v>
      </c>
      <c r="R113" s="5" t="s">
        <v>29</v>
      </c>
      <c r="S113" t="s">
        <v>30</v>
      </c>
      <c r="T113" s="5">
        <v>12.341772151898731</v>
      </c>
      <c r="U113">
        <v>2.4930379746835452</v>
      </c>
      <c r="V113">
        <v>0.189873417721519</v>
      </c>
      <c r="W113" s="5">
        <v>0.189873417721519</v>
      </c>
      <c r="X113" t="s">
        <v>31</v>
      </c>
      <c r="Y113" t="b">
        <f t="shared" si="1"/>
        <v>0</v>
      </c>
    </row>
    <row r="114" spans="1:25" x14ac:dyDescent="0.25">
      <c r="A114" t="s">
        <v>34</v>
      </c>
      <c r="B114" t="s">
        <v>271</v>
      </c>
      <c r="C114" s="1">
        <v>46271</v>
      </c>
      <c r="D114" s="5" t="s">
        <v>26</v>
      </c>
      <c r="E114" t="s">
        <v>272</v>
      </c>
      <c r="F114">
        <v>13.91</v>
      </c>
      <c r="I114">
        <v>0</v>
      </c>
      <c r="J114">
        <v>0</v>
      </c>
      <c r="K114">
        <v>13.91</v>
      </c>
      <c r="L114" t="s">
        <v>28</v>
      </c>
      <c r="M114" s="1">
        <v>46271</v>
      </c>
      <c r="N114" s="5">
        <v>260</v>
      </c>
      <c r="O114" s="5">
        <v>52.52</v>
      </c>
      <c r="P114">
        <v>5</v>
      </c>
      <c r="Q114">
        <v>1</v>
      </c>
      <c r="R114" s="5" t="s">
        <v>29</v>
      </c>
      <c r="S114" t="s">
        <v>30</v>
      </c>
      <c r="T114" s="5">
        <v>49.367088607594937</v>
      </c>
      <c r="U114">
        <v>9.9721518987341788</v>
      </c>
      <c r="V114">
        <v>0.949367088607595</v>
      </c>
      <c r="W114" s="5">
        <v>0.189873417721519</v>
      </c>
      <c r="X114" t="s">
        <v>44</v>
      </c>
      <c r="Y114" t="b">
        <f t="shared" si="1"/>
        <v>0</v>
      </c>
    </row>
    <row r="115" spans="1:25" x14ac:dyDescent="0.25">
      <c r="A115" t="s">
        <v>24</v>
      </c>
      <c r="B115" t="s">
        <v>273</v>
      </c>
      <c r="C115" s="1">
        <v>46271</v>
      </c>
      <c r="D115" s="5" t="s">
        <v>26</v>
      </c>
      <c r="E115" t="s">
        <v>272</v>
      </c>
      <c r="F115">
        <v>13.91</v>
      </c>
      <c r="I115">
        <v>0</v>
      </c>
      <c r="J115">
        <v>0</v>
      </c>
      <c r="K115">
        <v>13.91</v>
      </c>
      <c r="L115" t="s">
        <v>28</v>
      </c>
      <c r="M115" s="1">
        <v>46271</v>
      </c>
      <c r="N115" s="5">
        <v>260</v>
      </c>
      <c r="O115" s="5">
        <v>52.52</v>
      </c>
      <c r="P115">
        <v>5</v>
      </c>
      <c r="Q115">
        <v>1</v>
      </c>
      <c r="R115" s="5" t="s">
        <v>29</v>
      </c>
      <c r="S115" t="s">
        <v>30</v>
      </c>
      <c r="T115" s="5">
        <v>49.367088607594937</v>
      </c>
      <c r="U115">
        <v>9.9721518987341788</v>
      </c>
      <c r="V115">
        <v>0.949367088607595</v>
      </c>
      <c r="W115" s="5">
        <v>0.189873417721519</v>
      </c>
      <c r="X115" t="s">
        <v>42</v>
      </c>
      <c r="Y115" t="b">
        <f t="shared" si="1"/>
        <v>0</v>
      </c>
    </row>
    <row r="116" spans="1:25" x14ac:dyDescent="0.25">
      <c r="A116" t="s">
        <v>24</v>
      </c>
      <c r="B116" t="s">
        <v>274</v>
      </c>
      <c r="C116" s="1">
        <v>46271</v>
      </c>
      <c r="D116" s="5" t="s">
        <v>26</v>
      </c>
      <c r="E116" t="s">
        <v>275</v>
      </c>
      <c r="F116">
        <v>13.91</v>
      </c>
      <c r="I116">
        <v>0</v>
      </c>
      <c r="J116">
        <v>0</v>
      </c>
      <c r="K116">
        <v>13.91</v>
      </c>
      <c r="L116" t="s">
        <v>28</v>
      </c>
      <c r="M116" s="1">
        <v>46271</v>
      </c>
      <c r="N116" s="5">
        <v>65</v>
      </c>
      <c r="O116" s="5">
        <v>13.13</v>
      </c>
      <c r="P116">
        <v>1</v>
      </c>
      <c r="Q116">
        <v>1</v>
      </c>
      <c r="R116" s="5" t="s">
        <v>29</v>
      </c>
      <c r="S116" t="s">
        <v>30</v>
      </c>
      <c r="T116" s="5">
        <v>12.341772151898731</v>
      </c>
      <c r="U116">
        <v>2.4930379746835452</v>
      </c>
      <c r="V116">
        <v>0.189873417721519</v>
      </c>
      <c r="W116" s="5">
        <v>0.189873417721519</v>
      </c>
      <c r="X116" t="s">
        <v>31</v>
      </c>
      <c r="Y116" t="b">
        <f t="shared" si="1"/>
        <v>0</v>
      </c>
    </row>
    <row r="117" spans="1:25" x14ac:dyDescent="0.25">
      <c r="A117" t="s">
        <v>24</v>
      </c>
      <c r="B117" t="s">
        <v>276</v>
      </c>
      <c r="C117" s="1">
        <v>46271</v>
      </c>
      <c r="D117" s="5" t="s">
        <v>26</v>
      </c>
      <c r="E117" t="s">
        <v>277</v>
      </c>
      <c r="F117">
        <v>27.82</v>
      </c>
      <c r="I117">
        <v>0</v>
      </c>
      <c r="J117">
        <v>0</v>
      </c>
      <c r="K117">
        <v>27.82</v>
      </c>
      <c r="L117" t="s">
        <v>28</v>
      </c>
      <c r="M117" s="1">
        <v>46271</v>
      </c>
      <c r="N117" s="5">
        <v>315</v>
      </c>
      <c r="O117" s="5">
        <v>63.63</v>
      </c>
      <c r="P117">
        <v>7</v>
      </c>
      <c r="Q117">
        <v>2</v>
      </c>
      <c r="R117" s="5" t="s">
        <v>140</v>
      </c>
      <c r="S117" t="s">
        <v>84</v>
      </c>
      <c r="T117" s="5">
        <v>59.810126582278478</v>
      </c>
      <c r="U117">
        <v>12.08164556962025</v>
      </c>
      <c r="V117">
        <v>1.3291139240506331</v>
      </c>
      <c r="W117" s="5">
        <v>0.37974683544303789</v>
      </c>
      <c r="X117" t="s">
        <v>31</v>
      </c>
      <c r="Y117" t="b">
        <f t="shared" si="1"/>
        <v>0</v>
      </c>
    </row>
    <row r="118" spans="1:25" x14ac:dyDescent="0.25">
      <c r="A118" t="s">
        <v>24</v>
      </c>
      <c r="B118" t="s">
        <v>278</v>
      </c>
      <c r="C118" s="1">
        <v>46271</v>
      </c>
      <c r="D118" s="5" t="s">
        <v>26</v>
      </c>
      <c r="E118" t="s">
        <v>279</v>
      </c>
      <c r="F118">
        <v>13.91</v>
      </c>
      <c r="I118">
        <v>0</v>
      </c>
      <c r="J118">
        <v>0</v>
      </c>
      <c r="K118">
        <v>13.91</v>
      </c>
      <c r="L118" t="s">
        <v>28</v>
      </c>
      <c r="M118" s="1">
        <v>46271</v>
      </c>
      <c r="N118" s="5">
        <v>130</v>
      </c>
      <c r="O118" s="5">
        <v>26.26</v>
      </c>
      <c r="P118">
        <v>2</v>
      </c>
      <c r="Q118">
        <v>1</v>
      </c>
      <c r="R118" s="5" t="s">
        <v>29</v>
      </c>
      <c r="S118" t="s">
        <v>30</v>
      </c>
      <c r="T118" s="5">
        <v>24.683544303797468</v>
      </c>
      <c r="U118">
        <v>4.9860759493670894</v>
      </c>
      <c r="V118">
        <v>0.37974683544303789</v>
      </c>
      <c r="W118" s="5">
        <v>0.189873417721519</v>
      </c>
      <c r="X118" t="s">
        <v>31</v>
      </c>
      <c r="Y118" t="b">
        <f t="shared" si="1"/>
        <v>0</v>
      </c>
    </row>
    <row r="119" spans="1:25" x14ac:dyDescent="0.25">
      <c r="A119" t="s">
        <v>24</v>
      </c>
      <c r="B119" t="s">
        <v>280</v>
      </c>
      <c r="C119" s="1">
        <v>46271</v>
      </c>
      <c r="D119" s="5" t="s">
        <v>26</v>
      </c>
      <c r="E119" t="s">
        <v>281</v>
      </c>
      <c r="F119">
        <v>13.91</v>
      </c>
      <c r="I119">
        <v>0</v>
      </c>
      <c r="J119">
        <v>0</v>
      </c>
      <c r="K119">
        <v>13.91</v>
      </c>
      <c r="L119" t="s">
        <v>28</v>
      </c>
      <c r="M119" s="1">
        <v>46271</v>
      </c>
      <c r="N119" s="5">
        <v>65</v>
      </c>
      <c r="O119" s="5">
        <v>13.13</v>
      </c>
      <c r="P119">
        <v>1</v>
      </c>
      <c r="Q119">
        <v>1</v>
      </c>
      <c r="R119" s="5" t="s">
        <v>29</v>
      </c>
      <c r="S119" t="s">
        <v>30</v>
      </c>
      <c r="T119" s="5">
        <v>12.341772151898731</v>
      </c>
      <c r="U119">
        <v>2.4930379746835452</v>
      </c>
      <c r="V119">
        <v>0.189873417721519</v>
      </c>
      <c r="W119" s="5">
        <v>0.189873417721519</v>
      </c>
      <c r="X119" t="s">
        <v>31</v>
      </c>
      <c r="Y119" t="b">
        <f t="shared" si="1"/>
        <v>0</v>
      </c>
    </row>
    <row r="120" spans="1:25" x14ac:dyDescent="0.25">
      <c r="A120" t="s">
        <v>24</v>
      </c>
      <c r="B120" t="s">
        <v>282</v>
      </c>
      <c r="C120" s="1">
        <v>46271</v>
      </c>
      <c r="D120" s="5" t="s">
        <v>26</v>
      </c>
      <c r="E120" t="s">
        <v>283</v>
      </c>
      <c r="F120">
        <v>13.91</v>
      </c>
      <c r="I120">
        <v>0</v>
      </c>
      <c r="J120">
        <v>0</v>
      </c>
      <c r="K120">
        <v>13.91</v>
      </c>
      <c r="L120" t="s">
        <v>28</v>
      </c>
      <c r="M120" s="1">
        <v>46271</v>
      </c>
      <c r="N120" s="5">
        <v>65</v>
      </c>
      <c r="O120" s="5">
        <v>13.13</v>
      </c>
      <c r="P120">
        <v>1</v>
      </c>
      <c r="Q120">
        <v>1</v>
      </c>
      <c r="R120" s="5" t="s">
        <v>29</v>
      </c>
      <c r="S120" t="s">
        <v>30</v>
      </c>
      <c r="T120" s="5">
        <v>12.341772151898731</v>
      </c>
      <c r="U120">
        <v>2.4930379746835452</v>
      </c>
      <c r="V120">
        <v>0.189873417721519</v>
      </c>
      <c r="W120" s="5">
        <v>0.189873417721519</v>
      </c>
      <c r="X120" t="s">
        <v>31</v>
      </c>
      <c r="Y120" t="b">
        <f t="shared" si="1"/>
        <v>0</v>
      </c>
    </row>
    <row r="121" spans="1:25" x14ac:dyDescent="0.25">
      <c r="A121" t="s">
        <v>24</v>
      </c>
      <c r="B121" t="s">
        <v>284</v>
      </c>
      <c r="C121" s="1">
        <v>46271</v>
      </c>
      <c r="D121" s="5" t="s">
        <v>26</v>
      </c>
      <c r="E121" t="s">
        <v>285</v>
      </c>
      <c r="F121">
        <v>13.91</v>
      </c>
      <c r="I121">
        <v>0</v>
      </c>
      <c r="J121">
        <v>0</v>
      </c>
      <c r="K121">
        <v>13.91</v>
      </c>
      <c r="L121" t="s">
        <v>28</v>
      </c>
      <c r="M121" s="1">
        <v>46271</v>
      </c>
      <c r="N121" s="5">
        <v>65</v>
      </c>
      <c r="O121" s="5">
        <v>13.13</v>
      </c>
      <c r="P121">
        <v>1</v>
      </c>
      <c r="Q121">
        <v>1</v>
      </c>
      <c r="R121" s="5" t="s">
        <v>29</v>
      </c>
      <c r="S121" t="s">
        <v>30</v>
      </c>
      <c r="T121" s="5">
        <v>12.341772151898731</v>
      </c>
      <c r="U121">
        <v>2.4930379746835452</v>
      </c>
      <c r="V121">
        <v>0.189873417721519</v>
      </c>
      <c r="W121" s="5">
        <v>0.189873417721519</v>
      </c>
      <c r="X121" t="s">
        <v>31</v>
      </c>
      <c r="Y121" t="b">
        <f t="shared" si="1"/>
        <v>0</v>
      </c>
    </row>
    <row r="122" spans="1:25" x14ac:dyDescent="0.25">
      <c r="A122" t="s">
        <v>24</v>
      </c>
      <c r="B122" t="s">
        <v>286</v>
      </c>
      <c r="C122" s="1">
        <v>46271</v>
      </c>
      <c r="D122" s="5" t="s">
        <v>26</v>
      </c>
      <c r="E122" t="s">
        <v>287</v>
      </c>
      <c r="F122">
        <v>13.91</v>
      </c>
      <c r="I122">
        <v>0</v>
      </c>
      <c r="J122">
        <v>0</v>
      </c>
      <c r="K122">
        <v>13.91</v>
      </c>
      <c r="L122" t="s">
        <v>28</v>
      </c>
      <c r="M122" s="1">
        <v>46271</v>
      </c>
      <c r="N122" s="5">
        <v>130</v>
      </c>
      <c r="O122" s="5">
        <v>26.26</v>
      </c>
      <c r="P122">
        <v>2</v>
      </c>
      <c r="Q122">
        <v>2</v>
      </c>
      <c r="R122" s="5" t="s">
        <v>288</v>
      </c>
      <c r="S122" t="s">
        <v>30</v>
      </c>
      <c r="T122" s="5">
        <v>24.683544303797468</v>
      </c>
      <c r="U122">
        <v>4.9860759493670894</v>
      </c>
      <c r="V122">
        <v>0.37974683544303789</v>
      </c>
      <c r="W122" s="5">
        <v>0.37974683544303789</v>
      </c>
      <c r="X122" t="s">
        <v>31</v>
      </c>
      <c r="Y122" t="b">
        <f t="shared" si="1"/>
        <v>0</v>
      </c>
    </row>
    <row r="123" spans="1:25" x14ac:dyDescent="0.25">
      <c r="A123" t="s">
        <v>24</v>
      </c>
      <c r="B123" t="s">
        <v>289</v>
      </c>
      <c r="C123" s="1">
        <v>46271</v>
      </c>
      <c r="D123" s="5" t="s">
        <v>26</v>
      </c>
      <c r="E123" t="s">
        <v>290</v>
      </c>
      <c r="F123">
        <v>13.91</v>
      </c>
      <c r="I123">
        <v>0</v>
      </c>
      <c r="J123">
        <v>0</v>
      </c>
      <c r="K123">
        <v>13.91</v>
      </c>
      <c r="L123" t="s">
        <v>28</v>
      </c>
      <c r="M123" s="1">
        <v>46271</v>
      </c>
      <c r="N123" s="5">
        <v>65</v>
      </c>
      <c r="O123" s="5">
        <v>13.13</v>
      </c>
      <c r="P123">
        <v>1</v>
      </c>
      <c r="Q123">
        <v>1</v>
      </c>
      <c r="R123" s="5" t="s">
        <v>29</v>
      </c>
      <c r="S123" t="s">
        <v>30</v>
      </c>
      <c r="T123" s="5">
        <v>12.341772151898731</v>
      </c>
      <c r="U123">
        <v>2.4930379746835452</v>
      </c>
      <c r="V123">
        <v>0.189873417721519</v>
      </c>
      <c r="W123" s="5">
        <v>0.189873417721519</v>
      </c>
      <c r="X123" t="s">
        <v>31</v>
      </c>
      <c r="Y123" t="b">
        <f t="shared" si="1"/>
        <v>0</v>
      </c>
    </row>
    <row r="124" spans="1:25" x14ac:dyDescent="0.25">
      <c r="A124" t="s">
        <v>137</v>
      </c>
      <c r="B124" t="s">
        <v>291</v>
      </c>
      <c r="C124" s="1">
        <v>46271</v>
      </c>
      <c r="D124" s="5" t="s">
        <v>26</v>
      </c>
      <c r="E124" t="s">
        <v>292</v>
      </c>
      <c r="F124">
        <v>13.91</v>
      </c>
      <c r="I124">
        <v>0</v>
      </c>
      <c r="J124">
        <v>0</v>
      </c>
      <c r="K124">
        <v>13.91</v>
      </c>
      <c r="L124" t="s">
        <v>28</v>
      </c>
      <c r="M124" s="1">
        <v>46271</v>
      </c>
      <c r="N124" s="5">
        <v>130</v>
      </c>
      <c r="O124" s="5">
        <v>26.26</v>
      </c>
      <c r="P124">
        <v>2</v>
      </c>
      <c r="Q124">
        <v>2</v>
      </c>
      <c r="R124" s="5" t="s">
        <v>288</v>
      </c>
      <c r="S124" t="s">
        <v>30</v>
      </c>
      <c r="T124" s="5">
        <v>24.683544303797468</v>
      </c>
      <c r="U124">
        <v>4.9860759493670894</v>
      </c>
      <c r="V124">
        <v>0.37974683544303789</v>
      </c>
      <c r="W124" s="5">
        <v>0.37974683544303789</v>
      </c>
      <c r="X124" t="s">
        <v>31</v>
      </c>
      <c r="Y124" t="b">
        <f t="shared" si="1"/>
        <v>0</v>
      </c>
    </row>
    <row r="125" spans="1:25" x14ac:dyDescent="0.25">
      <c r="A125" t="s">
        <v>24</v>
      </c>
      <c r="B125" t="s">
        <v>293</v>
      </c>
      <c r="C125" s="1">
        <v>46271</v>
      </c>
      <c r="D125" s="5" t="s">
        <v>26</v>
      </c>
      <c r="E125" t="s">
        <v>294</v>
      </c>
      <c r="F125">
        <v>13.91</v>
      </c>
      <c r="I125">
        <v>0</v>
      </c>
      <c r="J125">
        <v>0</v>
      </c>
      <c r="K125">
        <v>13.91</v>
      </c>
      <c r="L125" t="s">
        <v>28</v>
      </c>
      <c r="M125" s="1">
        <v>46271</v>
      </c>
      <c r="N125" s="5">
        <v>65</v>
      </c>
      <c r="O125" s="5">
        <v>13.13</v>
      </c>
      <c r="P125">
        <v>1</v>
      </c>
      <c r="Q125">
        <v>1</v>
      </c>
      <c r="R125" s="5" t="s">
        <v>29</v>
      </c>
      <c r="S125" t="s">
        <v>30</v>
      </c>
      <c r="T125" s="5">
        <v>12.341772151898731</v>
      </c>
      <c r="U125">
        <v>2.4930379746835452</v>
      </c>
      <c r="V125">
        <v>0.189873417721519</v>
      </c>
      <c r="W125" s="5">
        <v>0.189873417721519</v>
      </c>
      <c r="X125" t="s">
        <v>31</v>
      </c>
      <c r="Y125" t="b">
        <f t="shared" si="1"/>
        <v>0</v>
      </c>
    </row>
    <row r="126" spans="1:25" x14ac:dyDescent="0.25">
      <c r="A126" t="s">
        <v>24</v>
      </c>
      <c r="B126" t="s">
        <v>295</v>
      </c>
      <c r="C126" s="1">
        <v>46271</v>
      </c>
      <c r="D126" s="5" t="s">
        <v>26</v>
      </c>
      <c r="E126" t="s">
        <v>296</v>
      </c>
      <c r="F126">
        <v>13.91</v>
      </c>
      <c r="I126">
        <v>0</v>
      </c>
      <c r="J126">
        <v>0</v>
      </c>
      <c r="K126">
        <v>13.91</v>
      </c>
      <c r="L126" t="s">
        <v>28</v>
      </c>
      <c r="M126" s="1">
        <v>46271</v>
      </c>
      <c r="N126" s="5">
        <v>65</v>
      </c>
      <c r="O126" s="5">
        <v>13.13</v>
      </c>
      <c r="P126">
        <v>1</v>
      </c>
      <c r="Q126">
        <v>1</v>
      </c>
      <c r="R126" s="5" t="s">
        <v>29</v>
      </c>
      <c r="S126" t="s">
        <v>30</v>
      </c>
      <c r="T126" s="5">
        <v>12.341772151898731</v>
      </c>
      <c r="U126">
        <v>2.4930379746835452</v>
      </c>
      <c r="V126">
        <v>0.189873417721519</v>
      </c>
      <c r="W126" s="5">
        <v>0.189873417721519</v>
      </c>
      <c r="X126" t="s">
        <v>31</v>
      </c>
      <c r="Y126" t="b">
        <f t="shared" si="1"/>
        <v>0</v>
      </c>
    </row>
    <row r="127" spans="1:25" x14ac:dyDescent="0.25">
      <c r="A127" t="s">
        <v>137</v>
      </c>
      <c r="B127" t="s">
        <v>297</v>
      </c>
      <c r="C127" s="1">
        <v>46271</v>
      </c>
      <c r="D127" s="5" t="s">
        <v>26</v>
      </c>
      <c r="E127" t="s">
        <v>298</v>
      </c>
      <c r="F127">
        <v>13.91</v>
      </c>
      <c r="I127">
        <v>0</v>
      </c>
      <c r="J127">
        <v>0</v>
      </c>
      <c r="K127">
        <v>13.91</v>
      </c>
      <c r="L127" t="s">
        <v>28</v>
      </c>
      <c r="M127" s="1">
        <v>46271</v>
      </c>
      <c r="N127" s="5">
        <v>255</v>
      </c>
      <c r="O127" s="5">
        <v>51.510000000000012</v>
      </c>
      <c r="P127">
        <v>5</v>
      </c>
      <c r="Q127">
        <v>1</v>
      </c>
      <c r="R127" s="5" t="s">
        <v>29</v>
      </c>
      <c r="S127" t="s">
        <v>30</v>
      </c>
      <c r="T127" s="5">
        <v>48.417721518987342</v>
      </c>
      <c r="U127">
        <v>9.780379746835445</v>
      </c>
      <c r="V127">
        <v>0.949367088607595</v>
      </c>
      <c r="W127" s="5">
        <v>0.189873417721519</v>
      </c>
      <c r="X127" t="s">
        <v>31</v>
      </c>
      <c r="Y127" t="b">
        <f t="shared" si="1"/>
        <v>0</v>
      </c>
    </row>
    <row r="128" spans="1:25" x14ac:dyDescent="0.25">
      <c r="A128" t="s">
        <v>24</v>
      </c>
      <c r="B128" t="s">
        <v>299</v>
      </c>
      <c r="C128" s="1">
        <v>46271</v>
      </c>
      <c r="D128" s="5" t="s">
        <v>26</v>
      </c>
      <c r="E128" t="s">
        <v>300</v>
      </c>
      <c r="F128">
        <v>13.91</v>
      </c>
      <c r="I128">
        <v>0</v>
      </c>
      <c r="J128">
        <v>0</v>
      </c>
      <c r="K128">
        <v>13.91</v>
      </c>
      <c r="L128" t="s">
        <v>28</v>
      </c>
      <c r="M128" s="1">
        <v>46271</v>
      </c>
      <c r="N128" s="5">
        <v>125</v>
      </c>
      <c r="O128" s="5">
        <v>25.25</v>
      </c>
      <c r="P128">
        <v>2</v>
      </c>
      <c r="Q128">
        <v>1</v>
      </c>
      <c r="R128" s="5" t="s">
        <v>29</v>
      </c>
      <c r="S128" t="s">
        <v>30</v>
      </c>
      <c r="T128" s="5">
        <v>23.73417721518987</v>
      </c>
      <c r="U128">
        <v>4.7943037974683538</v>
      </c>
      <c r="V128">
        <v>0.37974683544303789</v>
      </c>
      <c r="W128" s="5">
        <v>0.189873417721519</v>
      </c>
      <c r="X128" t="s">
        <v>31</v>
      </c>
      <c r="Y128" t="b">
        <f t="shared" si="1"/>
        <v>0</v>
      </c>
    </row>
    <row r="129" spans="1:25" x14ac:dyDescent="0.25">
      <c r="A129" t="s">
        <v>301</v>
      </c>
      <c r="B129" t="s">
        <v>302</v>
      </c>
      <c r="C129" s="1">
        <v>46243</v>
      </c>
      <c r="D129" s="5" t="s">
        <v>26</v>
      </c>
      <c r="E129" t="s">
        <v>303</v>
      </c>
      <c r="F129">
        <v>13.91</v>
      </c>
      <c r="G129">
        <v>0</v>
      </c>
      <c r="H129">
        <v>0</v>
      </c>
      <c r="I129">
        <v>0</v>
      </c>
      <c r="J129">
        <v>0</v>
      </c>
      <c r="K129">
        <v>13.91</v>
      </c>
      <c r="L129" t="s">
        <v>28</v>
      </c>
      <c r="M129" s="1">
        <v>46270</v>
      </c>
      <c r="N129" s="5">
        <v>195</v>
      </c>
      <c r="O129" s="5">
        <v>39.39</v>
      </c>
      <c r="P129">
        <v>3</v>
      </c>
      <c r="Q129">
        <v>1</v>
      </c>
      <c r="R129" s="5" t="s">
        <v>29</v>
      </c>
      <c r="S129" t="s">
        <v>30</v>
      </c>
      <c r="T129" s="5">
        <v>37.025316455696199</v>
      </c>
      <c r="U129">
        <v>7.4791139240506332</v>
      </c>
      <c r="V129">
        <v>0.569620253164557</v>
      </c>
      <c r="W129" s="5">
        <v>0.189873417721519</v>
      </c>
      <c r="X129" t="s">
        <v>31</v>
      </c>
      <c r="Y129" t="b">
        <f t="shared" si="1"/>
        <v>0</v>
      </c>
    </row>
    <row r="130" spans="1:25" x14ac:dyDescent="0.25">
      <c r="A130" t="s">
        <v>24</v>
      </c>
      <c r="B130" t="s">
        <v>304</v>
      </c>
      <c r="C130" s="1">
        <v>46271</v>
      </c>
      <c r="D130" s="5" t="s">
        <v>26</v>
      </c>
      <c r="E130" t="s">
        <v>305</v>
      </c>
      <c r="F130">
        <v>13.91</v>
      </c>
      <c r="I130">
        <v>0</v>
      </c>
      <c r="J130">
        <v>0</v>
      </c>
      <c r="K130">
        <v>13.91</v>
      </c>
      <c r="L130" t="s">
        <v>28</v>
      </c>
      <c r="M130" s="1">
        <v>46271</v>
      </c>
      <c r="N130" s="5">
        <v>65</v>
      </c>
      <c r="O130" s="5">
        <v>13.13</v>
      </c>
      <c r="P130">
        <v>1</v>
      </c>
      <c r="Q130">
        <v>1</v>
      </c>
      <c r="R130" s="5" t="s">
        <v>29</v>
      </c>
      <c r="S130" t="s">
        <v>30</v>
      </c>
      <c r="T130" s="5">
        <v>12.341772151898731</v>
      </c>
      <c r="U130">
        <v>2.4930379746835452</v>
      </c>
      <c r="V130">
        <v>0.189873417721519</v>
      </c>
      <c r="W130" s="5">
        <v>0.189873417721519</v>
      </c>
      <c r="X130" t="s">
        <v>31</v>
      </c>
      <c r="Y130" t="b">
        <f t="shared" si="1"/>
        <v>0</v>
      </c>
    </row>
    <row r="131" spans="1:25" x14ac:dyDescent="0.25">
      <c r="A131" t="s">
        <v>24</v>
      </c>
      <c r="B131" t="s">
        <v>306</v>
      </c>
      <c r="C131" s="1">
        <v>46271</v>
      </c>
      <c r="D131" s="5" t="s">
        <v>26</v>
      </c>
      <c r="E131" t="s">
        <v>307</v>
      </c>
      <c r="F131">
        <v>13.91</v>
      </c>
      <c r="I131">
        <v>0</v>
      </c>
      <c r="J131">
        <v>0</v>
      </c>
      <c r="K131">
        <v>13.91</v>
      </c>
      <c r="L131" t="s">
        <v>28</v>
      </c>
      <c r="M131" s="1">
        <v>46271</v>
      </c>
      <c r="N131" s="5">
        <v>65</v>
      </c>
      <c r="O131" s="5">
        <v>13.13</v>
      </c>
      <c r="P131">
        <v>1</v>
      </c>
      <c r="Q131">
        <v>1</v>
      </c>
      <c r="R131" s="5" t="s">
        <v>29</v>
      </c>
      <c r="S131" t="s">
        <v>30</v>
      </c>
      <c r="T131" s="5">
        <v>12.341772151898731</v>
      </c>
      <c r="U131">
        <v>2.4930379746835452</v>
      </c>
      <c r="V131">
        <v>0.189873417721519</v>
      </c>
      <c r="W131" s="5">
        <v>0.189873417721519</v>
      </c>
      <c r="X131" t="s">
        <v>31</v>
      </c>
      <c r="Y131" t="b">
        <f t="shared" ref="Y131:Y136" si="2">IF(U131&gt;K131, U131)</f>
        <v>0</v>
      </c>
    </row>
    <row r="132" spans="1:25" x14ac:dyDescent="0.25">
      <c r="A132" t="s">
        <v>34</v>
      </c>
      <c r="B132" t="s">
        <v>308</v>
      </c>
      <c r="C132" s="1">
        <v>46271</v>
      </c>
      <c r="D132" s="5" t="s">
        <v>26</v>
      </c>
      <c r="E132" t="s">
        <v>309</v>
      </c>
      <c r="F132">
        <v>27.82</v>
      </c>
      <c r="I132">
        <v>0</v>
      </c>
      <c r="J132">
        <v>0</v>
      </c>
      <c r="K132">
        <v>27.82</v>
      </c>
      <c r="L132" t="s">
        <v>28</v>
      </c>
      <c r="M132" s="1">
        <v>46270</v>
      </c>
      <c r="N132" s="5">
        <v>455</v>
      </c>
      <c r="O132" s="5">
        <v>91.91</v>
      </c>
      <c r="P132">
        <v>7</v>
      </c>
      <c r="Q132">
        <v>2</v>
      </c>
      <c r="R132" s="5" t="s">
        <v>140</v>
      </c>
      <c r="S132" t="s">
        <v>84</v>
      </c>
      <c r="T132" s="5">
        <v>86.392405063291136</v>
      </c>
      <c r="U132">
        <v>17.451265822784809</v>
      </c>
      <c r="V132">
        <v>1.3291139240506331</v>
      </c>
      <c r="W132" s="5">
        <v>0.37974683544303789</v>
      </c>
      <c r="X132" t="s">
        <v>31</v>
      </c>
      <c r="Y132" t="b">
        <f t="shared" si="2"/>
        <v>0</v>
      </c>
    </row>
    <row r="133" spans="1:25" x14ac:dyDescent="0.25">
      <c r="A133" t="s">
        <v>24</v>
      </c>
      <c r="B133" t="s">
        <v>310</v>
      </c>
      <c r="C133" s="1">
        <v>46271</v>
      </c>
      <c r="D133" s="5" t="s">
        <v>26</v>
      </c>
      <c r="E133" t="s">
        <v>311</v>
      </c>
      <c r="F133">
        <v>13.91</v>
      </c>
      <c r="I133">
        <v>0</v>
      </c>
      <c r="J133">
        <v>0</v>
      </c>
      <c r="K133">
        <v>13.91</v>
      </c>
      <c r="L133" t="s">
        <v>28</v>
      </c>
      <c r="M133" s="1">
        <v>46271</v>
      </c>
      <c r="N133" s="5">
        <v>65</v>
      </c>
      <c r="O133" s="5">
        <v>13.13</v>
      </c>
      <c r="P133">
        <v>1</v>
      </c>
      <c r="Q133">
        <v>1</v>
      </c>
      <c r="R133" s="5" t="s">
        <v>29</v>
      </c>
      <c r="S133" t="s">
        <v>30</v>
      </c>
      <c r="T133" s="5">
        <v>12.341772151898731</v>
      </c>
      <c r="U133">
        <v>2.4930379746835452</v>
      </c>
      <c r="V133">
        <v>0.189873417721519</v>
      </c>
      <c r="W133" s="5">
        <v>0.189873417721519</v>
      </c>
      <c r="X133" t="s">
        <v>31</v>
      </c>
      <c r="Y133" t="b">
        <f t="shared" si="2"/>
        <v>0</v>
      </c>
    </row>
    <row r="134" spans="1:25" x14ac:dyDescent="0.25">
      <c r="A134" t="s">
        <v>24</v>
      </c>
      <c r="B134" t="s">
        <v>312</v>
      </c>
      <c r="C134" s="1">
        <v>46271</v>
      </c>
      <c r="D134" s="5" t="s">
        <v>26</v>
      </c>
      <c r="E134" t="s">
        <v>313</v>
      </c>
      <c r="F134">
        <v>27.82</v>
      </c>
      <c r="I134">
        <v>0</v>
      </c>
      <c r="J134">
        <v>0</v>
      </c>
      <c r="K134">
        <v>27.82</v>
      </c>
      <c r="L134" t="s">
        <v>28</v>
      </c>
      <c r="M134" s="1">
        <v>46271</v>
      </c>
      <c r="N134" s="5">
        <v>760</v>
      </c>
      <c r="O134" s="5">
        <v>153.52000000000001</v>
      </c>
      <c r="P134">
        <v>12</v>
      </c>
      <c r="Q134">
        <v>3</v>
      </c>
      <c r="R134" s="5" t="s">
        <v>314</v>
      </c>
      <c r="S134" t="s">
        <v>84</v>
      </c>
      <c r="T134" s="5">
        <v>144.30379746835439</v>
      </c>
      <c r="U134">
        <v>29.149367088607601</v>
      </c>
      <c r="V134">
        <v>2.278481012658228</v>
      </c>
      <c r="W134" s="5">
        <v>0.569620253164557</v>
      </c>
      <c r="X134" t="s">
        <v>31</v>
      </c>
      <c r="Y134">
        <f t="shared" si="2"/>
        <v>29.149367088607601</v>
      </c>
    </row>
    <row r="135" spans="1:25" x14ac:dyDescent="0.25">
      <c r="A135" t="s">
        <v>34</v>
      </c>
      <c r="B135" t="s">
        <v>315</v>
      </c>
      <c r="C135" s="1">
        <v>46271</v>
      </c>
      <c r="D135" s="5" t="s">
        <v>26</v>
      </c>
      <c r="E135" t="s">
        <v>316</v>
      </c>
      <c r="F135">
        <v>27.82</v>
      </c>
      <c r="I135">
        <v>0</v>
      </c>
      <c r="J135">
        <v>0</v>
      </c>
      <c r="K135">
        <v>27.82</v>
      </c>
      <c r="L135" t="s">
        <v>28</v>
      </c>
      <c r="M135" s="1">
        <v>46270</v>
      </c>
      <c r="N135" s="5">
        <v>440</v>
      </c>
      <c r="O135" s="5">
        <v>88.88</v>
      </c>
      <c r="P135">
        <v>7</v>
      </c>
      <c r="Q135">
        <v>2</v>
      </c>
      <c r="R135" s="5" t="s">
        <v>140</v>
      </c>
      <c r="S135" t="s">
        <v>84</v>
      </c>
      <c r="T135" s="5">
        <v>83.544303797468359</v>
      </c>
      <c r="U135">
        <v>16.875949367088609</v>
      </c>
      <c r="V135">
        <v>1.3291139240506331</v>
      </c>
      <c r="W135" s="5">
        <v>0.37974683544303789</v>
      </c>
      <c r="X135" t="s">
        <v>31</v>
      </c>
      <c r="Y135" t="b">
        <f t="shared" si="2"/>
        <v>0</v>
      </c>
    </row>
    <row r="136" spans="1:25" x14ac:dyDescent="0.25">
      <c r="A136" t="s">
        <v>137</v>
      </c>
      <c r="B136" t="s">
        <v>317</v>
      </c>
      <c r="C136" s="1">
        <v>46271</v>
      </c>
      <c r="D136" s="5" t="s">
        <v>26</v>
      </c>
      <c r="E136" t="s">
        <v>318</v>
      </c>
      <c r="F136">
        <v>256.8</v>
      </c>
      <c r="I136">
        <v>0</v>
      </c>
      <c r="J136">
        <v>0</v>
      </c>
      <c r="K136">
        <v>256.8</v>
      </c>
      <c r="L136" t="s">
        <v>28</v>
      </c>
      <c r="M136" s="1">
        <v>46271</v>
      </c>
      <c r="N136" s="5">
        <v>11710</v>
      </c>
      <c r="O136" s="5">
        <v>2365.42</v>
      </c>
      <c r="P136">
        <v>51</v>
      </c>
      <c r="Q136">
        <v>1</v>
      </c>
      <c r="R136" s="5" t="s">
        <v>29</v>
      </c>
      <c r="S136" t="s">
        <v>79</v>
      </c>
      <c r="T136" s="5">
        <v>2223.417721518987</v>
      </c>
      <c r="U136">
        <v>449.1303797468355</v>
      </c>
      <c r="V136">
        <v>9.6835443037974684</v>
      </c>
      <c r="W136" s="5">
        <v>0.189873417721519</v>
      </c>
      <c r="X136" t="s">
        <v>31</v>
      </c>
      <c r="Y136">
        <f t="shared" si="2"/>
        <v>449.1303797468355</v>
      </c>
    </row>
  </sheetData>
  <autoFilter ref="A1:Y136"/>
  <conditionalFormatting sqref="E1:E1048576">
    <cfRule type="duplicateValues" dxfId="0" priority="1"/>
  </conditionalFormatting>
  <pageMargins left="0.75" right="0.75" top="1" bottom="1" header="0.5" footer="0.5"/>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4"/>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319</v>
      </c>
      <c r="B2" t="s">
        <v>320</v>
      </c>
      <c r="C2" s="1">
        <v>46248</v>
      </c>
      <c r="D2" t="s">
        <v>26</v>
      </c>
      <c r="E2" t="s">
        <v>321</v>
      </c>
      <c r="F2">
        <v>7.65</v>
      </c>
      <c r="I2">
        <v>0</v>
      </c>
      <c r="J2">
        <v>0</v>
      </c>
      <c r="K2">
        <v>7.65</v>
      </c>
      <c r="L2" t="s">
        <v>322</v>
      </c>
      <c r="M2" s="1">
        <v>46248</v>
      </c>
      <c r="N2">
        <v>60</v>
      </c>
      <c r="O2">
        <v>10.08</v>
      </c>
      <c r="P2">
        <v>4</v>
      </c>
      <c r="Q2">
        <v>1</v>
      </c>
      <c r="R2" t="s">
        <v>29</v>
      </c>
      <c r="S2" t="s">
        <v>157</v>
      </c>
      <c r="T2">
        <v>11.39240506329114</v>
      </c>
      <c r="U2">
        <v>1.913924050632912</v>
      </c>
      <c r="V2">
        <v>0.75949367088607589</v>
      </c>
      <c r="W2">
        <v>0.189873417721519</v>
      </c>
      <c r="X2" t="s">
        <v>31</v>
      </c>
    </row>
    <row r="3" spans="1:24" x14ac:dyDescent="0.25">
      <c r="A3" t="s">
        <v>323</v>
      </c>
      <c r="B3" t="s">
        <v>324</v>
      </c>
      <c r="C3" s="1">
        <v>46271</v>
      </c>
      <c r="D3" t="s">
        <v>26</v>
      </c>
      <c r="E3" t="s">
        <v>325</v>
      </c>
      <c r="F3">
        <v>7.65</v>
      </c>
      <c r="H3">
        <v>6.98</v>
      </c>
      <c r="I3">
        <v>0</v>
      </c>
      <c r="J3">
        <v>0</v>
      </c>
      <c r="K3">
        <v>0.67</v>
      </c>
      <c r="L3" t="s">
        <v>322</v>
      </c>
      <c r="M3" s="1">
        <v>46271</v>
      </c>
      <c r="N3">
        <v>238</v>
      </c>
      <c r="O3">
        <v>36.657600000000002</v>
      </c>
      <c r="P3">
        <v>8</v>
      </c>
      <c r="Q3">
        <v>1</v>
      </c>
      <c r="R3" t="s">
        <v>29</v>
      </c>
      <c r="T3">
        <v>45.189873417721522</v>
      </c>
      <c r="U3">
        <v>6.9603037974683541</v>
      </c>
      <c r="V3">
        <v>1.518987341772152</v>
      </c>
      <c r="W3">
        <v>0.189873417721519</v>
      </c>
      <c r="X3" t="s">
        <v>31</v>
      </c>
    </row>
    <row r="4" spans="1:24" x14ac:dyDescent="0.25">
      <c r="A4" t="s">
        <v>326</v>
      </c>
      <c r="B4" t="s">
        <v>327</v>
      </c>
      <c r="C4" s="1">
        <v>46271</v>
      </c>
      <c r="D4" t="s">
        <v>26</v>
      </c>
      <c r="E4" t="s">
        <v>328</v>
      </c>
      <c r="F4">
        <v>7.65</v>
      </c>
      <c r="I4">
        <v>0</v>
      </c>
      <c r="J4">
        <v>0</v>
      </c>
      <c r="K4">
        <v>7.65</v>
      </c>
      <c r="L4" t="s">
        <v>322</v>
      </c>
      <c r="M4" s="1">
        <v>46270</v>
      </c>
      <c r="N4">
        <v>45</v>
      </c>
      <c r="O4">
        <v>7.56</v>
      </c>
      <c r="P4">
        <v>3</v>
      </c>
      <c r="Q4">
        <v>2</v>
      </c>
      <c r="R4" t="s">
        <v>140</v>
      </c>
      <c r="S4" t="s">
        <v>157</v>
      </c>
      <c r="T4">
        <v>8.5443037974683556</v>
      </c>
      <c r="U4">
        <v>1.4354430379746841</v>
      </c>
      <c r="V4">
        <v>0.569620253164557</v>
      </c>
      <c r="W4">
        <v>0.37974683544303789</v>
      </c>
      <c r="X4" t="s">
        <v>31</v>
      </c>
    </row>
    <row r="5" spans="1:24" x14ac:dyDescent="0.25">
      <c r="A5" t="s">
        <v>323</v>
      </c>
      <c r="B5" t="s">
        <v>329</v>
      </c>
      <c r="C5" s="1">
        <v>46271</v>
      </c>
      <c r="D5" t="s">
        <v>26</v>
      </c>
      <c r="E5" t="s">
        <v>330</v>
      </c>
      <c r="F5">
        <v>7.65</v>
      </c>
      <c r="H5">
        <v>7.01</v>
      </c>
      <c r="I5">
        <v>0</v>
      </c>
      <c r="J5">
        <v>0</v>
      </c>
      <c r="K5">
        <v>0.64</v>
      </c>
      <c r="L5" t="s">
        <v>322</v>
      </c>
      <c r="M5" s="1">
        <v>46271</v>
      </c>
      <c r="N5">
        <v>78</v>
      </c>
      <c r="O5">
        <v>10.0548</v>
      </c>
      <c r="P5">
        <v>2</v>
      </c>
      <c r="Q5">
        <v>1</v>
      </c>
      <c r="R5" t="s">
        <v>29</v>
      </c>
      <c r="T5">
        <v>14.81012658227848</v>
      </c>
      <c r="U5">
        <v>1.909139240506329</v>
      </c>
      <c r="V5">
        <v>0.37974683544303789</v>
      </c>
      <c r="W5">
        <v>0.189873417721519</v>
      </c>
      <c r="X5" t="s">
        <v>31</v>
      </c>
    </row>
    <row r="6" spans="1:24" x14ac:dyDescent="0.25">
      <c r="A6" t="s">
        <v>323</v>
      </c>
      <c r="B6" t="s">
        <v>331</v>
      </c>
      <c r="C6" s="1">
        <v>46271</v>
      </c>
      <c r="D6" t="s">
        <v>26</v>
      </c>
      <c r="E6" t="s">
        <v>332</v>
      </c>
      <c r="F6">
        <v>7.65</v>
      </c>
      <c r="H6">
        <v>6.87</v>
      </c>
      <c r="I6">
        <v>0</v>
      </c>
      <c r="J6">
        <v>0</v>
      </c>
      <c r="K6">
        <v>0.78</v>
      </c>
      <c r="L6" t="s">
        <v>322</v>
      </c>
      <c r="M6" s="1">
        <v>46271</v>
      </c>
      <c r="N6">
        <v>143</v>
      </c>
      <c r="O6">
        <v>20.974799999999998</v>
      </c>
      <c r="P6">
        <v>6</v>
      </c>
      <c r="Q6">
        <v>1</v>
      </c>
      <c r="R6" t="s">
        <v>29</v>
      </c>
      <c r="T6">
        <v>27.15189873417722</v>
      </c>
      <c r="U6">
        <v>3.9825569620253161</v>
      </c>
      <c r="V6">
        <v>1.139240506329114</v>
      </c>
      <c r="W6">
        <v>0.189873417721519</v>
      </c>
      <c r="X6" t="s">
        <v>31</v>
      </c>
    </row>
    <row r="7" spans="1:24" x14ac:dyDescent="0.25">
      <c r="A7" t="s">
        <v>323</v>
      </c>
      <c r="B7" t="s">
        <v>333</v>
      </c>
      <c r="C7" s="1">
        <v>46271</v>
      </c>
      <c r="D7" t="s">
        <v>26</v>
      </c>
      <c r="E7" t="s">
        <v>334</v>
      </c>
      <c r="F7">
        <v>20.399999999999999</v>
      </c>
      <c r="I7">
        <v>0</v>
      </c>
      <c r="J7">
        <v>0</v>
      </c>
      <c r="K7">
        <v>20.399999999999999</v>
      </c>
      <c r="L7" t="s">
        <v>322</v>
      </c>
      <c r="M7" s="1">
        <v>46271</v>
      </c>
      <c r="N7">
        <v>200</v>
      </c>
      <c r="O7">
        <v>33.6</v>
      </c>
      <c r="P7">
        <v>2</v>
      </c>
      <c r="Q7">
        <v>1</v>
      </c>
      <c r="R7" t="s">
        <v>29</v>
      </c>
      <c r="S7" t="s">
        <v>30</v>
      </c>
      <c r="T7">
        <v>37.974683544303801</v>
      </c>
      <c r="U7">
        <v>6.3797468354430382</v>
      </c>
      <c r="V7">
        <v>0.37974683544303789</v>
      </c>
      <c r="W7">
        <v>0.189873417721519</v>
      </c>
      <c r="X7" t="s">
        <v>31</v>
      </c>
    </row>
    <row r="8" spans="1:24" x14ac:dyDescent="0.25">
      <c r="A8" t="s">
        <v>326</v>
      </c>
      <c r="B8" t="s">
        <v>335</v>
      </c>
      <c r="C8" s="1">
        <v>46271</v>
      </c>
      <c r="D8" t="s">
        <v>26</v>
      </c>
      <c r="E8" t="s">
        <v>336</v>
      </c>
      <c r="F8">
        <v>13.6</v>
      </c>
      <c r="I8">
        <v>0</v>
      </c>
      <c r="J8">
        <v>0</v>
      </c>
      <c r="K8">
        <v>13.6</v>
      </c>
      <c r="L8" t="s">
        <v>322</v>
      </c>
      <c r="M8" s="1">
        <v>46270</v>
      </c>
      <c r="N8">
        <v>164</v>
      </c>
      <c r="O8">
        <v>27.552</v>
      </c>
      <c r="P8">
        <v>4</v>
      </c>
      <c r="Q8">
        <v>1</v>
      </c>
      <c r="R8" t="s">
        <v>29</v>
      </c>
      <c r="S8" t="s">
        <v>30</v>
      </c>
      <c r="T8">
        <v>31.139240506329109</v>
      </c>
      <c r="U8">
        <v>5.231392405063291</v>
      </c>
      <c r="V8">
        <v>0.75949367088607589</v>
      </c>
      <c r="W8">
        <v>0.189873417721519</v>
      </c>
      <c r="X8" t="s">
        <v>31</v>
      </c>
    </row>
    <row r="9" spans="1:24" x14ac:dyDescent="0.25">
      <c r="A9" t="s">
        <v>323</v>
      </c>
      <c r="B9" t="s">
        <v>337</v>
      </c>
      <c r="C9" s="1">
        <v>46271</v>
      </c>
      <c r="D9" t="s">
        <v>26</v>
      </c>
      <c r="E9" t="s">
        <v>338</v>
      </c>
      <c r="F9">
        <v>7.65</v>
      </c>
      <c r="H9">
        <v>7.06</v>
      </c>
      <c r="I9">
        <v>0</v>
      </c>
      <c r="J9">
        <v>7.06</v>
      </c>
      <c r="K9">
        <v>0.59</v>
      </c>
      <c r="L9" t="s">
        <v>322</v>
      </c>
      <c r="M9" s="1">
        <v>46271</v>
      </c>
      <c r="N9">
        <v>234</v>
      </c>
      <c r="O9">
        <v>36.262799999999999</v>
      </c>
      <c r="P9">
        <v>6</v>
      </c>
      <c r="Q9">
        <v>1</v>
      </c>
      <c r="R9" t="s">
        <v>29</v>
      </c>
      <c r="T9">
        <v>44.430379746835442</v>
      </c>
      <c r="U9">
        <v>6.8853417721518984</v>
      </c>
      <c r="V9">
        <v>1.139240506329114</v>
      </c>
      <c r="W9">
        <v>0.189873417721519</v>
      </c>
      <c r="X9" t="s">
        <v>31</v>
      </c>
    </row>
    <row r="10" spans="1:24" x14ac:dyDescent="0.25">
      <c r="A10" t="s">
        <v>339</v>
      </c>
      <c r="B10" t="s">
        <v>340</v>
      </c>
      <c r="C10" s="1">
        <v>46271</v>
      </c>
      <c r="D10" t="s">
        <v>26</v>
      </c>
      <c r="E10" t="s">
        <v>341</v>
      </c>
      <c r="F10">
        <v>14.78</v>
      </c>
      <c r="I10">
        <v>0</v>
      </c>
      <c r="J10">
        <v>0</v>
      </c>
      <c r="K10">
        <v>14.78</v>
      </c>
      <c r="L10" t="s">
        <v>322</v>
      </c>
      <c r="M10" s="1">
        <v>46270</v>
      </c>
      <c r="N10">
        <v>252</v>
      </c>
      <c r="O10">
        <v>24.595199999999998</v>
      </c>
      <c r="P10">
        <v>3</v>
      </c>
      <c r="Q10">
        <v>1</v>
      </c>
      <c r="R10" t="s">
        <v>29</v>
      </c>
      <c r="S10" t="s">
        <v>30</v>
      </c>
      <c r="T10">
        <v>47.848101265822777</v>
      </c>
      <c r="U10">
        <v>4.6699746835443037</v>
      </c>
      <c r="V10">
        <v>0.569620253164557</v>
      </c>
      <c r="W10">
        <v>0.189873417721519</v>
      </c>
      <c r="X10" t="s">
        <v>31</v>
      </c>
    </row>
    <row r="11" spans="1:24" x14ac:dyDescent="0.25">
      <c r="A11" t="s">
        <v>323</v>
      </c>
      <c r="B11" t="s">
        <v>342</v>
      </c>
      <c r="C11" s="1">
        <v>46271</v>
      </c>
      <c r="D11" t="s">
        <v>26</v>
      </c>
      <c r="E11" t="s">
        <v>343</v>
      </c>
      <c r="F11">
        <v>20.399999999999999</v>
      </c>
      <c r="I11">
        <v>0</v>
      </c>
      <c r="J11">
        <v>0</v>
      </c>
      <c r="K11">
        <v>20.399999999999999</v>
      </c>
      <c r="L11" t="s">
        <v>322</v>
      </c>
      <c r="M11" s="1">
        <v>46271</v>
      </c>
      <c r="N11">
        <v>195</v>
      </c>
      <c r="O11">
        <v>29.433599999999998</v>
      </c>
      <c r="P11">
        <v>6</v>
      </c>
      <c r="Q11">
        <v>1</v>
      </c>
      <c r="R11" t="s">
        <v>29</v>
      </c>
      <c r="S11" t="s">
        <v>30</v>
      </c>
      <c r="T11">
        <v>37.025316455696199</v>
      </c>
      <c r="U11">
        <v>5.588658227848101</v>
      </c>
      <c r="V11">
        <v>1.139240506329114</v>
      </c>
      <c r="W11">
        <v>0.189873417721519</v>
      </c>
      <c r="X11" t="s">
        <v>31</v>
      </c>
    </row>
    <row r="12" spans="1:24" x14ac:dyDescent="0.25">
      <c r="A12" t="s">
        <v>339</v>
      </c>
      <c r="B12" t="s">
        <v>344</v>
      </c>
      <c r="C12" s="1">
        <v>46271</v>
      </c>
      <c r="D12" t="s">
        <v>26</v>
      </c>
      <c r="E12" t="s">
        <v>345</v>
      </c>
      <c r="F12">
        <v>14.78</v>
      </c>
      <c r="H12">
        <v>14.05</v>
      </c>
      <c r="I12">
        <v>0</v>
      </c>
      <c r="J12">
        <v>0</v>
      </c>
      <c r="K12">
        <v>0.73</v>
      </c>
      <c r="L12" t="s">
        <v>322</v>
      </c>
      <c r="M12" s="1">
        <v>46270</v>
      </c>
      <c r="N12">
        <v>448</v>
      </c>
      <c r="O12">
        <v>51.055199999999999</v>
      </c>
      <c r="P12">
        <v>10</v>
      </c>
      <c r="Q12">
        <v>1</v>
      </c>
      <c r="R12" t="s">
        <v>29</v>
      </c>
      <c r="T12">
        <v>85.063291139240505</v>
      </c>
      <c r="U12">
        <v>9.6940253164556971</v>
      </c>
      <c r="V12">
        <v>1.89873417721519</v>
      </c>
      <c r="W12">
        <v>0.189873417721519</v>
      </c>
      <c r="X12" t="s">
        <v>31</v>
      </c>
    </row>
    <row r="13" spans="1:24" x14ac:dyDescent="0.25">
      <c r="A13" t="s">
        <v>339</v>
      </c>
      <c r="B13" t="s">
        <v>346</v>
      </c>
      <c r="C13" s="1">
        <v>46271</v>
      </c>
      <c r="D13" t="s">
        <v>26</v>
      </c>
      <c r="E13" t="s">
        <v>104</v>
      </c>
      <c r="F13">
        <v>14.78</v>
      </c>
      <c r="I13">
        <v>0</v>
      </c>
      <c r="J13">
        <v>0</v>
      </c>
      <c r="K13">
        <v>14.78</v>
      </c>
      <c r="L13" t="s">
        <v>322</v>
      </c>
      <c r="M13" s="1">
        <v>46270</v>
      </c>
      <c r="N13">
        <v>323</v>
      </c>
      <c r="O13">
        <v>36.523200000000003</v>
      </c>
      <c r="P13">
        <v>7</v>
      </c>
      <c r="Q13">
        <v>1</v>
      </c>
      <c r="R13" t="s">
        <v>29</v>
      </c>
      <c r="S13" t="s">
        <v>30</v>
      </c>
      <c r="T13">
        <v>61.329113924050617</v>
      </c>
      <c r="U13">
        <v>6.9347848101265814</v>
      </c>
      <c r="V13">
        <v>1.3291139240506331</v>
      </c>
      <c r="W13">
        <v>0.189873417721519</v>
      </c>
      <c r="X13" t="s">
        <v>31</v>
      </c>
    </row>
    <row r="14" spans="1:24" x14ac:dyDescent="0.25">
      <c r="A14" t="s">
        <v>319</v>
      </c>
      <c r="B14" t="s">
        <v>347</v>
      </c>
      <c r="C14" s="1">
        <v>46248</v>
      </c>
      <c r="D14" t="s">
        <v>26</v>
      </c>
      <c r="E14" t="s">
        <v>348</v>
      </c>
      <c r="F14">
        <v>7.65</v>
      </c>
      <c r="H14">
        <v>6.96</v>
      </c>
      <c r="I14">
        <v>0</v>
      </c>
      <c r="J14">
        <v>0</v>
      </c>
      <c r="K14">
        <v>0.69</v>
      </c>
      <c r="L14" t="s">
        <v>322</v>
      </c>
      <c r="M14" s="1">
        <v>46269</v>
      </c>
      <c r="N14">
        <v>160</v>
      </c>
      <c r="O14">
        <v>26.6952</v>
      </c>
      <c r="P14">
        <v>4</v>
      </c>
      <c r="Q14">
        <v>1</v>
      </c>
      <c r="R14" t="s">
        <v>29</v>
      </c>
      <c r="T14">
        <v>30.37974683544304</v>
      </c>
      <c r="U14">
        <v>5.0687088607594939</v>
      </c>
      <c r="V14">
        <v>0.75949367088607589</v>
      </c>
      <c r="W14">
        <v>0.189873417721519</v>
      </c>
      <c r="X14" t="s">
        <v>31</v>
      </c>
    </row>
    <row r="15" spans="1:24" x14ac:dyDescent="0.25">
      <c r="A15" t="s">
        <v>323</v>
      </c>
      <c r="B15" t="s">
        <v>349</v>
      </c>
      <c r="C15" s="1">
        <v>46271</v>
      </c>
      <c r="D15" t="s">
        <v>26</v>
      </c>
      <c r="E15" t="s">
        <v>350</v>
      </c>
      <c r="F15">
        <v>20.399999999999999</v>
      </c>
      <c r="I15">
        <v>0</v>
      </c>
      <c r="J15">
        <v>0</v>
      </c>
      <c r="K15">
        <v>20.399999999999999</v>
      </c>
      <c r="L15" t="s">
        <v>322</v>
      </c>
      <c r="M15" s="1">
        <v>46271</v>
      </c>
      <c r="N15">
        <v>305</v>
      </c>
      <c r="O15">
        <v>51.239999999999988</v>
      </c>
      <c r="P15">
        <v>6</v>
      </c>
      <c r="Q15">
        <v>1</v>
      </c>
      <c r="R15" t="s">
        <v>29</v>
      </c>
      <c r="S15" t="s">
        <v>30</v>
      </c>
      <c r="T15">
        <v>57.911392405063303</v>
      </c>
      <c r="U15">
        <v>9.7291139240506332</v>
      </c>
      <c r="V15">
        <v>1.139240506329114</v>
      </c>
      <c r="W15">
        <v>0.189873417721519</v>
      </c>
      <c r="X15" t="s">
        <v>31</v>
      </c>
    </row>
    <row r="16" spans="1:24" x14ac:dyDescent="0.25">
      <c r="A16" t="s">
        <v>326</v>
      </c>
      <c r="B16" t="s">
        <v>351</v>
      </c>
      <c r="C16" s="1">
        <v>46271</v>
      </c>
      <c r="D16" t="s">
        <v>26</v>
      </c>
      <c r="E16" t="s">
        <v>352</v>
      </c>
      <c r="F16">
        <v>7.65</v>
      </c>
      <c r="H16">
        <v>6.84</v>
      </c>
      <c r="I16">
        <v>0</v>
      </c>
      <c r="J16">
        <v>0</v>
      </c>
      <c r="K16">
        <v>0.81</v>
      </c>
      <c r="L16" t="s">
        <v>322</v>
      </c>
      <c r="M16" s="1">
        <v>46270</v>
      </c>
      <c r="N16">
        <v>141</v>
      </c>
      <c r="O16">
        <v>20.454000000000001</v>
      </c>
      <c r="P16">
        <v>4</v>
      </c>
      <c r="Q16">
        <v>1</v>
      </c>
      <c r="R16" t="s">
        <v>29</v>
      </c>
      <c r="T16">
        <v>26.77215189873418</v>
      </c>
      <c r="U16">
        <v>3.883670886075949</v>
      </c>
      <c r="V16">
        <v>0.75949367088607589</v>
      </c>
      <c r="W16">
        <v>0.189873417721519</v>
      </c>
      <c r="X16" t="s">
        <v>31</v>
      </c>
    </row>
    <row r="17" spans="1:24" x14ac:dyDescent="0.25">
      <c r="A17" t="s">
        <v>339</v>
      </c>
      <c r="B17" t="s">
        <v>353</v>
      </c>
      <c r="C17" s="1">
        <v>46271</v>
      </c>
      <c r="D17" t="s">
        <v>26</v>
      </c>
      <c r="E17" t="s">
        <v>354</v>
      </c>
      <c r="F17">
        <v>14.78</v>
      </c>
      <c r="I17">
        <v>0</v>
      </c>
      <c r="J17">
        <v>0</v>
      </c>
      <c r="K17">
        <v>14.78</v>
      </c>
      <c r="L17" t="s">
        <v>322</v>
      </c>
      <c r="M17" s="1">
        <v>46270</v>
      </c>
      <c r="N17">
        <v>282</v>
      </c>
      <c r="O17">
        <v>26.401199999999999</v>
      </c>
      <c r="P17">
        <v>8</v>
      </c>
      <c r="Q17">
        <v>1</v>
      </c>
      <c r="R17" t="s">
        <v>29</v>
      </c>
      <c r="S17" t="s">
        <v>30</v>
      </c>
      <c r="T17">
        <v>53.544303797468352</v>
      </c>
      <c r="U17">
        <v>5.0128860759493667</v>
      </c>
      <c r="V17">
        <v>1.518987341772152</v>
      </c>
      <c r="W17">
        <v>0.189873417721519</v>
      </c>
      <c r="X17" t="s">
        <v>31</v>
      </c>
    </row>
    <row r="18" spans="1:24" x14ac:dyDescent="0.25">
      <c r="A18" t="s">
        <v>24</v>
      </c>
      <c r="B18" t="s">
        <v>355</v>
      </c>
      <c r="C18" s="1">
        <v>46271</v>
      </c>
      <c r="D18" t="s">
        <v>26</v>
      </c>
      <c r="E18" t="s">
        <v>356</v>
      </c>
      <c r="F18">
        <v>7.65</v>
      </c>
      <c r="H18">
        <v>7.04</v>
      </c>
      <c r="I18">
        <v>0</v>
      </c>
      <c r="J18">
        <v>0</v>
      </c>
      <c r="K18">
        <v>0.61</v>
      </c>
      <c r="L18" t="s">
        <v>322</v>
      </c>
      <c r="M18" s="1">
        <v>46271</v>
      </c>
      <c r="N18">
        <v>149</v>
      </c>
      <c r="O18">
        <v>22.6296</v>
      </c>
      <c r="P18">
        <v>7</v>
      </c>
      <c r="Q18">
        <v>1</v>
      </c>
      <c r="R18" t="s">
        <v>29</v>
      </c>
      <c r="T18">
        <v>28.291139240506329</v>
      </c>
      <c r="U18">
        <v>4.2967594936708853</v>
      </c>
      <c r="V18">
        <v>1.3291139240506331</v>
      </c>
      <c r="W18">
        <v>0.189873417721519</v>
      </c>
      <c r="X18" t="s">
        <v>31</v>
      </c>
    </row>
    <row r="19" spans="1:24" x14ac:dyDescent="0.25">
      <c r="A19" t="s">
        <v>357</v>
      </c>
      <c r="B19" t="s">
        <v>358</v>
      </c>
      <c r="C19" s="1">
        <v>46229</v>
      </c>
      <c r="D19" t="s">
        <v>26</v>
      </c>
      <c r="E19" t="s">
        <v>359</v>
      </c>
      <c r="F19">
        <v>13.6</v>
      </c>
      <c r="I19">
        <v>0</v>
      </c>
      <c r="J19">
        <v>0</v>
      </c>
      <c r="K19">
        <v>13.6</v>
      </c>
      <c r="L19" t="s">
        <v>322</v>
      </c>
      <c r="M19" s="1">
        <v>46229</v>
      </c>
      <c r="N19">
        <v>80</v>
      </c>
      <c r="O19">
        <v>13.44</v>
      </c>
      <c r="P19">
        <v>4</v>
      </c>
      <c r="Q19">
        <v>1</v>
      </c>
      <c r="R19" t="s">
        <v>29</v>
      </c>
      <c r="S19" t="s">
        <v>30</v>
      </c>
      <c r="T19">
        <v>15.18987341772152</v>
      </c>
      <c r="U19">
        <v>2.551898734177215</v>
      </c>
      <c r="V19">
        <v>0.75949367088607589</v>
      </c>
      <c r="W19">
        <v>0.189873417721519</v>
      </c>
      <c r="X19" t="s">
        <v>31</v>
      </c>
    </row>
    <row r="20" spans="1:24" x14ac:dyDescent="0.25">
      <c r="A20" t="s">
        <v>319</v>
      </c>
      <c r="B20" t="s">
        <v>360</v>
      </c>
      <c r="C20" s="1">
        <v>46248</v>
      </c>
      <c r="D20" t="s">
        <v>26</v>
      </c>
      <c r="E20" t="s">
        <v>361</v>
      </c>
      <c r="F20">
        <v>7.65</v>
      </c>
      <c r="H20">
        <v>6.73</v>
      </c>
      <c r="I20">
        <v>0</v>
      </c>
      <c r="J20">
        <v>0</v>
      </c>
      <c r="K20">
        <v>0.92</v>
      </c>
      <c r="L20" t="s">
        <v>322</v>
      </c>
      <c r="M20" s="1">
        <v>46248</v>
      </c>
      <c r="N20">
        <v>86</v>
      </c>
      <c r="O20">
        <v>14.448</v>
      </c>
      <c r="P20">
        <v>4</v>
      </c>
      <c r="Q20">
        <v>1</v>
      </c>
      <c r="R20" t="s">
        <v>29</v>
      </c>
      <c r="S20" t="s">
        <v>362</v>
      </c>
      <c r="T20">
        <v>16.329113924050631</v>
      </c>
      <c r="U20">
        <v>2.7432911392405059</v>
      </c>
      <c r="V20">
        <v>0.75949367088607589</v>
      </c>
      <c r="W20">
        <v>0.189873417721519</v>
      </c>
      <c r="X20" t="s">
        <v>31</v>
      </c>
    </row>
    <row r="21" spans="1:24" x14ac:dyDescent="0.25">
      <c r="A21" t="s">
        <v>24</v>
      </c>
      <c r="B21" t="s">
        <v>363</v>
      </c>
      <c r="C21" s="1">
        <v>46271</v>
      </c>
      <c r="D21" t="s">
        <v>26</v>
      </c>
      <c r="E21" t="s">
        <v>364</v>
      </c>
      <c r="F21">
        <v>7.65</v>
      </c>
      <c r="I21">
        <v>0</v>
      </c>
      <c r="J21">
        <v>0</v>
      </c>
      <c r="K21">
        <v>7.65</v>
      </c>
      <c r="L21" t="s">
        <v>322</v>
      </c>
      <c r="M21" s="1">
        <v>46271</v>
      </c>
      <c r="N21">
        <v>97</v>
      </c>
      <c r="O21">
        <v>12.9696</v>
      </c>
      <c r="P21">
        <v>3</v>
      </c>
      <c r="Q21">
        <v>1</v>
      </c>
      <c r="R21" t="s">
        <v>29</v>
      </c>
      <c r="S21" t="s">
        <v>157</v>
      </c>
      <c r="T21">
        <v>18.417721518987339</v>
      </c>
      <c r="U21">
        <v>2.4625822784810132</v>
      </c>
      <c r="V21">
        <v>0.569620253164557</v>
      </c>
      <c r="W21">
        <v>0.189873417721519</v>
      </c>
      <c r="X21" t="s">
        <v>31</v>
      </c>
    </row>
    <row r="22" spans="1:24" x14ac:dyDescent="0.25">
      <c r="A22" t="s">
        <v>339</v>
      </c>
      <c r="B22" t="s">
        <v>365</v>
      </c>
      <c r="C22" s="1">
        <v>46271</v>
      </c>
      <c r="D22" t="s">
        <v>26</v>
      </c>
      <c r="E22" t="s">
        <v>366</v>
      </c>
      <c r="F22">
        <v>14.78</v>
      </c>
      <c r="H22">
        <v>13.89</v>
      </c>
      <c r="I22">
        <v>0</v>
      </c>
      <c r="J22">
        <v>0</v>
      </c>
      <c r="K22">
        <v>0.89</v>
      </c>
      <c r="L22" t="s">
        <v>322</v>
      </c>
      <c r="M22" s="1">
        <v>46270</v>
      </c>
      <c r="N22">
        <v>311</v>
      </c>
      <c r="O22">
        <v>34.507199999999997</v>
      </c>
      <c r="P22">
        <v>4</v>
      </c>
      <c r="Q22">
        <v>1</v>
      </c>
      <c r="R22" t="s">
        <v>29</v>
      </c>
      <c r="T22">
        <v>59.050632911392412</v>
      </c>
      <c r="U22">
        <v>6.5519999999999996</v>
      </c>
      <c r="V22">
        <v>0.75949367088607589</v>
      </c>
      <c r="W22">
        <v>0.189873417721519</v>
      </c>
      <c r="X22" t="s">
        <v>31</v>
      </c>
    </row>
    <row r="23" spans="1:24" x14ac:dyDescent="0.25">
      <c r="A23" t="s">
        <v>326</v>
      </c>
      <c r="B23" t="s">
        <v>367</v>
      </c>
      <c r="C23" s="1">
        <v>46271</v>
      </c>
      <c r="D23" t="s">
        <v>26</v>
      </c>
      <c r="E23" t="s">
        <v>368</v>
      </c>
      <c r="F23">
        <v>55.93</v>
      </c>
      <c r="H23">
        <v>55.47</v>
      </c>
      <c r="I23">
        <v>0</v>
      </c>
      <c r="J23">
        <v>0</v>
      </c>
      <c r="K23">
        <v>0.46</v>
      </c>
      <c r="L23" t="s">
        <v>322</v>
      </c>
      <c r="M23" s="1">
        <v>46271</v>
      </c>
      <c r="N23">
        <v>663</v>
      </c>
      <c r="O23">
        <v>108.4272</v>
      </c>
      <c r="P23">
        <v>8</v>
      </c>
      <c r="Q23">
        <v>2</v>
      </c>
      <c r="R23" t="s">
        <v>140</v>
      </c>
      <c r="T23">
        <v>125.8860759493671</v>
      </c>
      <c r="U23">
        <v>20.58744303797468</v>
      </c>
      <c r="V23">
        <v>1.518987341772152</v>
      </c>
      <c r="W23">
        <v>0.37974683544303789</v>
      </c>
      <c r="X23" t="s">
        <v>31</v>
      </c>
    </row>
    <row r="24" spans="1:24" x14ac:dyDescent="0.25">
      <c r="A24" t="s">
        <v>339</v>
      </c>
      <c r="B24" t="s">
        <v>369</v>
      </c>
      <c r="C24" s="1">
        <v>46271</v>
      </c>
      <c r="D24" t="s">
        <v>26</v>
      </c>
      <c r="E24" t="s">
        <v>114</v>
      </c>
      <c r="F24">
        <v>14.78</v>
      </c>
      <c r="I24">
        <v>0</v>
      </c>
      <c r="J24">
        <v>0</v>
      </c>
      <c r="K24">
        <v>14.78</v>
      </c>
      <c r="L24" t="s">
        <v>322</v>
      </c>
      <c r="M24" s="1">
        <v>46270</v>
      </c>
      <c r="N24">
        <v>208</v>
      </c>
      <c r="O24">
        <v>17.203199999999999</v>
      </c>
      <c r="P24">
        <v>2</v>
      </c>
      <c r="Q24">
        <v>1</v>
      </c>
      <c r="R24" t="s">
        <v>29</v>
      </c>
      <c r="S24" t="s">
        <v>30</v>
      </c>
      <c r="T24">
        <v>39.493670886075947</v>
      </c>
      <c r="U24">
        <v>3.266430379746835</v>
      </c>
      <c r="V24">
        <v>0.37974683544303789</v>
      </c>
      <c r="W24">
        <v>0.189873417721519</v>
      </c>
      <c r="X24" t="s">
        <v>31</v>
      </c>
    </row>
    <row r="25" spans="1:24" x14ac:dyDescent="0.25">
      <c r="A25" t="s">
        <v>370</v>
      </c>
      <c r="B25" t="s">
        <v>371</v>
      </c>
      <c r="C25" s="1">
        <v>46271</v>
      </c>
      <c r="D25" t="s">
        <v>26</v>
      </c>
      <c r="E25" t="s">
        <v>372</v>
      </c>
      <c r="F25">
        <v>38.5</v>
      </c>
      <c r="H25">
        <v>34.950000000000003</v>
      </c>
      <c r="I25">
        <v>0</v>
      </c>
      <c r="J25">
        <v>0</v>
      </c>
      <c r="K25">
        <v>3.55</v>
      </c>
      <c r="L25" t="s">
        <v>322</v>
      </c>
      <c r="M25" s="1">
        <v>46271</v>
      </c>
      <c r="N25">
        <v>2329</v>
      </c>
      <c r="O25">
        <v>268.5444</v>
      </c>
      <c r="P25">
        <v>25</v>
      </c>
      <c r="Q25">
        <v>2</v>
      </c>
      <c r="R25" t="s">
        <v>140</v>
      </c>
      <c r="S25" t="s">
        <v>157</v>
      </c>
      <c r="T25">
        <v>442.21518987341773</v>
      </c>
      <c r="U25">
        <v>50.989443037974681</v>
      </c>
      <c r="V25">
        <v>4.7468354430379751</v>
      </c>
      <c r="W25">
        <v>0.37974683544303789</v>
      </c>
      <c r="X25" t="s">
        <v>31</v>
      </c>
    </row>
    <row r="26" spans="1:24" x14ac:dyDescent="0.25">
      <c r="A26" t="s">
        <v>339</v>
      </c>
      <c r="B26" t="s">
        <v>373</v>
      </c>
      <c r="C26" s="1">
        <v>46271</v>
      </c>
      <c r="D26" t="s">
        <v>26</v>
      </c>
      <c r="E26" t="s">
        <v>374</v>
      </c>
      <c r="F26">
        <v>14.78</v>
      </c>
      <c r="H26">
        <v>14.06</v>
      </c>
      <c r="I26">
        <v>0</v>
      </c>
      <c r="J26">
        <v>0</v>
      </c>
      <c r="K26">
        <v>0.72</v>
      </c>
      <c r="L26" t="s">
        <v>322</v>
      </c>
      <c r="M26" s="1">
        <v>46271</v>
      </c>
      <c r="N26">
        <v>564</v>
      </c>
      <c r="O26">
        <v>74.054400000000001</v>
      </c>
      <c r="P26">
        <v>8</v>
      </c>
      <c r="Q26">
        <v>1</v>
      </c>
      <c r="R26" t="s">
        <v>29</v>
      </c>
      <c r="T26">
        <v>107.0886075949367</v>
      </c>
      <c r="U26">
        <v>14.06096202531646</v>
      </c>
      <c r="V26">
        <v>1.518987341772152</v>
      </c>
      <c r="W26">
        <v>0.189873417721519</v>
      </c>
      <c r="X26" t="s">
        <v>31</v>
      </c>
    </row>
    <row r="27" spans="1:24" x14ac:dyDescent="0.25">
      <c r="A27" t="s">
        <v>375</v>
      </c>
      <c r="B27" t="s">
        <v>376</v>
      </c>
      <c r="C27" s="1">
        <v>46259</v>
      </c>
      <c r="D27" t="s">
        <v>26</v>
      </c>
      <c r="E27" t="s">
        <v>377</v>
      </c>
      <c r="F27">
        <v>14.78</v>
      </c>
      <c r="H27">
        <v>13.65</v>
      </c>
      <c r="I27">
        <v>0</v>
      </c>
      <c r="J27">
        <v>0</v>
      </c>
      <c r="K27">
        <v>1.1299999999999999</v>
      </c>
      <c r="L27" t="s">
        <v>322</v>
      </c>
      <c r="M27" s="1">
        <v>46259</v>
      </c>
      <c r="N27">
        <v>192</v>
      </c>
      <c r="O27">
        <v>14.5152</v>
      </c>
      <c r="P27">
        <v>1</v>
      </c>
      <c r="Q27">
        <v>1</v>
      </c>
      <c r="R27" t="s">
        <v>29</v>
      </c>
      <c r="S27" t="s">
        <v>362</v>
      </c>
      <c r="T27">
        <v>36.455696202531648</v>
      </c>
      <c r="U27">
        <v>2.7560506329113919</v>
      </c>
      <c r="V27">
        <v>0.189873417721519</v>
      </c>
      <c r="W27">
        <v>0.189873417721519</v>
      </c>
      <c r="X27" t="s">
        <v>31</v>
      </c>
    </row>
    <row r="28" spans="1:24" x14ac:dyDescent="0.25">
      <c r="A28" t="s">
        <v>339</v>
      </c>
      <c r="B28" t="s">
        <v>378</v>
      </c>
      <c r="C28" s="1">
        <v>46271</v>
      </c>
      <c r="D28" t="s">
        <v>26</v>
      </c>
      <c r="E28" t="s">
        <v>379</v>
      </c>
      <c r="F28">
        <v>14.78</v>
      </c>
      <c r="H28">
        <v>13.77</v>
      </c>
      <c r="I28">
        <v>0</v>
      </c>
      <c r="J28">
        <v>0</v>
      </c>
      <c r="K28">
        <v>1.01</v>
      </c>
      <c r="L28" t="s">
        <v>322</v>
      </c>
      <c r="M28" s="1">
        <v>46270</v>
      </c>
      <c r="N28">
        <v>282</v>
      </c>
      <c r="O28">
        <v>26.770800000000001</v>
      </c>
      <c r="P28">
        <v>5</v>
      </c>
      <c r="Q28">
        <v>1</v>
      </c>
      <c r="R28" t="s">
        <v>29</v>
      </c>
      <c r="S28" t="s">
        <v>362</v>
      </c>
      <c r="T28">
        <v>53.544303797468352</v>
      </c>
      <c r="U28">
        <v>5.0830632911392399</v>
      </c>
      <c r="V28">
        <v>0.949367088607595</v>
      </c>
      <c r="W28">
        <v>0.189873417721519</v>
      </c>
      <c r="X28" t="s">
        <v>31</v>
      </c>
    </row>
    <row r="29" spans="1:24" x14ac:dyDescent="0.25">
      <c r="A29" t="s">
        <v>326</v>
      </c>
      <c r="B29" t="s">
        <v>380</v>
      </c>
      <c r="C29" s="1">
        <v>46271</v>
      </c>
      <c r="D29" t="s">
        <v>26</v>
      </c>
      <c r="E29" t="s">
        <v>381</v>
      </c>
      <c r="F29">
        <v>13.6</v>
      </c>
      <c r="I29">
        <v>0</v>
      </c>
      <c r="J29">
        <v>0</v>
      </c>
      <c r="K29">
        <v>13.6</v>
      </c>
      <c r="L29" t="s">
        <v>322</v>
      </c>
      <c r="M29" s="1">
        <v>46270</v>
      </c>
      <c r="N29">
        <v>162</v>
      </c>
      <c r="O29">
        <v>23.7972</v>
      </c>
      <c r="P29">
        <v>7</v>
      </c>
      <c r="Q29">
        <v>1</v>
      </c>
      <c r="R29" t="s">
        <v>29</v>
      </c>
      <c r="S29" t="s">
        <v>30</v>
      </c>
      <c r="T29">
        <v>30.759493670886069</v>
      </c>
      <c r="U29">
        <v>4.5184556962025324</v>
      </c>
      <c r="V29">
        <v>1.3291139240506331</v>
      </c>
      <c r="W29">
        <v>0.189873417721519</v>
      </c>
      <c r="X29" t="s">
        <v>31</v>
      </c>
    </row>
    <row r="30" spans="1:24" x14ac:dyDescent="0.25">
      <c r="A30" t="s">
        <v>323</v>
      </c>
      <c r="B30" t="s">
        <v>382</v>
      </c>
      <c r="C30" s="1">
        <v>46271</v>
      </c>
      <c r="D30" t="s">
        <v>26</v>
      </c>
      <c r="E30" t="s">
        <v>383</v>
      </c>
      <c r="F30">
        <v>20.399999999999999</v>
      </c>
      <c r="I30">
        <v>0</v>
      </c>
      <c r="J30">
        <v>0</v>
      </c>
      <c r="K30">
        <v>20.399999999999999</v>
      </c>
      <c r="L30" t="s">
        <v>322</v>
      </c>
      <c r="M30" s="1">
        <v>46271</v>
      </c>
      <c r="N30">
        <v>320</v>
      </c>
      <c r="O30">
        <v>50.433599999999998</v>
      </c>
      <c r="P30">
        <v>7</v>
      </c>
      <c r="Q30">
        <v>2</v>
      </c>
      <c r="R30" t="s">
        <v>140</v>
      </c>
      <c r="S30" t="s">
        <v>30</v>
      </c>
      <c r="T30">
        <v>60.75949367088608</v>
      </c>
      <c r="U30">
        <v>9.5759999999999987</v>
      </c>
      <c r="V30">
        <v>1.3291139240506331</v>
      </c>
      <c r="W30">
        <v>0.37974683544303789</v>
      </c>
      <c r="X30" t="s">
        <v>44</v>
      </c>
    </row>
    <row r="31" spans="1:24" x14ac:dyDescent="0.25">
      <c r="A31" t="s">
        <v>326</v>
      </c>
      <c r="B31" t="s">
        <v>384</v>
      </c>
      <c r="C31" s="1">
        <v>46271</v>
      </c>
      <c r="D31" t="s">
        <v>26</v>
      </c>
      <c r="E31" t="s">
        <v>383</v>
      </c>
      <c r="F31">
        <v>13.6</v>
      </c>
      <c r="I31">
        <v>0</v>
      </c>
      <c r="J31">
        <v>0</v>
      </c>
      <c r="K31">
        <v>13.6</v>
      </c>
      <c r="L31" t="s">
        <v>322</v>
      </c>
      <c r="M31" s="1">
        <v>46271</v>
      </c>
      <c r="N31">
        <v>320</v>
      </c>
      <c r="O31">
        <v>50.433599999999998</v>
      </c>
      <c r="P31">
        <v>7</v>
      </c>
      <c r="Q31">
        <v>2</v>
      </c>
      <c r="R31" t="s">
        <v>140</v>
      </c>
      <c r="S31" t="s">
        <v>30</v>
      </c>
      <c r="T31">
        <v>60.75949367088608</v>
      </c>
      <c r="U31">
        <v>9.5759999999999987</v>
      </c>
      <c r="V31">
        <v>1.3291139240506331</v>
      </c>
      <c r="W31">
        <v>0.37974683544303789</v>
      </c>
      <c r="X31" t="s">
        <v>42</v>
      </c>
    </row>
    <row r="32" spans="1:24" x14ac:dyDescent="0.25">
      <c r="A32" t="s">
        <v>323</v>
      </c>
      <c r="B32" t="s">
        <v>385</v>
      </c>
      <c r="C32" s="1">
        <v>46271</v>
      </c>
      <c r="D32" t="s">
        <v>26</v>
      </c>
      <c r="E32" t="s">
        <v>386</v>
      </c>
      <c r="F32">
        <v>20.399999999999999</v>
      </c>
      <c r="I32">
        <v>0</v>
      </c>
      <c r="J32">
        <v>0</v>
      </c>
      <c r="K32">
        <v>20.399999999999999</v>
      </c>
      <c r="L32" t="s">
        <v>322</v>
      </c>
      <c r="M32" s="1">
        <v>46271</v>
      </c>
      <c r="N32">
        <v>457</v>
      </c>
      <c r="O32">
        <v>69.106799999999993</v>
      </c>
      <c r="P32">
        <v>4</v>
      </c>
      <c r="Q32">
        <v>1</v>
      </c>
      <c r="R32" t="s">
        <v>29</v>
      </c>
      <c r="S32" t="s">
        <v>30</v>
      </c>
      <c r="T32">
        <v>86.77215189873418</v>
      </c>
      <c r="U32">
        <v>13.121544303797471</v>
      </c>
      <c r="V32">
        <v>0.75949367088607589</v>
      </c>
      <c r="W32">
        <v>0.189873417721519</v>
      </c>
      <c r="X32" t="s">
        <v>31</v>
      </c>
    </row>
    <row r="33" spans="1:24" x14ac:dyDescent="0.25">
      <c r="A33" t="s">
        <v>357</v>
      </c>
      <c r="B33" t="s">
        <v>387</v>
      </c>
      <c r="C33" s="1">
        <v>46229</v>
      </c>
      <c r="D33" t="s">
        <v>26</v>
      </c>
      <c r="E33" t="s">
        <v>388</v>
      </c>
      <c r="F33">
        <v>13.6</v>
      </c>
      <c r="I33">
        <v>0</v>
      </c>
      <c r="J33">
        <v>0</v>
      </c>
      <c r="K33">
        <v>13.6</v>
      </c>
      <c r="L33" t="s">
        <v>322</v>
      </c>
      <c r="M33" s="1">
        <v>46229</v>
      </c>
      <c r="N33">
        <v>80</v>
      </c>
      <c r="O33">
        <v>13.44</v>
      </c>
      <c r="P33">
        <v>4</v>
      </c>
      <c r="Q33">
        <v>1</v>
      </c>
      <c r="R33" t="s">
        <v>29</v>
      </c>
      <c r="S33" t="s">
        <v>30</v>
      </c>
      <c r="T33">
        <v>15.18987341772152</v>
      </c>
      <c r="U33">
        <v>2.551898734177215</v>
      </c>
      <c r="V33">
        <v>0.75949367088607589</v>
      </c>
      <c r="W33">
        <v>0.189873417721519</v>
      </c>
      <c r="X33" t="s">
        <v>31</v>
      </c>
    </row>
    <row r="34" spans="1:24" x14ac:dyDescent="0.25">
      <c r="A34" t="s">
        <v>339</v>
      </c>
      <c r="B34" t="s">
        <v>389</v>
      </c>
      <c r="C34" s="1">
        <v>46271</v>
      </c>
      <c r="D34" t="s">
        <v>26</v>
      </c>
      <c r="E34" t="s">
        <v>390</v>
      </c>
      <c r="F34">
        <v>14.78</v>
      </c>
      <c r="H34">
        <v>14.06</v>
      </c>
      <c r="I34">
        <v>0</v>
      </c>
      <c r="J34">
        <v>0</v>
      </c>
      <c r="K34">
        <v>0.72</v>
      </c>
      <c r="L34" t="s">
        <v>322</v>
      </c>
      <c r="M34" s="1">
        <v>46270</v>
      </c>
      <c r="N34">
        <v>289</v>
      </c>
      <c r="O34">
        <v>27.4848</v>
      </c>
      <c r="P34">
        <v>4</v>
      </c>
      <c r="Q34">
        <v>1</v>
      </c>
      <c r="R34" t="s">
        <v>29</v>
      </c>
      <c r="T34">
        <v>54.87341772151899</v>
      </c>
      <c r="U34">
        <v>5.2186329113924046</v>
      </c>
      <c r="V34">
        <v>0.75949367088607589</v>
      </c>
      <c r="W34">
        <v>0.189873417721519</v>
      </c>
      <c r="X34" t="s">
        <v>31</v>
      </c>
    </row>
    <row r="35" spans="1:24" x14ac:dyDescent="0.25">
      <c r="A35" t="s">
        <v>326</v>
      </c>
      <c r="B35" t="s">
        <v>391</v>
      </c>
      <c r="C35" s="1">
        <v>46271</v>
      </c>
      <c r="D35" t="s">
        <v>26</v>
      </c>
      <c r="E35" t="s">
        <v>392</v>
      </c>
      <c r="F35">
        <v>20.399999999999999</v>
      </c>
      <c r="I35">
        <v>0</v>
      </c>
      <c r="J35">
        <v>0</v>
      </c>
      <c r="K35">
        <v>20.399999999999999</v>
      </c>
      <c r="L35" t="s">
        <v>322</v>
      </c>
      <c r="M35" s="1">
        <v>46270</v>
      </c>
      <c r="N35">
        <v>169</v>
      </c>
      <c r="O35">
        <v>28.488</v>
      </c>
      <c r="P35">
        <v>5</v>
      </c>
      <c r="Q35">
        <v>2</v>
      </c>
      <c r="R35" t="s">
        <v>140</v>
      </c>
      <c r="S35" t="s">
        <v>30</v>
      </c>
      <c r="T35">
        <v>32.088607594936697</v>
      </c>
      <c r="U35">
        <v>5.409113924050633</v>
      </c>
      <c r="V35">
        <v>0.949367088607595</v>
      </c>
      <c r="W35">
        <v>0.37974683544303789</v>
      </c>
      <c r="X35" t="s">
        <v>31</v>
      </c>
    </row>
    <row r="36" spans="1:24" x14ac:dyDescent="0.25">
      <c r="A36" t="s">
        <v>326</v>
      </c>
      <c r="B36" t="s">
        <v>393</v>
      </c>
      <c r="C36" s="1">
        <v>46271</v>
      </c>
      <c r="D36" t="s">
        <v>26</v>
      </c>
      <c r="E36" t="s">
        <v>394</v>
      </c>
      <c r="F36">
        <v>13.6</v>
      </c>
      <c r="I36">
        <v>0</v>
      </c>
      <c r="J36">
        <v>0</v>
      </c>
      <c r="K36">
        <v>13.6</v>
      </c>
      <c r="L36" t="s">
        <v>322</v>
      </c>
      <c r="M36" s="1">
        <v>46270</v>
      </c>
      <c r="N36">
        <v>385</v>
      </c>
      <c r="O36">
        <v>43.6128</v>
      </c>
      <c r="P36">
        <v>7</v>
      </c>
      <c r="Q36">
        <v>1</v>
      </c>
      <c r="R36" t="s">
        <v>29</v>
      </c>
      <c r="S36" t="s">
        <v>30</v>
      </c>
      <c r="T36">
        <v>73.101265822784811</v>
      </c>
      <c r="U36">
        <v>8.2809113924050628</v>
      </c>
      <c r="V36">
        <v>1.3291139240506331</v>
      </c>
      <c r="W36">
        <v>0.189873417721519</v>
      </c>
      <c r="X36" t="s">
        <v>44</v>
      </c>
    </row>
    <row r="37" spans="1:24" x14ac:dyDescent="0.25">
      <c r="A37" t="s">
        <v>339</v>
      </c>
      <c r="B37" t="s">
        <v>395</v>
      </c>
      <c r="C37" s="1">
        <v>46271</v>
      </c>
      <c r="D37" t="s">
        <v>26</v>
      </c>
      <c r="E37" t="s">
        <v>394</v>
      </c>
      <c r="F37">
        <v>14.78</v>
      </c>
      <c r="I37">
        <v>0</v>
      </c>
      <c r="J37">
        <v>0</v>
      </c>
      <c r="K37">
        <v>14.78</v>
      </c>
      <c r="L37" t="s">
        <v>322</v>
      </c>
      <c r="M37" s="1">
        <v>46270</v>
      </c>
      <c r="N37">
        <v>385</v>
      </c>
      <c r="O37">
        <v>43.6128</v>
      </c>
      <c r="P37">
        <v>7</v>
      </c>
      <c r="Q37">
        <v>1</v>
      </c>
      <c r="R37" t="s">
        <v>29</v>
      </c>
      <c r="S37" t="s">
        <v>30</v>
      </c>
      <c r="T37">
        <v>73.101265822784811</v>
      </c>
      <c r="U37">
        <v>8.2809113924050628</v>
      </c>
      <c r="V37">
        <v>1.3291139240506331</v>
      </c>
      <c r="W37">
        <v>0.189873417721519</v>
      </c>
      <c r="X37" t="s">
        <v>42</v>
      </c>
    </row>
    <row r="38" spans="1:24" x14ac:dyDescent="0.25">
      <c r="A38" t="s">
        <v>396</v>
      </c>
      <c r="B38" t="s">
        <v>397</v>
      </c>
      <c r="C38" s="1">
        <v>46248</v>
      </c>
      <c r="D38" t="s">
        <v>26</v>
      </c>
      <c r="E38" t="s">
        <v>163</v>
      </c>
      <c r="F38">
        <v>7.65</v>
      </c>
      <c r="I38">
        <v>0</v>
      </c>
      <c r="J38">
        <v>0</v>
      </c>
      <c r="K38">
        <v>7.65</v>
      </c>
      <c r="L38" t="s">
        <v>322</v>
      </c>
      <c r="M38" s="1">
        <v>46248</v>
      </c>
      <c r="N38">
        <v>96</v>
      </c>
      <c r="O38">
        <v>12.894</v>
      </c>
      <c r="P38">
        <v>4</v>
      </c>
      <c r="Q38">
        <v>1</v>
      </c>
      <c r="R38" t="s">
        <v>29</v>
      </c>
      <c r="S38" t="s">
        <v>157</v>
      </c>
      <c r="T38">
        <v>18.22784810126582</v>
      </c>
      <c r="U38">
        <v>2.4482278481012658</v>
      </c>
      <c r="V38">
        <v>0.75949367088607589</v>
      </c>
      <c r="W38">
        <v>0.189873417721519</v>
      </c>
      <c r="X38" t="s">
        <v>31</v>
      </c>
    </row>
    <row r="39" spans="1:24" x14ac:dyDescent="0.25">
      <c r="A39" t="s">
        <v>396</v>
      </c>
      <c r="B39" t="s">
        <v>398</v>
      </c>
      <c r="C39" s="1">
        <v>46248</v>
      </c>
      <c r="D39" t="s">
        <v>26</v>
      </c>
      <c r="E39" t="s">
        <v>399</v>
      </c>
      <c r="F39">
        <v>7.65</v>
      </c>
      <c r="H39">
        <v>6.79</v>
      </c>
      <c r="I39">
        <v>0</v>
      </c>
      <c r="J39">
        <v>0</v>
      </c>
      <c r="K39">
        <v>0.86</v>
      </c>
      <c r="L39" t="s">
        <v>322</v>
      </c>
      <c r="M39" s="1">
        <v>46248</v>
      </c>
      <c r="N39">
        <v>85</v>
      </c>
      <c r="O39">
        <v>14.28</v>
      </c>
      <c r="P39">
        <v>2</v>
      </c>
      <c r="Q39">
        <v>1</v>
      </c>
      <c r="R39" t="s">
        <v>29</v>
      </c>
      <c r="T39">
        <v>16.139240506329109</v>
      </c>
      <c r="U39">
        <v>2.7113924050632909</v>
      </c>
      <c r="V39">
        <v>0.37974683544303789</v>
      </c>
      <c r="W39">
        <v>0.189873417721519</v>
      </c>
      <c r="X39" t="s">
        <v>31</v>
      </c>
    </row>
    <row r="40" spans="1:24" x14ac:dyDescent="0.25">
      <c r="A40" t="s">
        <v>323</v>
      </c>
      <c r="B40" t="s">
        <v>400</v>
      </c>
      <c r="C40" s="1">
        <v>46271</v>
      </c>
      <c r="D40" t="s">
        <v>26</v>
      </c>
      <c r="E40" t="s">
        <v>401</v>
      </c>
      <c r="F40">
        <v>7.65</v>
      </c>
      <c r="H40">
        <v>7.07</v>
      </c>
      <c r="I40">
        <v>0</v>
      </c>
      <c r="J40">
        <v>0</v>
      </c>
      <c r="K40">
        <v>0.57999999999999996</v>
      </c>
      <c r="L40" t="s">
        <v>322</v>
      </c>
      <c r="M40" s="1">
        <v>46271</v>
      </c>
      <c r="N40">
        <v>139</v>
      </c>
      <c r="O40">
        <v>20.117999999999999</v>
      </c>
      <c r="P40">
        <v>5</v>
      </c>
      <c r="Q40">
        <v>1</v>
      </c>
      <c r="R40" t="s">
        <v>29</v>
      </c>
      <c r="T40">
        <v>26.39240506329114</v>
      </c>
      <c r="U40">
        <v>3.819873417721519</v>
      </c>
      <c r="V40">
        <v>0.949367088607595</v>
      </c>
      <c r="W40">
        <v>0.189873417721519</v>
      </c>
      <c r="X40" t="s">
        <v>31</v>
      </c>
    </row>
    <row r="41" spans="1:24" x14ac:dyDescent="0.25">
      <c r="A41" t="s">
        <v>339</v>
      </c>
      <c r="B41" t="s">
        <v>402</v>
      </c>
      <c r="C41" s="1">
        <v>46271</v>
      </c>
      <c r="D41" t="s">
        <v>26</v>
      </c>
      <c r="E41" t="s">
        <v>403</v>
      </c>
      <c r="F41">
        <v>14.78</v>
      </c>
      <c r="I41">
        <v>0</v>
      </c>
      <c r="J41">
        <v>0</v>
      </c>
      <c r="K41">
        <v>14.78</v>
      </c>
      <c r="L41" t="s">
        <v>322</v>
      </c>
      <c r="M41" s="1">
        <v>46270</v>
      </c>
      <c r="N41">
        <v>272</v>
      </c>
      <c r="O41">
        <v>27.955200000000001</v>
      </c>
      <c r="P41">
        <v>5</v>
      </c>
      <c r="Q41">
        <v>1</v>
      </c>
      <c r="R41" t="s">
        <v>29</v>
      </c>
      <c r="S41" t="s">
        <v>30</v>
      </c>
      <c r="T41">
        <v>51.64556962025317</v>
      </c>
      <c r="U41">
        <v>5.3079493670886073</v>
      </c>
      <c r="V41">
        <v>0.949367088607595</v>
      </c>
      <c r="W41">
        <v>0.189873417721519</v>
      </c>
      <c r="X41" t="s">
        <v>31</v>
      </c>
    </row>
    <row r="42" spans="1:24" x14ac:dyDescent="0.25">
      <c r="A42" t="s">
        <v>24</v>
      </c>
      <c r="B42" t="s">
        <v>404</v>
      </c>
      <c r="C42" s="1">
        <v>46271</v>
      </c>
      <c r="D42" t="s">
        <v>26</v>
      </c>
      <c r="E42" t="s">
        <v>165</v>
      </c>
      <c r="F42">
        <v>7.65</v>
      </c>
      <c r="I42">
        <v>0</v>
      </c>
      <c r="J42">
        <v>0</v>
      </c>
      <c r="K42">
        <v>7.65</v>
      </c>
      <c r="L42" t="s">
        <v>322</v>
      </c>
      <c r="M42" s="1">
        <v>46271</v>
      </c>
      <c r="N42">
        <v>137</v>
      </c>
      <c r="O42">
        <v>23.015999999999998</v>
      </c>
      <c r="P42">
        <v>6</v>
      </c>
      <c r="Q42">
        <v>1</v>
      </c>
      <c r="R42" t="s">
        <v>29</v>
      </c>
      <c r="S42" t="s">
        <v>157</v>
      </c>
      <c r="T42">
        <v>26.0126582278481</v>
      </c>
      <c r="U42">
        <v>4.3701265822784796</v>
      </c>
      <c r="V42">
        <v>1.139240506329114</v>
      </c>
      <c r="W42">
        <v>0.189873417721519</v>
      </c>
      <c r="X42" t="s">
        <v>31</v>
      </c>
    </row>
    <row r="43" spans="1:24" x14ac:dyDescent="0.25">
      <c r="A43" t="s">
        <v>24</v>
      </c>
      <c r="B43" t="s">
        <v>405</v>
      </c>
      <c r="C43" s="1">
        <v>46271</v>
      </c>
      <c r="D43" t="s">
        <v>26</v>
      </c>
      <c r="E43" t="s">
        <v>406</v>
      </c>
      <c r="F43">
        <v>7.65</v>
      </c>
      <c r="I43">
        <v>0</v>
      </c>
      <c r="J43">
        <v>0</v>
      </c>
      <c r="K43">
        <v>7.65</v>
      </c>
      <c r="L43" t="s">
        <v>322</v>
      </c>
      <c r="M43" s="1">
        <v>46271</v>
      </c>
      <c r="N43">
        <v>214</v>
      </c>
      <c r="O43">
        <v>32.718000000000004</v>
      </c>
      <c r="P43">
        <v>4</v>
      </c>
      <c r="Q43">
        <v>1</v>
      </c>
      <c r="R43" t="s">
        <v>29</v>
      </c>
      <c r="S43" t="s">
        <v>157</v>
      </c>
      <c r="T43">
        <v>40.632911392405063</v>
      </c>
      <c r="U43">
        <v>6.2122784810126586</v>
      </c>
      <c r="V43">
        <v>0.75949367088607589</v>
      </c>
      <c r="W43">
        <v>0.189873417721519</v>
      </c>
      <c r="X43" t="s">
        <v>31</v>
      </c>
    </row>
    <row r="44" spans="1:24" x14ac:dyDescent="0.25">
      <c r="A44" t="s">
        <v>339</v>
      </c>
      <c r="B44" t="s">
        <v>407</v>
      </c>
      <c r="C44" s="1">
        <v>46271</v>
      </c>
      <c r="D44" t="s">
        <v>26</v>
      </c>
      <c r="E44" t="s">
        <v>408</v>
      </c>
      <c r="F44">
        <v>14.78</v>
      </c>
      <c r="I44">
        <v>0</v>
      </c>
      <c r="J44">
        <v>0</v>
      </c>
      <c r="K44">
        <v>14.78</v>
      </c>
      <c r="L44" t="s">
        <v>322</v>
      </c>
      <c r="M44" s="1">
        <v>46270</v>
      </c>
      <c r="N44">
        <v>272</v>
      </c>
      <c r="O44">
        <v>27.955200000000001</v>
      </c>
      <c r="P44">
        <v>5</v>
      </c>
      <c r="Q44">
        <v>1</v>
      </c>
      <c r="R44" t="s">
        <v>29</v>
      </c>
      <c r="S44" t="s">
        <v>30</v>
      </c>
      <c r="T44">
        <v>51.64556962025317</v>
      </c>
      <c r="U44">
        <v>5.3079493670886073</v>
      </c>
      <c r="V44">
        <v>0.949367088607595</v>
      </c>
      <c r="W44">
        <v>0.189873417721519</v>
      </c>
      <c r="X44" t="s">
        <v>31</v>
      </c>
    </row>
    <row r="45" spans="1:24" x14ac:dyDescent="0.25">
      <c r="A45" t="s">
        <v>323</v>
      </c>
      <c r="B45" t="s">
        <v>409</v>
      </c>
      <c r="C45" s="1">
        <v>46271</v>
      </c>
      <c r="D45" t="s">
        <v>26</v>
      </c>
      <c r="E45" t="s">
        <v>410</v>
      </c>
      <c r="F45">
        <v>7.65</v>
      </c>
      <c r="H45">
        <v>6.91</v>
      </c>
      <c r="I45">
        <v>0</v>
      </c>
      <c r="J45">
        <v>0</v>
      </c>
      <c r="K45">
        <v>0.74</v>
      </c>
      <c r="L45" t="s">
        <v>322</v>
      </c>
      <c r="M45" s="1">
        <v>46271</v>
      </c>
      <c r="N45">
        <v>106</v>
      </c>
      <c r="O45">
        <v>17.808</v>
      </c>
      <c r="P45">
        <v>4</v>
      </c>
      <c r="Q45">
        <v>1</v>
      </c>
      <c r="R45" t="s">
        <v>29</v>
      </c>
      <c r="T45">
        <v>20.12658227848101</v>
      </c>
      <c r="U45">
        <v>3.38126582278481</v>
      </c>
      <c r="V45">
        <v>0.75949367088607589</v>
      </c>
      <c r="W45">
        <v>0.189873417721519</v>
      </c>
      <c r="X45" t="s">
        <v>31</v>
      </c>
    </row>
    <row r="46" spans="1:24" x14ac:dyDescent="0.25">
      <c r="A46" t="s">
        <v>411</v>
      </c>
      <c r="B46" t="s">
        <v>412</v>
      </c>
      <c r="C46" s="1">
        <v>46229</v>
      </c>
      <c r="D46" t="s">
        <v>26</v>
      </c>
      <c r="E46" t="s">
        <v>413</v>
      </c>
      <c r="F46">
        <v>13.6</v>
      </c>
      <c r="I46">
        <v>0</v>
      </c>
      <c r="J46">
        <v>0</v>
      </c>
      <c r="K46">
        <v>13.6</v>
      </c>
      <c r="L46" t="s">
        <v>322</v>
      </c>
      <c r="M46" s="1">
        <v>46229</v>
      </c>
      <c r="N46">
        <v>80</v>
      </c>
      <c r="O46">
        <v>13.44</v>
      </c>
      <c r="P46">
        <v>5</v>
      </c>
      <c r="Q46">
        <v>1</v>
      </c>
      <c r="R46" t="s">
        <v>29</v>
      </c>
      <c r="S46" t="s">
        <v>30</v>
      </c>
      <c r="T46">
        <v>15.18987341772152</v>
      </c>
      <c r="U46">
        <v>2.551898734177215</v>
      </c>
      <c r="V46">
        <v>0.949367088607595</v>
      </c>
      <c r="W46">
        <v>0.189873417721519</v>
      </c>
      <c r="X46" t="s">
        <v>31</v>
      </c>
    </row>
    <row r="47" spans="1:24" x14ac:dyDescent="0.25">
      <c r="A47" t="s">
        <v>396</v>
      </c>
      <c r="B47" t="s">
        <v>414</v>
      </c>
      <c r="C47" s="1">
        <v>46248</v>
      </c>
      <c r="D47" t="s">
        <v>26</v>
      </c>
      <c r="E47" t="s">
        <v>415</v>
      </c>
      <c r="F47">
        <v>7.65</v>
      </c>
      <c r="H47">
        <v>6.98</v>
      </c>
      <c r="I47">
        <v>0</v>
      </c>
      <c r="J47">
        <v>0</v>
      </c>
      <c r="K47">
        <v>0.67</v>
      </c>
      <c r="L47" t="s">
        <v>322</v>
      </c>
      <c r="M47" s="1">
        <v>46248</v>
      </c>
      <c r="N47">
        <v>45</v>
      </c>
      <c r="O47">
        <v>7.56</v>
      </c>
      <c r="P47">
        <v>2</v>
      </c>
      <c r="Q47">
        <v>1</v>
      </c>
      <c r="R47" t="s">
        <v>29</v>
      </c>
      <c r="T47">
        <v>8.5443037974683556</v>
      </c>
      <c r="U47">
        <v>1.4354430379746841</v>
      </c>
      <c r="V47">
        <v>0.37974683544303789</v>
      </c>
      <c r="W47">
        <v>0.189873417721519</v>
      </c>
      <c r="X47" t="s">
        <v>31</v>
      </c>
    </row>
    <row r="48" spans="1:24" x14ac:dyDescent="0.25">
      <c r="A48" t="s">
        <v>339</v>
      </c>
      <c r="B48" t="s">
        <v>416</v>
      </c>
      <c r="C48" s="1">
        <v>46271</v>
      </c>
      <c r="D48" t="s">
        <v>26</v>
      </c>
      <c r="E48" t="s">
        <v>417</v>
      </c>
      <c r="F48">
        <v>14.78</v>
      </c>
      <c r="I48">
        <v>0</v>
      </c>
      <c r="J48">
        <v>0</v>
      </c>
      <c r="K48">
        <v>14.78</v>
      </c>
      <c r="L48" t="s">
        <v>322</v>
      </c>
      <c r="M48" s="1">
        <v>46270</v>
      </c>
      <c r="N48">
        <v>302</v>
      </c>
      <c r="O48">
        <v>32.995199999999997</v>
      </c>
      <c r="P48">
        <v>6</v>
      </c>
      <c r="Q48">
        <v>1</v>
      </c>
      <c r="R48" t="s">
        <v>29</v>
      </c>
      <c r="S48" t="s">
        <v>30</v>
      </c>
      <c r="T48">
        <v>57.341772151898731</v>
      </c>
      <c r="U48">
        <v>6.2649113924050628</v>
      </c>
      <c r="V48">
        <v>1.139240506329114</v>
      </c>
      <c r="W48">
        <v>0.189873417721519</v>
      </c>
      <c r="X48" t="s">
        <v>31</v>
      </c>
    </row>
    <row r="49" spans="1:24" x14ac:dyDescent="0.25">
      <c r="A49" t="s">
        <v>339</v>
      </c>
      <c r="B49" t="s">
        <v>418</v>
      </c>
      <c r="C49" s="1">
        <v>46271</v>
      </c>
      <c r="D49" t="s">
        <v>26</v>
      </c>
      <c r="E49" t="s">
        <v>175</v>
      </c>
      <c r="F49">
        <v>14.78</v>
      </c>
      <c r="I49">
        <v>0</v>
      </c>
      <c r="J49">
        <v>0</v>
      </c>
      <c r="K49">
        <v>14.78</v>
      </c>
      <c r="L49" t="s">
        <v>322</v>
      </c>
      <c r="M49" s="1">
        <v>46270</v>
      </c>
      <c r="N49">
        <v>276</v>
      </c>
      <c r="O49">
        <v>28.627199999999998</v>
      </c>
      <c r="P49">
        <v>4</v>
      </c>
      <c r="Q49">
        <v>1</v>
      </c>
      <c r="R49" t="s">
        <v>29</v>
      </c>
      <c r="S49" t="s">
        <v>30</v>
      </c>
      <c r="T49">
        <v>52.405063291139243</v>
      </c>
      <c r="U49">
        <v>5.4355443037974682</v>
      </c>
      <c r="V49">
        <v>0.75949367088607589</v>
      </c>
      <c r="W49">
        <v>0.189873417721519</v>
      </c>
      <c r="X49" t="s">
        <v>31</v>
      </c>
    </row>
    <row r="50" spans="1:24" x14ac:dyDescent="0.25">
      <c r="A50" t="s">
        <v>323</v>
      </c>
      <c r="B50" t="s">
        <v>419</v>
      </c>
      <c r="C50" s="1">
        <v>46271</v>
      </c>
      <c r="D50" t="s">
        <v>26</v>
      </c>
      <c r="E50" t="s">
        <v>177</v>
      </c>
      <c r="F50">
        <v>20.399999999999999</v>
      </c>
      <c r="I50">
        <v>0</v>
      </c>
      <c r="J50">
        <v>0</v>
      </c>
      <c r="K50">
        <v>20.399999999999999</v>
      </c>
      <c r="L50" t="s">
        <v>322</v>
      </c>
      <c r="M50" s="1">
        <v>46271</v>
      </c>
      <c r="N50">
        <v>198</v>
      </c>
      <c r="O50">
        <v>33.264000000000003</v>
      </c>
      <c r="P50">
        <v>7</v>
      </c>
      <c r="Q50">
        <v>1</v>
      </c>
      <c r="R50" t="s">
        <v>29</v>
      </c>
      <c r="S50" t="s">
        <v>30</v>
      </c>
      <c r="T50">
        <v>37.594936708860757</v>
      </c>
      <c r="U50">
        <v>6.3159493670886082</v>
      </c>
      <c r="V50">
        <v>1.3291139240506331</v>
      </c>
      <c r="W50">
        <v>0.189873417721519</v>
      </c>
      <c r="X50" t="s">
        <v>31</v>
      </c>
    </row>
    <row r="51" spans="1:24" x14ac:dyDescent="0.25">
      <c r="A51" t="s">
        <v>420</v>
      </c>
      <c r="B51" t="s">
        <v>421</v>
      </c>
      <c r="C51" s="1">
        <v>46248</v>
      </c>
      <c r="D51" t="s">
        <v>26</v>
      </c>
      <c r="E51" t="s">
        <v>422</v>
      </c>
      <c r="F51">
        <v>7.65</v>
      </c>
      <c r="I51">
        <v>0</v>
      </c>
      <c r="J51">
        <v>0</v>
      </c>
      <c r="K51">
        <v>7.65</v>
      </c>
      <c r="L51" t="s">
        <v>322</v>
      </c>
      <c r="M51" s="1">
        <v>46248</v>
      </c>
      <c r="N51">
        <v>60</v>
      </c>
      <c r="O51">
        <v>10.08</v>
      </c>
      <c r="P51">
        <v>3</v>
      </c>
      <c r="Q51">
        <v>1</v>
      </c>
      <c r="R51" t="s">
        <v>29</v>
      </c>
      <c r="S51" t="s">
        <v>157</v>
      </c>
      <c r="T51">
        <v>11.39240506329114</v>
      </c>
      <c r="U51">
        <v>1.913924050632912</v>
      </c>
      <c r="V51">
        <v>0.569620253164557</v>
      </c>
      <c r="W51">
        <v>0.189873417721519</v>
      </c>
      <c r="X51" t="s">
        <v>31</v>
      </c>
    </row>
    <row r="52" spans="1:24" x14ac:dyDescent="0.25">
      <c r="A52" t="s">
        <v>326</v>
      </c>
      <c r="B52" t="s">
        <v>423</v>
      </c>
      <c r="C52" s="1">
        <v>46271</v>
      </c>
      <c r="D52" t="s">
        <v>26</v>
      </c>
      <c r="E52" t="s">
        <v>424</v>
      </c>
      <c r="F52">
        <v>20.399999999999999</v>
      </c>
      <c r="I52">
        <v>0</v>
      </c>
      <c r="J52">
        <v>0</v>
      </c>
      <c r="K52">
        <v>20.399999999999999</v>
      </c>
      <c r="L52" t="s">
        <v>322</v>
      </c>
      <c r="M52" s="1">
        <v>46270</v>
      </c>
      <c r="N52">
        <v>326</v>
      </c>
      <c r="O52">
        <v>48.022799999999997</v>
      </c>
      <c r="P52">
        <v>9</v>
      </c>
      <c r="Q52">
        <v>1</v>
      </c>
      <c r="R52" t="s">
        <v>29</v>
      </c>
      <c r="S52" t="s">
        <v>30</v>
      </c>
      <c r="T52">
        <v>61.898734177215189</v>
      </c>
      <c r="U52">
        <v>9.1182531645569611</v>
      </c>
      <c r="V52">
        <v>1.7088607594936711</v>
      </c>
      <c r="W52">
        <v>0.189873417721519</v>
      </c>
      <c r="X52" t="s">
        <v>31</v>
      </c>
    </row>
    <row r="53" spans="1:24" x14ac:dyDescent="0.25">
      <c r="A53" t="s">
        <v>323</v>
      </c>
      <c r="B53" t="s">
        <v>425</v>
      </c>
      <c r="C53" s="1">
        <v>46271</v>
      </c>
      <c r="D53" t="s">
        <v>26</v>
      </c>
      <c r="E53" t="s">
        <v>426</v>
      </c>
      <c r="F53">
        <v>7.65</v>
      </c>
      <c r="H53">
        <v>6.88</v>
      </c>
      <c r="I53">
        <v>0</v>
      </c>
      <c r="J53">
        <v>0</v>
      </c>
      <c r="K53">
        <v>0.77</v>
      </c>
      <c r="L53" t="s">
        <v>322</v>
      </c>
      <c r="M53" s="1">
        <v>46271</v>
      </c>
      <c r="N53">
        <v>80</v>
      </c>
      <c r="O53">
        <v>10.206</v>
      </c>
      <c r="P53">
        <v>2</v>
      </c>
      <c r="Q53">
        <v>1</v>
      </c>
      <c r="R53" t="s">
        <v>29</v>
      </c>
      <c r="T53">
        <v>15.18987341772152</v>
      </c>
      <c r="U53">
        <v>1.9378481012658231</v>
      </c>
      <c r="V53">
        <v>0.37974683544303789</v>
      </c>
      <c r="W53">
        <v>0.189873417721519</v>
      </c>
      <c r="X53" t="s">
        <v>31</v>
      </c>
    </row>
    <row r="54" spans="1:24" x14ac:dyDescent="0.25">
      <c r="A54" t="s">
        <v>339</v>
      </c>
      <c r="B54" t="s">
        <v>427</v>
      </c>
      <c r="C54" s="1">
        <v>46271</v>
      </c>
      <c r="D54" t="s">
        <v>26</v>
      </c>
      <c r="E54" t="s">
        <v>428</v>
      </c>
      <c r="F54">
        <v>14.78</v>
      </c>
      <c r="H54">
        <v>13.9</v>
      </c>
      <c r="I54">
        <v>0</v>
      </c>
      <c r="J54">
        <v>0</v>
      </c>
      <c r="K54">
        <v>0.88</v>
      </c>
      <c r="L54" t="s">
        <v>322</v>
      </c>
      <c r="M54" s="1">
        <v>46270</v>
      </c>
      <c r="N54">
        <v>405</v>
      </c>
      <c r="O54">
        <v>43.461599999999997</v>
      </c>
      <c r="P54">
        <v>11</v>
      </c>
      <c r="Q54">
        <v>1</v>
      </c>
      <c r="R54" t="s">
        <v>29</v>
      </c>
      <c r="T54">
        <v>76.898734177215189</v>
      </c>
      <c r="U54">
        <v>8.2522025316455689</v>
      </c>
      <c r="V54">
        <v>2.0886075949367089</v>
      </c>
      <c r="W54">
        <v>0.189873417721519</v>
      </c>
      <c r="X54" t="s">
        <v>31</v>
      </c>
    </row>
    <row r="55" spans="1:24" x14ac:dyDescent="0.25">
      <c r="A55" t="s">
        <v>339</v>
      </c>
      <c r="B55" t="s">
        <v>429</v>
      </c>
      <c r="C55" s="1">
        <v>46271</v>
      </c>
      <c r="D55" t="s">
        <v>26</v>
      </c>
      <c r="E55" t="s">
        <v>430</v>
      </c>
      <c r="F55">
        <v>14.78</v>
      </c>
      <c r="I55">
        <v>0</v>
      </c>
      <c r="J55">
        <v>0</v>
      </c>
      <c r="K55">
        <v>14.78</v>
      </c>
      <c r="L55" t="s">
        <v>322</v>
      </c>
      <c r="M55" s="1">
        <v>46270</v>
      </c>
      <c r="N55">
        <v>431</v>
      </c>
      <c r="O55">
        <v>43.948799999999999</v>
      </c>
      <c r="P55">
        <v>8</v>
      </c>
      <c r="Q55">
        <v>1</v>
      </c>
      <c r="R55" t="s">
        <v>29</v>
      </c>
      <c r="S55" t="s">
        <v>30</v>
      </c>
      <c r="T55">
        <v>81.835443037974684</v>
      </c>
      <c r="U55">
        <v>8.3447088607594928</v>
      </c>
      <c r="V55">
        <v>1.518987341772152</v>
      </c>
      <c r="W55">
        <v>0.189873417721519</v>
      </c>
      <c r="X55" t="s">
        <v>31</v>
      </c>
    </row>
    <row r="56" spans="1:24" x14ac:dyDescent="0.25">
      <c r="A56" t="s">
        <v>326</v>
      </c>
      <c r="B56" t="s">
        <v>431</v>
      </c>
      <c r="C56" s="1">
        <v>46271</v>
      </c>
      <c r="D56" t="s">
        <v>26</v>
      </c>
      <c r="E56" t="s">
        <v>432</v>
      </c>
      <c r="F56">
        <v>7.65</v>
      </c>
      <c r="H56">
        <v>6.93</v>
      </c>
      <c r="I56">
        <v>0</v>
      </c>
      <c r="J56">
        <v>0</v>
      </c>
      <c r="K56">
        <v>0.72</v>
      </c>
      <c r="L56" t="s">
        <v>322</v>
      </c>
      <c r="M56" s="1">
        <v>46270</v>
      </c>
      <c r="N56">
        <v>221</v>
      </c>
      <c r="O56">
        <v>28.534800000000001</v>
      </c>
      <c r="P56">
        <v>6</v>
      </c>
      <c r="Q56">
        <v>1</v>
      </c>
      <c r="R56" t="s">
        <v>29</v>
      </c>
      <c r="T56">
        <v>41.962025316455687</v>
      </c>
      <c r="U56">
        <v>5.4180000000000001</v>
      </c>
      <c r="V56">
        <v>1.139240506329114</v>
      </c>
      <c r="W56">
        <v>0.189873417721519</v>
      </c>
      <c r="X56" t="s">
        <v>31</v>
      </c>
    </row>
    <row r="57" spans="1:24" x14ac:dyDescent="0.25">
      <c r="A57" t="s">
        <v>339</v>
      </c>
      <c r="B57" t="s">
        <v>433</v>
      </c>
      <c r="C57" s="1">
        <v>46271</v>
      </c>
      <c r="D57" t="s">
        <v>26</v>
      </c>
      <c r="E57" t="s">
        <v>434</v>
      </c>
      <c r="F57">
        <v>14.78</v>
      </c>
      <c r="I57">
        <v>0</v>
      </c>
      <c r="J57">
        <v>0</v>
      </c>
      <c r="K57">
        <v>14.78</v>
      </c>
      <c r="L57" t="s">
        <v>322</v>
      </c>
      <c r="M57" s="1">
        <v>46270</v>
      </c>
      <c r="N57">
        <v>339</v>
      </c>
      <c r="O57">
        <v>33.020400000000002</v>
      </c>
      <c r="P57">
        <v>7</v>
      </c>
      <c r="Q57">
        <v>1</v>
      </c>
      <c r="R57" t="s">
        <v>29</v>
      </c>
      <c r="S57" t="s">
        <v>30</v>
      </c>
      <c r="T57">
        <v>64.367088607594937</v>
      </c>
      <c r="U57">
        <v>6.2696962025316454</v>
      </c>
      <c r="V57">
        <v>1.3291139240506331</v>
      </c>
      <c r="W57">
        <v>0.189873417721519</v>
      </c>
      <c r="X57" t="s">
        <v>31</v>
      </c>
    </row>
    <row r="58" spans="1:24" x14ac:dyDescent="0.25">
      <c r="A58" t="s">
        <v>323</v>
      </c>
      <c r="B58" t="s">
        <v>435</v>
      </c>
      <c r="C58" s="1">
        <v>46271</v>
      </c>
      <c r="D58" t="s">
        <v>26</v>
      </c>
      <c r="E58" t="s">
        <v>436</v>
      </c>
      <c r="F58">
        <v>7.65</v>
      </c>
      <c r="H58">
        <v>6.88</v>
      </c>
      <c r="I58">
        <v>0</v>
      </c>
      <c r="J58">
        <v>0</v>
      </c>
      <c r="K58">
        <v>0.77</v>
      </c>
      <c r="L58" t="s">
        <v>322</v>
      </c>
      <c r="M58" s="1">
        <v>46271</v>
      </c>
      <c r="N58">
        <v>111</v>
      </c>
      <c r="O58">
        <v>16.8</v>
      </c>
      <c r="P58">
        <v>5</v>
      </c>
      <c r="Q58">
        <v>1</v>
      </c>
      <c r="R58" t="s">
        <v>29</v>
      </c>
      <c r="T58">
        <v>21.075949367088612</v>
      </c>
      <c r="U58">
        <v>3.1898734177215191</v>
      </c>
      <c r="V58">
        <v>0.949367088607595</v>
      </c>
      <c r="W58">
        <v>0.189873417721519</v>
      </c>
      <c r="X58" t="s">
        <v>31</v>
      </c>
    </row>
    <row r="59" spans="1:24" x14ac:dyDescent="0.25">
      <c r="A59" t="s">
        <v>323</v>
      </c>
      <c r="B59" t="s">
        <v>437</v>
      </c>
      <c r="C59" s="1">
        <v>46271</v>
      </c>
      <c r="D59" t="s">
        <v>26</v>
      </c>
      <c r="E59" t="s">
        <v>438</v>
      </c>
      <c r="F59">
        <v>7.65</v>
      </c>
      <c r="H59">
        <v>6.77</v>
      </c>
      <c r="I59">
        <v>0</v>
      </c>
      <c r="J59">
        <v>6.77</v>
      </c>
      <c r="K59">
        <v>0.88</v>
      </c>
      <c r="L59" t="s">
        <v>322</v>
      </c>
      <c r="M59" s="1">
        <v>46271</v>
      </c>
      <c r="N59">
        <v>124</v>
      </c>
      <c r="O59">
        <v>20.832000000000001</v>
      </c>
      <c r="P59">
        <v>9</v>
      </c>
      <c r="Q59">
        <v>1</v>
      </c>
      <c r="R59" t="s">
        <v>29</v>
      </c>
      <c r="T59">
        <v>23.544303797468348</v>
      </c>
      <c r="U59">
        <v>3.9554430379746832</v>
      </c>
      <c r="V59">
        <v>1.7088607594936711</v>
      </c>
      <c r="W59">
        <v>0.189873417721519</v>
      </c>
      <c r="X59" t="s">
        <v>31</v>
      </c>
    </row>
    <row r="60" spans="1:24" x14ac:dyDescent="0.25">
      <c r="A60" t="s">
        <v>420</v>
      </c>
      <c r="B60" t="s">
        <v>439</v>
      </c>
      <c r="C60" s="1">
        <v>46248</v>
      </c>
      <c r="D60" t="s">
        <v>26</v>
      </c>
      <c r="E60" t="s">
        <v>440</v>
      </c>
      <c r="F60">
        <v>7.65</v>
      </c>
      <c r="I60">
        <v>0</v>
      </c>
      <c r="J60">
        <v>0</v>
      </c>
      <c r="K60">
        <v>7.65</v>
      </c>
      <c r="L60" t="s">
        <v>322</v>
      </c>
      <c r="M60" s="1">
        <v>46269</v>
      </c>
      <c r="N60">
        <v>115</v>
      </c>
      <c r="O60">
        <v>14.330399999999999</v>
      </c>
      <c r="P60">
        <v>6</v>
      </c>
      <c r="Q60">
        <v>1</v>
      </c>
      <c r="R60" t="s">
        <v>29</v>
      </c>
      <c r="S60" t="s">
        <v>157</v>
      </c>
      <c r="T60">
        <v>21.835443037974681</v>
      </c>
      <c r="U60">
        <v>2.7209620253164561</v>
      </c>
      <c r="V60">
        <v>1.139240506329114</v>
      </c>
      <c r="W60">
        <v>0.189873417721519</v>
      </c>
      <c r="X60" t="s">
        <v>31</v>
      </c>
    </row>
    <row r="61" spans="1:24" x14ac:dyDescent="0.25">
      <c r="A61" t="s">
        <v>339</v>
      </c>
      <c r="B61" t="s">
        <v>441</v>
      </c>
      <c r="C61" s="1">
        <v>46271</v>
      </c>
      <c r="D61" t="s">
        <v>26</v>
      </c>
      <c r="E61" t="s">
        <v>442</v>
      </c>
      <c r="F61">
        <v>14.78</v>
      </c>
      <c r="I61">
        <v>0</v>
      </c>
      <c r="J61">
        <v>0</v>
      </c>
      <c r="K61">
        <v>14.78</v>
      </c>
      <c r="L61" t="s">
        <v>322</v>
      </c>
      <c r="M61" s="1">
        <v>46270</v>
      </c>
      <c r="N61">
        <v>219</v>
      </c>
      <c r="O61">
        <v>18.4968</v>
      </c>
      <c r="P61">
        <v>5</v>
      </c>
      <c r="Q61">
        <v>1</v>
      </c>
      <c r="R61" t="s">
        <v>29</v>
      </c>
      <c r="S61" t="s">
        <v>30</v>
      </c>
      <c r="T61">
        <v>41.582278481012658</v>
      </c>
      <c r="U61">
        <v>3.5120506329113921</v>
      </c>
      <c r="V61">
        <v>0.949367088607595</v>
      </c>
      <c r="W61">
        <v>0.189873417721519</v>
      </c>
      <c r="X61" t="s">
        <v>31</v>
      </c>
    </row>
    <row r="62" spans="1:24" x14ac:dyDescent="0.25">
      <c r="A62" t="s">
        <v>323</v>
      </c>
      <c r="B62" t="s">
        <v>443</v>
      </c>
      <c r="C62" s="1">
        <v>46271</v>
      </c>
      <c r="D62" t="s">
        <v>26</v>
      </c>
      <c r="E62" t="s">
        <v>444</v>
      </c>
      <c r="F62">
        <v>20.399999999999999</v>
      </c>
      <c r="I62">
        <v>0</v>
      </c>
      <c r="J62">
        <v>0</v>
      </c>
      <c r="K62">
        <v>20.399999999999999</v>
      </c>
      <c r="L62" t="s">
        <v>322</v>
      </c>
      <c r="M62" s="1">
        <v>46271</v>
      </c>
      <c r="N62">
        <v>237</v>
      </c>
      <c r="O62">
        <v>33.163200000000003</v>
      </c>
      <c r="P62">
        <v>6</v>
      </c>
      <c r="Q62">
        <v>1</v>
      </c>
      <c r="R62" t="s">
        <v>29</v>
      </c>
      <c r="S62" t="s">
        <v>30</v>
      </c>
      <c r="T62">
        <v>45</v>
      </c>
      <c r="U62">
        <v>6.2968101265822787</v>
      </c>
      <c r="V62">
        <v>1.139240506329114</v>
      </c>
      <c r="W62">
        <v>0.189873417721519</v>
      </c>
      <c r="X62" t="s">
        <v>31</v>
      </c>
    </row>
    <row r="63" spans="1:24" x14ac:dyDescent="0.25">
      <c r="A63" t="s">
        <v>339</v>
      </c>
      <c r="B63" t="s">
        <v>445</v>
      </c>
      <c r="C63" s="1">
        <v>46271</v>
      </c>
      <c r="D63" t="s">
        <v>26</v>
      </c>
      <c r="E63" t="s">
        <v>446</v>
      </c>
      <c r="F63">
        <v>14.78</v>
      </c>
      <c r="H63">
        <v>14.08</v>
      </c>
      <c r="I63">
        <v>0</v>
      </c>
      <c r="J63">
        <v>0</v>
      </c>
      <c r="K63">
        <v>0.7</v>
      </c>
      <c r="L63" t="s">
        <v>322</v>
      </c>
      <c r="M63" s="1">
        <v>46270</v>
      </c>
      <c r="N63">
        <v>272</v>
      </c>
      <c r="O63">
        <v>27.955200000000001</v>
      </c>
      <c r="P63">
        <v>6</v>
      </c>
      <c r="Q63">
        <v>1</v>
      </c>
      <c r="R63" t="s">
        <v>29</v>
      </c>
      <c r="T63">
        <v>51.64556962025317</v>
      </c>
      <c r="U63">
        <v>5.3079493670886073</v>
      </c>
      <c r="V63">
        <v>1.139240506329114</v>
      </c>
      <c r="W63">
        <v>0.189873417721519</v>
      </c>
      <c r="X63" t="s">
        <v>31</v>
      </c>
    </row>
    <row r="64" spans="1:24" x14ac:dyDescent="0.25">
      <c r="A64" t="s">
        <v>339</v>
      </c>
      <c r="B64" t="s">
        <v>447</v>
      </c>
      <c r="C64" s="1">
        <v>46271</v>
      </c>
      <c r="D64" t="s">
        <v>26</v>
      </c>
      <c r="E64" t="s">
        <v>448</v>
      </c>
      <c r="F64">
        <v>14.78</v>
      </c>
      <c r="I64">
        <v>0</v>
      </c>
      <c r="J64">
        <v>0</v>
      </c>
      <c r="K64">
        <v>14.78</v>
      </c>
      <c r="L64" t="s">
        <v>322</v>
      </c>
      <c r="M64" s="1">
        <v>46270</v>
      </c>
      <c r="N64">
        <v>237</v>
      </c>
      <c r="O64">
        <v>22.075199999999999</v>
      </c>
      <c r="P64">
        <v>2</v>
      </c>
      <c r="Q64">
        <v>1</v>
      </c>
      <c r="R64" t="s">
        <v>29</v>
      </c>
      <c r="S64" t="s">
        <v>30</v>
      </c>
      <c r="T64">
        <v>45</v>
      </c>
      <c r="U64">
        <v>4.1914936708860759</v>
      </c>
      <c r="V64">
        <v>0.37974683544303789</v>
      </c>
      <c r="W64">
        <v>0.189873417721519</v>
      </c>
      <c r="X64" t="s">
        <v>31</v>
      </c>
    </row>
    <row r="65" spans="1:24" x14ac:dyDescent="0.25">
      <c r="A65" t="s">
        <v>420</v>
      </c>
      <c r="B65" t="s">
        <v>449</v>
      </c>
      <c r="C65" s="1">
        <v>46248</v>
      </c>
      <c r="D65" t="s">
        <v>26</v>
      </c>
      <c r="E65" t="s">
        <v>450</v>
      </c>
      <c r="F65">
        <v>7.65</v>
      </c>
      <c r="I65">
        <v>0</v>
      </c>
      <c r="J65">
        <v>0</v>
      </c>
      <c r="K65">
        <v>7.65</v>
      </c>
      <c r="L65" t="s">
        <v>322</v>
      </c>
      <c r="M65" s="1">
        <v>46248</v>
      </c>
      <c r="N65">
        <v>119</v>
      </c>
      <c r="O65">
        <v>16.8504</v>
      </c>
      <c r="P65">
        <v>3</v>
      </c>
      <c r="Q65">
        <v>1</v>
      </c>
      <c r="R65" t="s">
        <v>29</v>
      </c>
      <c r="S65" t="s">
        <v>157</v>
      </c>
      <c r="T65">
        <v>22.594936708860761</v>
      </c>
      <c r="U65">
        <v>3.1994430379746839</v>
      </c>
      <c r="V65">
        <v>0.569620253164557</v>
      </c>
      <c r="W65">
        <v>0.189873417721519</v>
      </c>
      <c r="X65" t="s">
        <v>31</v>
      </c>
    </row>
    <row r="66" spans="1:24" x14ac:dyDescent="0.25">
      <c r="A66" t="s">
        <v>326</v>
      </c>
      <c r="B66" t="s">
        <v>451</v>
      </c>
      <c r="C66" s="1">
        <v>46271</v>
      </c>
      <c r="D66" t="s">
        <v>26</v>
      </c>
      <c r="E66" t="s">
        <v>452</v>
      </c>
      <c r="F66">
        <v>42.5</v>
      </c>
      <c r="H66">
        <v>41.69</v>
      </c>
      <c r="I66">
        <v>0</v>
      </c>
      <c r="J66">
        <v>0</v>
      </c>
      <c r="K66">
        <v>0.81</v>
      </c>
      <c r="L66" t="s">
        <v>322</v>
      </c>
      <c r="M66" s="1">
        <v>46271</v>
      </c>
      <c r="N66">
        <v>729</v>
      </c>
      <c r="O66">
        <v>118.0368</v>
      </c>
      <c r="P66">
        <v>10</v>
      </c>
      <c r="Q66">
        <v>1</v>
      </c>
      <c r="R66" t="s">
        <v>29</v>
      </c>
      <c r="T66">
        <v>138.41772151898729</v>
      </c>
      <c r="U66">
        <v>22.412050632911399</v>
      </c>
      <c r="V66">
        <v>1.89873417721519</v>
      </c>
      <c r="W66">
        <v>0.189873417721519</v>
      </c>
      <c r="X66" t="s">
        <v>31</v>
      </c>
    </row>
    <row r="67" spans="1:24" x14ac:dyDescent="0.25">
      <c r="A67" t="s">
        <v>339</v>
      </c>
      <c r="B67" t="s">
        <v>453</v>
      </c>
      <c r="C67" s="1">
        <v>46271</v>
      </c>
      <c r="D67" t="s">
        <v>26</v>
      </c>
      <c r="E67" t="s">
        <v>454</v>
      </c>
      <c r="F67">
        <v>14.78</v>
      </c>
      <c r="I67">
        <v>0</v>
      </c>
      <c r="J67">
        <v>0</v>
      </c>
      <c r="K67">
        <v>14.78</v>
      </c>
      <c r="L67" t="s">
        <v>322</v>
      </c>
      <c r="M67" s="1">
        <v>46270</v>
      </c>
      <c r="N67">
        <v>272</v>
      </c>
      <c r="O67">
        <v>27.955200000000001</v>
      </c>
      <c r="P67">
        <v>5</v>
      </c>
      <c r="Q67">
        <v>1</v>
      </c>
      <c r="R67" t="s">
        <v>29</v>
      </c>
      <c r="S67" t="s">
        <v>30</v>
      </c>
      <c r="T67">
        <v>51.64556962025317</v>
      </c>
      <c r="U67">
        <v>5.3079493670886073</v>
      </c>
      <c r="V67">
        <v>0.949367088607595</v>
      </c>
      <c r="W67">
        <v>0.189873417721519</v>
      </c>
      <c r="X67" t="s">
        <v>31</v>
      </c>
    </row>
    <row r="68" spans="1:24" x14ac:dyDescent="0.25">
      <c r="A68" t="s">
        <v>24</v>
      </c>
      <c r="B68" t="s">
        <v>455</v>
      </c>
      <c r="C68" s="1">
        <v>46271</v>
      </c>
      <c r="D68" t="s">
        <v>26</v>
      </c>
      <c r="E68" t="s">
        <v>456</v>
      </c>
      <c r="F68">
        <v>7.65</v>
      </c>
      <c r="I68">
        <v>0</v>
      </c>
      <c r="J68">
        <v>0</v>
      </c>
      <c r="K68">
        <v>7.65</v>
      </c>
      <c r="L68" t="s">
        <v>322</v>
      </c>
      <c r="M68" s="1">
        <v>46271</v>
      </c>
      <c r="N68">
        <v>81</v>
      </c>
      <c r="O68">
        <v>13.608000000000001</v>
      </c>
      <c r="P68">
        <v>2</v>
      </c>
      <c r="Q68">
        <v>1</v>
      </c>
      <c r="R68" t="s">
        <v>29</v>
      </c>
      <c r="S68" t="s">
        <v>157</v>
      </c>
      <c r="T68">
        <v>15.37974683544304</v>
      </c>
      <c r="U68">
        <v>2.58379746835443</v>
      </c>
      <c r="V68">
        <v>0.37974683544303789</v>
      </c>
      <c r="W68">
        <v>0.189873417721519</v>
      </c>
      <c r="X68" t="s">
        <v>31</v>
      </c>
    </row>
    <row r="69" spans="1:24" x14ac:dyDescent="0.25">
      <c r="A69" t="s">
        <v>339</v>
      </c>
      <c r="B69" t="s">
        <v>457</v>
      </c>
      <c r="C69" s="1">
        <v>46271</v>
      </c>
      <c r="D69" t="s">
        <v>26</v>
      </c>
      <c r="E69" t="s">
        <v>458</v>
      </c>
      <c r="F69">
        <v>14.78</v>
      </c>
      <c r="I69">
        <v>0</v>
      </c>
      <c r="J69">
        <v>0</v>
      </c>
      <c r="K69">
        <v>14.78</v>
      </c>
      <c r="L69" t="s">
        <v>322</v>
      </c>
      <c r="M69" s="1">
        <v>46270</v>
      </c>
      <c r="N69">
        <v>285</v>
      </c>
      <c r="O69">
        <v>27.09</v>
      </c>
      <c r="P69">
        <v>4</v>
      </c>
      <c r="Q69">
        <v>1</v>
      </c>
      <c r="R69" t="s">
        <v>29</v>
      </c>
      <c r="S69" t="s">
        <v>30</v>
      </c>
      <c r="T69">
        <v>54.11392405063291</v>
      </c>
      <c r="U69">
        <v>5.1436708860759488</v>
      </c>
      <c r="V69">
        <v>0.75949367088607589</v>
      </c>
      <c r="W69">
        <v>0.189873417721519</v>
      </c>
      <c r="X69" t="s">
        <v>31</v>
      </c>
    </row>
    <row r="70" spans="1:24" x14ac:dyDescent="0.25">
      <c r="A70" t="s">
        <v>420</v>
      </c>
      <c r="B70" t="s">
        <v>459</v>
      </c>
      <c r="C70" s="1">
        <v>46248</v>
      </c>
      <c r="D70" t="s">
        <v>26</v>
      </c>
      <c r="E70" t="s">
        <v>460</v>
      </c>
      <c r="F70">
        <v>7.65</v>
      </c>
      <c r="H70">
        <v>6.87</v>
      </c>
      <c r="I70">
        <v>0</v>
      </c>
      <c r="J70">
        <v>0</v>
      </c>
      <c r="K70">
        <v>0.78</v>
      </c>
      <c r="L70" t="s">
        <v>322</v>
      </c>
      <c r="M70" s="1">
        <v>46248</v>
      </c>
      <c r="N70">
        <v>95</v>
      </c>
      <c r="O70">
        <v>13.2804</v>
      </c>
      <c r="P70">
        <v>3</v>
      </c>
      <c r="Q70">
        <v>1</v>
      </c>
      <c r="R70" t="s">
        <v>29</v>
      </c>
      <c r="T70">
        <v>18.037974683544299</v>
      </c>
      <c r="U70">
        <v>2.521594936708861</v>
      </c>
      <c r="V70">
        <v>0.569620253164557</v>
      </c>
      <c r="W70">
        <v>0.189873417721519</v>
      </c>
      <c r="X70" t="s">
        <v>31</v>
      </c>
    </row>
    <row r="71" spans="1:24" x14ac:dyDescent="0.25">
      <c r="A71" t="s">
        <v>411</v>
      </c>
      <c r="B71" t="s">
        <v>461</v>
      </c>
      <c r="C71" s="1">
        <v>46229</v>
      </c>
      <c r="D71" t="s">
        <v>26</v>
      </c>
      <c r="E71" t="s">
        <v>462</v>
      </c>
      <c r="F71">
        <v>13.6</v>
      </c>
      <c r="I71">
        <v>0</v>
      </c>
      <c r="J71">
        <v>0</v>
      </c>
      <c r="K71">
        <v>13.6</v>
      </c>
      <c r="L71" t="s">
        <v>322</v>
      </c>
      <c r="M71" s="1">
        <v>46229</v>
      </c>
      <c r="N71">
        <v>80</v>
      </c>
      <c r="O71">
        <v>13.44</v>
      </c>
      <c r="P71">
        <v>4</v>
      </c>
      <c r="Q71">
        <v>1</v>
      </c>
      <c r="R71" t="s">
        <v>29</v>
      </c>
      <c r="S71" t="s">
        <v>30</v>
      </c>
      <c r="T71">
        <v>15.18987341772152</v>
      </c>
      <c r="U71">
        <v>2.551898734177215</v>
      </c>
      <c r="V71">
        <v>0.75949367088607589</v>
      </c>
      <c r="W71">
        <v>0.189873417721519</v>
      </c>
      <c r="X71" t="s">
        <v>31</v>
      </c>
    </row>
    <row r="72" spans="1:24" x14ac:dyDescent="0.25">
      <c r="A72" t="s">
        <v>420</v>
      </c>
      <c r="B72" t="s">
        <v>463</v>
      </c>
      <c r="C72" s="1">
        <v>46248</v>
      </c>
      <c r="D72" t="s">
        <v>26</v>
      </c>
      <c r="E72" t="s">
        <v>464</v>
      </c>
      <c r="F72">
        <v>7.65</v>
      </c>
      <c r="I72">
        <v>0</v>
      </c>
      <c r="J72">
        <v>0</v>
      </c>
      <c r="K72">
        <v>7.65</v>
      </c>
      <c r="L72" t="s">
        <v>322</v>
      </c>
      <c r="M72" s="1">
        <v>46248</v>
      </c>
      <c r="N72">
        <v>85</v>
      </c>
      <c r="O72">
        <v>14.28</v>
      </c>
      <c r="P72">
        <v>3</v>
      </c>
      <c r="Q72">
        <v>1</v>
      </c>
      <c r="R72" t="s">
        <v>29</v>
      </c>
      <c r="S72" t="s">
        <v>157</v>
      </c>
      <c r="T72">
        <v>16.139240506329109</v>
      </c>
      <c r="U72">
        <v>2.7113924050632909</v>
      </c>
      <c r="V72">
        <v>0.569620253164557</v>
      </c>
      <c r="W72">
        <v>0.189873417721519</v>
      </c>
      <c r="X72" t="s">
        <v>31</v>
      </c>
    </row>
    <row r="73" spans="1:24" x14ac:dyDescent="0.25">
      <c r="A73" t="s">
        <v>24</v>
      </c>
      <c r="B73" t="s">
        <v>465</v>
      </c>
      <c r="C73" s="1">
        <v>46271</v>
      </c>
      <c r="D73" t="s">
        <v>26</v>
      </c>
      <c r="E73" t="s">
        <v>466</v>
      </c>
      <c r="F73">
        <v>6.93</v>
      </c>
      <c r="I73">
        <v>0</v>
      </c>
      <c r="J73">
        <v>0</v>
      </c>
      <c r="K73">
        <v>6.93</v>
      </c>
      <c r="L73" t="s">
        <v>322</v>
      </c>
      <c r="M73" s="1">
        <v>46271</v>
      </c>
      <c r="N73">
        <v>90</v>
      </c>
      <c r="O73">
        <v>6.8039999999999994</v>
      </c>
      <c r="P73">
        <v>1</v>
      </c>
      <c r="Q73">
        <v>1</v>
      </c>
      <c r="R73" t="s">
        <v>29</v>
      </c>
      <c r="S73" t="s">
        <v>157</v>
      </c>
      <c r="T73">
        <v>17.088607594936711</v>
      </c>
      <c r="U73">
        <v>1.291898734177215</v>
      </c>
      <c r="V73">
        <v>0.189873417721519</v>
      </c>
      <c r="W73">
        <v>0.189873417721519</v>
      </c>
      <c r="X73" t="s">
        <v>31</v>
      </c>
    </row>
    <row r="74" spans="1:24" x14ac:dyDescent="0.25">
      <c r="A74" t="s">
        <v>339</v>
      </c>
      <c r="B74" t="s">
        <v>467</v>
      </c>
      <c r="C74" s="1">
        <v>46271</v>
      </c>
      <c r="D74" t="s">
        <v>26</v>
      </c>
      <c r="E74" t="s">
        <v>468</v>
      </c>
      <c r="F74">
        <v>14.78</v>
      </c>
      <c r="I74">
        <v>0</v>
      </c>
      <c r="J74">
        <v>0</v>
      </c>
      <c r="K74">
        <v>14.78</v>
      </c>
      <c r="L74" t="s">
        <v>322</v>
      </c>
      <c r="M74" s="1">
        <v>46270</v>
      </c>
      <c r="N74">
        <v>320</v>
      </c>
      <c r="O74">
        <v>31.306799999999999</v>
      </c>
      <c r="P74">
        <v>7</v>
      </c>
      <c r="Q74">
        <v>1</v>
      </c>
      <c r="R74" t="s">
        <v>29</v>
      </c>
      <c r="S74" t="s">
        <v>30</v>
      </c>
      <c r="T74">
        <v>60.75949367088608</v>
      </c>
      <c r="U74">
        <v>5.9443291139240504</v>
      </c>
      <c r="V74">
        <v>1.3291139240506331</v>
      </c>
      <c r="W74">
        <v>0.189873417721519</v>
      </c>
      <c r="X74" t="s">
        <v>31</v>
      </c>
    </row>
    <row r="75" spans="1:24" x14ac:dyDescent="0.25">
      <c r="A75" t="s">
        <v>339</v>
      </c>
      <c r="B75" t="s">
        <v>469</v>
      </c>
      <c r="C75" s="1">
        <v>46271</v>
      </c>
      <c r="D75" t="s">
        <v>26</v>
      </c>
      <c r="E75" t="s">
        <v>470</v>
      </c>
      <c r="F75">
        <v>14.78</v>
      </c>
      <c r="I75">
        <v>0</v>
      </c>
      <c r="J75">
        <v>0</v>
      </c>
      <c r="K75">
        <v>14.78</v>
      </c>
      <c r="L75" t="s">
        <v>322</v>
      </c>
      <c r="M75" s="1">
        <v>46270</v>
      </c>
      <c r="N75">
        <v>317</v>
      </c>
      <c r="O75">
        <v>35.515199999999993</v>
      </c>
      <c r="P75">
        <v>3</v>
      </c>
      <c r="Q75">
        <v>1</v>
      </c>
      <c r="R75" t="s">
        <v>29</v>
      </c>
      <c r="S75" t="s">
        <v>30</v>
      </c>
      <c r="T75">
        <v>60.189873417721522</v>
      </c>
      <c r="U75">
        <v>6.7433924050632896</v>
      </c>
      <c r="V75">
        <v>0.569620253164557</v>
      </c>
      <c r="W75">
        <v>0.189873417721519</v>
      </c>
      <c r="X75" t="s">
        <v>42</v>
      </c>
    </row>
    <row r="76" spans="1:24" x14ac:dyDescent="0.25">
      <c r="A76" t="s">
        <v>326</v>
      </c>
      <c r="B76" t="s">
        <v>471</v>
      </c>
      <c r="C76" s="1">
        <v>46271</v>
      </c>
      <c r="D76" t="s">
        <v>26</v>
      </c>
      <c r="E76" t="s">
        <v>470</v>
      </c>
      <c r="F76">
        <v>13.6</v>
      </c>
      <c r="I76">
        <v>0</v>
      </c>
      <c r="J76">
        <v>0</v>
      </c>
      <c r="K76">
        <v>13.6</v>
      </c>
      <c r="L76" t="s">
        <v>322</v>
      </c>
      <c r="M76" s="1">
        <v>46270</v>
      </c>
      <c r="N76">
        <v>317</v>
      </c>
      <c r="O76">
        <v>35.515199999999993</v>
      </c>
      <c r="P76">
        <v>3</v>
      </c>
      <c r="Q76">
        <v>1</v>
      </c>
      <c r="R76" t="s">
        <v>29</v>
      </c>
      <c r="S76" t="s">
        <v>30</v>
      </c>
      <c r="T76">
        <v>60.189873417721522</v>
      </c>
      <c r="U76">
        <v>6.7433924050632896</v>
      </c>
      <c r="V76">
        <v>0.569620253164557</v>
      </c>
      <c r="W76">
        <v>0.189873417721519</v>
      </c>
      <c r="X76" t="s">
        <v>44</v>
      </c>
    </row>
    <row r="77" spans="1:24" x14ac:dyDescent="0.25">
      <c r="A77" t="s">
        <v>339</v>
      </c>
      <c r="B77" t="s">
        <v>472</v>
      </c>
      <c r="C77" s="1">
        <v>46271</v>
      </c>
      <c r="D77" t="s">
        <v>26</v>
      </c>
      <c r="E77" t="s">
        <v>473</v>
      </c>
      <c r="F77">
        <v>14.78</v>
      </c>
      <c r="I77">
        <v>0</v>
      </c>
      <c r="J77">
        <v>0</v>
      </c>
      <c r="K77">
        <v>14.78</v>
      </c>
      <c r="L77" t="s">
        <v>322</v>
      </c>
      <c r="M77" s="1">
        <v>46270</v>
      </c>
      <c r="N77">
        <v>278</v>
      </c>
      <c r="O77">
        <v>28.686</v>
      </c>
      <c r="P77">
        <v>5</v>
      </c>
      <c r="Q77">
        <v>1</v>
      </c>
      <c r="R77" t="s">
        <v>29</v>
      </c>
      <c r="S77" t="s">
        <v>30</v>
      </c>
      <c r="T77">
        <v>52.784810126582279</v>
      </c>
      <c r="U77">
        <v>5.4467088607594931</v>
      </c>
      <c r="V77">
        <v>0.949367088607595</v>
      </c>
      <c r="W77">
        <v>0.189873417721519</v>
      </c>
      <c r="X77" t="s">
        <v>31</v>
      </c>
    </row>
    <row r="78" spans="1:24" x14ac:dyDescent="0.25">
      <c r="A78" t="s">
        <v>339</v>
      </c>
      <c r="B78" t="s">
        <v>474</v>
      </c>
      <c r="C78" s="1">
        <v>46271</v>
      </c>
      <c r="D78" t="s">
        <v>26</v>
      </c>
      <c r="E78" t="s">
        <v>475</v>
      </c>
      <c r="F78">
        <v>14.78</v>
      </c>
      <c r="H78">
        <v>14</v>
      </c>
      <c r="I78">
        <v>0</v>
      </c>
      <c r="J78">
        <v>0</v>
      </c>
      <c r="K78">
        <v>0.78</v>
      </c>
      <c r="L78" t="s">
        <v>322</v>
      </c>
      <c r="M78" s="1">
        <v>46270</v>
      </c>
      <c r="N78">
        <v>272</v>
      </c>
      <c r="O78">
        <v>27.955200000000001</v>
      </c>
      <c r="P78">
        <v>5</v>
      </c>
      <c r="Q78">
        <v>1</v>
      </c>
      <c r="R78" t="s">
        <v>29</v>
      </c>
      <c r="T78">
        <v>51.64556962025317</v>
      </c>
      <c r="U78">
        <v>5.3079493670886073</v>
      </c>
      <c r="V78">
        <v>0.949367088607595</v>
      </c>
      <c r="W78">
        <v>0.189873417721519</v>
      </c>
      <c r="X78" t="s">
        <v>31</v>
      </c>
    </row>
    <row r="79" spans="1:24" x14ac:dyDescent="0.25">
      <c r="A79" t="s">
        <v>339</v>
      </c>
      <c r="B79" t="s">
        <v>476</v>
      </c>
      <c r="C79" s="1">
        <v>46271</v>
      </c>
      <c r="D79" t="s">
        <v>26</v>
      </c>
      <c r="E79" t="s">
        <v>477</v>
      </c>
      <c r="F79">
        <v>14.78</v>
      </c>
      <c r="H79">
        <v>13.83</v>
      </c>
      <c r="I79">
        <v>0</v>
      </c>
      <c r="J79">
        <v>0</v>
      </c>
      <c r="K79">
        <v>0.95</v>
      </c>
      <c r="L79" t="s">
        <v>322</v>
      </c>
      <c r="M79" s="1">
        <v>46270</v>
      </c>
      <c r="N79">
        <v>317</v>
      </c>
      <c r="O79">
        <v>35.5152</v>
      </c>
      <c r="P79">
        <v>6</v>
      </c>
      <c r="Q79">
        <v>1</v>
      </c>
      <c r="R79" t="s">
        <v>29</v>
      </c>
      <c r="S79" t="s">
        <v>362</v>
      </c>
      <c r="T79">
        <v>60.189873417721522</v>
      </c>
      <c r="U79">
        <v>6.7433924050632914</v>
      </c>
      <c r="V79">
        <v>1.139240506329114</v>
      </c>
      <c r="W79">
        <v>0.189873417721519</v>
      </c>
      <c r="X79" t="s">
        <v>44</v>
      </c>
    </row>
    <row r="80" spans="1:24" x14ac:dyDescent="0.25">
      <c r="A80" t="s">
        <v>326</v>
      </c>
      <c r="B80" t="s">
        <v>478</v>
      </c>
      <c r="C80" s="1">
        <v>46271</v>
      </c>
      <c r="D80" t="s">
        <v>26</v>
      </c>
      <c r="E80" t="s">
        <v>477</v>
      </c>
      <c r="F80">
        <v>7.65</v>
      </c>
      <c r="H80">
        <v>6.82</v>
      </c>
      <c r="I80">
        <v>0</v>
      </c>
      <c r="J80">
        <v>0</v>
      </c>
      <c r="K80">
        <v>0.83</v>
      </c>
      <c r="L80" t="s">
        <v>322</v>
      </c>
      <c r="M80" s="1">
        <v>46270</v>
      </c>
      <c r="N80">
        <v>317</v>
      </c>
      <c r="O80">
        <v>35.5152</v>
      </c>
      <c r="P80">
        <v>6</v>
      </c>
      <c r="Q80">
        <v>1</v>
      </c>
      <c r="R80" t="s">
        <v>29</v>
      </c>
      <c r="T80">
        <v>60.189873417721522</v>
      </c>
      <c r="U80">
        <v>6.7433924050632914</v>
      </c>
      <c r="V80">
        <v>1.139240506329114</v>
      </c>
      <c r="W80">
        <v>0.189873417721519</v>
      </c>
      <c r="X80" t="s">
        <v>42</v>
      </c>
    </row>
    <row r="81" spans="1:24" x14ac:dyDescent="0.25">
      <c r="A81" t="s">
        <v>24</v>
      </c>
      <c r="B81" t="s">
        <v>479</v>
      </c>
      <c r="C81" s="1">
        <v>46271</v>
      </c>
      <c r="D81" t="s">
        <v>26</v>
      </c>
      <c r="E81" t="s">
        <v>480</v>
      </c>
      <c r="F81">
        <v>6.93</v>
      </c>
      <c r="I81">
        <v>0</v>
      </c>
      <c r="J81">
        <v>0</v>
      </c>
      <c r="K81">
        <v>6.93</v>
      </c>
      <c r="L81" t="s">
        <v>322</v>
      </c>
      <c r="M81" s="1">
        <v>46271</v>
      </c>
      <c r="N81">
        <v>90</v>
      </c>
      <c r="O81">
        <v>6.8039999999999994</v>
      </c>
      <c r="P81">
        <v>1</v>
      </c>
      <c r="Q81">
        <v>1</v>
      </c>
      <c r="R81" t="s">
        <v>29</v>
      </c>
      <c r="S81" t="s">
        <v>157</v>
      </c>
      <c r="T81">
        <v>17.088607594936711</v>
      </c>
      <c r="U81">
        <v>1.291898734177215</v>
      </c>
      <c r="V81">
        <v>0.189873417721519</v>
      </c>
      <c r="W81">
        <v>0.189873417721519</v>
      </c>
      <c r="X81" t="s">
        <v>31</v>
      </c>
    </row>
    <row r="82" spans="1:24" x14ac:dyDescent="0.25">
      <c r="A82" t="s">
        <v>420</v>
      </c>
      <c r="B82" t="s">
        <v>481</v>
      </c>
      <c r="C82" s="1">
        <v>46248</v>
      </c>
      <c r="D82" t="s">
        <v>26</v>
      </c>
      <c r="E82" t="s">
        <v>482</v>
      </c>
      <c r="F82">
        <v>7.65</v>
      </c>
      <c r="H82">
        <v>6.98</v>
      </c>
      <c r="I82">
        <v>0</v>
      </c>
      <c r="J82">
        <v>0</v>
      </c>
      <c r="K82">
        <v>0.67</v>
      </c>
      <c r="L82" t="s">
        <v>322</v>
      </c>
      <c r="M82" s="1">
        <v>46248</v>
      </c>
      <c r="N82">
        <v>83</v>
      </c>
      <c r="O82">
        <v>13.944000000000001</v>
      </c>
      <c r="P82">
        <v>2</v>
      </c>
      <c r="Q82">
        <v>1</v>
      </c>
      <c r="R82" t="s">
        <v>29</v>
      </c>
      <c r="T82">
        <v>15.75949367088608</v>
      </c>
      <c r="U82">
        <v>2.64759493670886</v>
      </c>
      <c r="V82">
        <v>0.37974683544303789</v>
      </c>
      <c r="W82">
        <v>0.189873417721519</v>
      </c>
      <c r="X82" t="s">
        <v>31</v>
      </c>
    </row>
    <row r="83" spans="1:24" x14ac:dyDescent="0.25">
      <c r="A83" t="s">
        <v>420</v>
      </c>
      <c r="B83" t="s">
        <v>483</v>
      </c>
      <c r="C83" s="1">
        <v>46248</v>
      </c>
      <c r="D83" t="s">
        <v>26</v>
      </c>
      <c r="E83" t="s">
        <v>484</v>
      </c>
      <c r="F83">
        <v>7.65</v>
      </c>
      <c r="H83">
        <v>6.9</v>
      </c>
      <c r="I83">
        <v>0</v>
      </c>
      <c r="J83">
        <v>0</v>
      </c>
      <c r="K83">
        <v>0.75</v>
      </c>
      <c r="L83" t="s">
        <v>322</v>
      </c>
      <c r="M83" s="1">
        <v>46248</v>
      </c>
      <c r="N83">
        <v>45</v>
      </c>
      <c r="O83">
        <v>7.56</v>
      </c>
      <c r="P83">
        <v>4</v>
      </c>
      <c r="Q83">
        <v>1</v>
      </c>
      <c r="R83" t="s">
        <v>29</v>
      </c>
      <c r="T83">
        <v>8.5443037974683556</v>
      </c>
      <c r="U83">
        <v>1.4354430379746841</v>
      </c>
      <c r="V83">
        <v>0.75949367088607589</v>
      </c>
      <c r="W83">
        <v>0.189873417721519</v>
      </c>
      <c r="X83" t="s">
        <v>31</v>
      </c>
    </row>
    <row r="84" spans="1:24" x14ac:dyDescent="0.25">
      <c r="A84" t="s">
        <v>420</v>
      </c>
      <c r="B84" t="s">
        <v>485</v>
      </c>
      <c r="C84" s="1">
        <v>46248</v>
      </c>
      <c r="D84" t="s">
        <v>26</v>
      </c>
      <c r="E84" t="s">
        <v>486</v>
      </c>
      <c r="F84">
        <v>7.65</v>
      </c>
      <c r="H84">
        <v>7.01</v>
      </c>
      <c r="I84">
        <v>0</v>
      </c>
      <c r="J84">
        <v>0</v>
      </c>
      <c r="K84">
        <v>0.64</v>
      </c>
      <c r="L84" t="s">
        <v>322</v>
      </c>
      <c r="M84" s="1">
        <v>46248</v>
      </c>
      <c r="N84">
        <v>110</v>
      </c>
      <c r="O84">
        <v>12.474</v>
      </c>
      <c r="P84">
        <v>6</v>
      </c>
      <c r="Q84">
        <v>1</v>
      </c>
      <c r="R84" t="s">
        <v>29</v>
      </c>
      <c r="T84">
        <v>20.88607594936709</v>
      </c>
      <c r="U84">
        <v>2.3684810126582279</v>
      </c>
      <c r="V84">
        <v>1.139240506329114</v>
      </c>
      <c r="W84">
        <v>0.189873417721519</v>
      </c>
      <c r="X84"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487</v>
      </c>
      <c r="B2" t="s">
        <v>488</v>
      </c>
      <c r="C2" s="1">
        <v>46247</v>
      </c>
      <c r="D2" t="s">
        <v>26</v>
      </c>
      <c r="E2" t="s">
        <v>489</v>
      </c>
      <c r="F2">
        <v>250</v>
      </c>
      <c r="G2">
        <v>98</v>
      </c>
      <c r="H2">
        <v>29.69</v>
      </c>
      <c r="I2">
        <v>0</v>
      </c>
      <c r="J2">
        <v>0</v>
      </c>
      <c r="K2">
        <v>122.31</v>
      </c>
      <c r="L2" t="s">
        <v>490</v>
      </c>
      <c r="S2" t="s">
        <v>79</v>
      </c>
      <c r="X2" t="s">
        <v>491</v>
      </c>
    </row>
    <row r="3" spans="1:24" x14ac:dyDescent="0.25">
      <c r="A3" t="s">
        <v>492</v>
      </c>
      <c r="B3" t="s">
        <v>493</v>
      </c>
      <c r="C3" s="1">
        <v>46270</v>
      </c>
      <c r="D3" t="s">
        <v>26</v>
      </c>
      <c r="E3" t="s">
        <v>489</v>
      </c>
      <c r="F3">
        <v>125</v>
      </c>
      <c r="I3">
        <v>0</v>
      </c>
      <c r="J3">
        <v>0</v>
      </c>
      <c r="K3">
        <v>125</v>
      </c>
      <c r="L3" t="s">
        <v>490</v>
      </c>
      <c r="S3" t="s">
        <v>79</v>
      </c>
      <c r="X3" t="s">
        <v>494</v>
      </c>
    </row>
    <row r="4" spans="1:24" x14ac:dyDescent="0.25">
      <c r="A4" t="s">
        <v>495</v>
      </c>
      <c r="B4" t="s">
        <v>496</v>
      </c>
      <c r="C4" s="1">
        <v>46247</v>
      </c>
      <c r="D4" t="s">
        <v>26</v>
      </c>
      <c r="E4" t="s">
        <v>489</v>
      </c>
      <c r="F4">
        <v>250</v>
      </c>
      <c r="H4">
        <v>249.58</v>
      </c>
      <c r="I4">
        <v>0</v>
      </c>
      <c r="J4">
        <v>87.29</v>
      </c>
      <c r="K4">
        <v>0.42</v>
      </c>
      <c r="L4" t="s">
        <v>490</v>
      </c>
      <c r="X4" t="s">
        <v>497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498</v>
      </c>
      <c r="B2" t="s">
        <v>499</v>
      </c>
      <c r="C2" s="1">
        <v>46259</v>
      </c>
      <c r="D2" t="s">
        <v>26</v>
      </c>
      <c r="E2" t="s">
        <v>500</v>
      </c>
      <c r="F2">
        <v>86.4</v>
      </c>
      <c r="I2">
        <v>0</v>
      </c>
      <c r="J2">
        <v>0</v>
      </c>
      <c r="K2">
        <v>86.4</v>
      </c>
      <c r="L2" t="s">
        <v>501</v>
      </c>
      <c r="M2" s="1">
        <v>46259</v>
      </c>
      <c r="N2">
        <v>414</v>
      </c>
      <c r="O2">
        <v>92.091815999999994</v>
      </c>
      <c r="P2">
        <v>3</v>
      </c>
      <c r="Q2">
        <v>2</v>
      </c>
      <c r="R2" t="s">
        <v>502</v>
      </c>
      <c r="S2" t="s">
        <v>79</v>
      </c>
      <c r="T2">
        <v>78.607594936708864</v>
      </c>
      <c r="U2">
        <v>17.485787848101261</v>
      </c>
      <c r="V2">
        <v>0.569620253164557</v>
      </c>
      <c r="W2">
        <v>0.37974683544303789</v>
      </c>
      <c r="X2" t="s">
        <v>31</v>
      </c>
    </row>
    <row r="3" spans="1:24" x14ac:dyDescent="0.25">
      <c r="A3" t="s">
        <v>498</v>
      </c>
      <c r="B3" t="s">
        <v>503</v>
      </c>
      <c r="C3" s="1">
        <v>46259</v>
      </c>
      <c r="D3" t="s">
        <v>26</v>
      </c>
      <c r="E3" t="s">
        <v>504</v>
      </c>
      <c r="F3">
        <v>162</v>
      </c>
      <c r="I3">
        <v>0</v>
      </c>
      <c r="J3">
        <v>0</v>
      </c>
      <c r="K3">
        <v>162</v>
      </c>
      <c r="L3" t="s">
        <v>501</v>
      </c>
      <c r="M3" s="1">
        <v>46259</v>
      </c>
      <c r="N3">
        <v>1020</v>
      </c>
      <c r="O3">
        <v>226.89287999999999</v>
      </c>
      <c r="P3">
        <v>3</v>
      </c>
      <c r="Q3">
        <v>2</v>
      </c>
      <c r="R3" t="s">
        <v>502</v>
      </c>
      <c r="S3" t="s">
        <v>79</v>
      </c>
      <c r="T3">
        <v>193.6708860759494</v>
      </c>
      <c r="U3">
        <v>43.080926582278479</v>
      </c>
      <c r="V3">
        <v>0.569620253164557</v>
      </c>
      <c r="W3">
        <v>0.37974683544303789</v>
      </c>
      <c r="X3" t="s">
        <v>31</v>
      </c>
    </row>
    <row r="4" spans="1:24" x14ac:dyDescent="0.25">
      <c r="A4" t="s">
        <v>505</v>
      </c>
      <c r="B4" t="s">
        <v>506</v>
      </c>
      <c r="C4" s="1">
        <v>46269</v>
      </c>
      <c r="D4" t="s">
        <v>26</v>
      </c>
      <c r="E4" t="s">
        <v>507</v>
      </c>
      <c r="F4">
        <v>57</v>
      </c>
      <c r="H4">
        <v>54.32</v>
      </c>
      <c r="I4">
        <v>0</v>
      </c>
      <c r="J4">
        <v>54.32</v>
      </c>
      <c r="K4">
        <v>2.68</v>
      </c>
      <c r="L4" t="s">
        <v>501</v>
      </c>
      <c r="M4" s="1">
        <v>46269</v>
      </c>
      <c r="N4">
        <v>3000</v>
      </c>
      <c r="O4">
        <v>333.666</v>
      </c>
      <c r="P4">
        <v>14</v>
      </c>
      <c r="Q4">
        <v>4</v>
      </c>
      <c r="R4" t="s">
        <v>508</v>
      </c>
      <c r="S4" t="s">
        <v>509</v>
      </c>
      <c r="T4">
        <v>569.62025316455697</v>
      </c>
      <c r="U4">
        <v>63.354303797468361</v>
      </c>
      <c r="V4">
        <v>2.6582278481012662</v>
      </c>
      <c r="W4">
        <v>0.75949367088607589</v>
      </c>
      <c r="X4" t="s">
        <v>31</v>
      </c>
    </row>
    <row r="5" spans="1:24" x14ac:dyDescent="0.25">
      <c r="A5" t="s">
        <v>510</v>
      </c>
      <c r="B5" t="s">
        <v>511</v>
      </c>
      <c r="C5" s="1">
        <v>46259</v>
      </c>
      <c r="D5" t="s">
        <v>26</v>
      </c>
      <c r="E5" t="s">
        <v>512</v>
      </c>
      <c r="F5">
        <v>6.84</v>
      </c>
      <c r="I5">
        <v>0</v>
      </c>
      <c r="J5">
        <v>0</v>
      </c>
      <c r="K5">
        <v>6.84</v>
      </c>
      <c r="L5" t="s">
        <v>501</v>
      </c>
      <c r="M5" s="1">
        <v>46259</v>
      </c>
      <c r="N5">
        <v>298</v>
      </c>
      <c r="O5">
        <v>33.144156000000002</v>
      </c>
      <c r="P5">
        <v>6</v>
      </c>
      <c r="Q5">
        <v>1</v>
      </c>
      <c r="R5" t="s">
        <v>513</v>
      </c>
      <c r="S5" t="s">
        <v>157</v>
      </c>
      <c r="T5">
        <v>56.582278481012658</v>
      </c>
      <c r="U5">
        <v>6.2931941772151889</v>
      </c>
      <c r="V5">
        <v>1.139240506329114</v>
      </c>
      <c r="W5">
        <v>0.189873417721519</v>
      </c>
      <c r="X5" t="s">
        <v>31</v>
      </c>
    </row>
    <row r="6" spans="1:24" x14ac:dyDescent="0.25">
      <c r="A6" t="s">
        <v>510</v>
      </c>
      <c r="B6" t="s">
        <v>514</v>
      </c>
      <c r="C6" s="1">
        <v>46259</v>
      </c>
      <c r="D6" t="s">
        <v>26</v>
      </c>
      <c r="E6" t="s">
        <v>515</v>
      </c>
      <c r="F6">
        <v>6.84</v>
      </c>
      <c r="H6">
        <v>5.48</v>
      </c>
      <c r="I6">
        <v>0</v>
      </c>
      <c r="J6">
        <v>0</v>
      </c>
      <c r="K6">
        <v>1.36</v>
      </c>
      <c r="L6" t="s">
        <v>501</v>
      </c>
      <c r="M6" s="1">
        <v>46259</v>
      </c>
      <c r="N6">
        <v>158</v>
      </c>
      <c r="O6">
        <v>17.573076</v>
      </c>
      <c r="P6">
        <v>4</v>
      </c>
      <c r="Q6">
        <v>1</v>
      </c>
      <c r="R6" t="s">
        <v>513</v>
      </c>
      <c r="S6" t="s">
        <v>362</v>
      </c>
      <c r="T6">
        <v>30</v>
      </c>
      <c r="U6">
        <v>3.3366600000000002</v>
      </c>
      <c r="V6">
        <v>0.75949367088607589</v>
      </c>
      <c r="W6">
        <v>0.189873417721519</v>
      </c>
      <c r="X6" t="s">
        <v>31</v>
      </c>
    </row>
    <row r="7" spans="1:24" x14ac:dyDescent="0.25">
      <c r="A7" t="s">
        <v>516</v>
      </c>
      <c r="B7" t="s">
        <v>517</v>
      </c>
      <c r="C7" s="1">
        <v>46220</v>
      </c>
      <c r="D7" t="s">
        <v>26</v>
      </c>
      <c r="E7" t="s">
        <v>489</v>
      </c>
      <c r="F7">
        <v>114</v>
      </c>
      <c r="G7">
        <v>0</v>
      </c>
      <c r="H7">
        <v>74.64</v>
      </c>
      <c r="I7">
        <v>0</v>
      </c>
      <c r="J7">
        <v>116.44</v>
      </c>
      <c r="K7">
        <v>39.36</v>
      </c>
      <c r="L7" t="s">
        <v>501</v>
      </c>
      <c r="M7" s="1">
        <v>46270</v>
      </c>
      <c r="N7">
        <v>25510</v>
      </c>
      <c r="O7">
        <v>2852.752892</v>
      </c>
      <c r="P7">
        <v>64</v>
      </c>
      <c r="Q7">
        <v>11</v>
      </c>
      <c r="R7" t="s">
        <v>518</v>
      </c>
      <c r="S7" t="s">
        <v>519</v>
      </c>
      <c r="T7">
        <v>4843.6708860759491</v>
      </c>
      <c r="U7">
        <v>541.66194151898731</v>
      </c>
      <c r="V7">
        <v>12.151898734177211</v>
      </c>
      <c r="W7">
        <v>2.0886075949367089</v>
      </c>
      <c r="X7" t="s">
        <v>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520</v>
      </c>
      <c r="B2" t="s">
        <v>521</v>
      </c>
      <c r="C2" s="1">
        <v>46205</v>
      </c>
      <c r="D2" t="s">
        <v>26</v>
      </c>
      <c r="E2" t="s">
        <v>522</v>
      </c>
      <c r="F2">
        <v>49.6</v>
      </c>
      <c r="G2">
        <v>0</v>
      </c>
      <c r="H2">
        <v>25.44</v>
      </c>
      <c r="I2">
        <v>0</v>
      </c>
      <c r="J2">
        <v>25.43</v>
      </c>
      <c r="K2">
        <v>24.16</v>
      </c>
      <c r="L2" t="s">
        <v>523</v>
      </c>
      <c r="M2" s="1">
        <v>46248</v>
      </c>
      <c r="N2">
        <v>126</v>
      </c>
      <c r="O2">
        <v>19.316555999999999</v>
      </c>
      <c r="P2">
        <v>6</v>
      </c>
      <c r="Q2">
        <v>2</v>
      </c>
      <c r="R2" t="s">
        <v>524</v>
      </c>
      <c r="S2" t="s">
        <v>84</v>
      </c>
      <c r="T2">
        <v>23.924050632911388</v>
      </c>
      <c r="U2">
        <v>3.667700506329115</v>
      </c>
      <c r="V2">
        <v>1.139240506329114</v>
      </c>
      <c r="W2">
        <v>0.37974683544303789</v>
      </c>
      <c r="X2" t="s">
        <v>31</v>
      </c>
    </row>
    <row r="3" spans="1:24" x14ac:dyDescent="0.25">
      <c r="A3" t="s">
        <v>525</v>
      </c>
      <c r="B3" t="s">
        <v>526</v>
      </c>
      <c r="C3" s="1">
        <v>46272</v>
      </c>
      <c r="D3" t="s">
        <v>26</v>
      </c>
      <c r="E3" t="s">
        <v>527</v>
      </c>
      <c r="F3">
        <v>15.5</v>
      </c>
      <c r="H3">
        <v>13.04</v>
      </c>
      <c r="I3">
        <v>0</v>
      </c>
      <c r="J3">
        <v>0</v>
      </c>
      <c r="K3">
        <v>2.46</v>
      </c>
      <c r="L3" t="s">
        <v>523</v>
      </c>
      <c r="M3" s="1">
        <v>46230</v>
      </c>
      <c r="N3">
        <v>229</v>
      </c>
      <c r="O3">
        <v>35.107073999999997</v>
      </c>
      <c r="P3">
        <v>8</v>
      </c>
      <c r="Q3">
        <v>1</v>
      </c>
      <c r="R3" t="s">
        <v>29</v>
      </c>
      <c r="S3" t="s">
        <v>509</v>
      </c>
      <c r="T3">
        <v>43.481012658227847</v>
      </c>
      <c r="U3">
        <v>6.6659001265822777</v>
      </c>
      <c r="V3">
        <v>1.518987341772152</v>
      </c>
      <c r="W3">
        <v>0.189873417721519</v>
      </c>
      <c r="X3" t="s">
        <v>31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528</v>
      </c>
      <c r="B2" t="s">
        <v>529</v>
      </c>
      <c r="C2" s="1">
        <v>46258</v>
      </c>
      <c r="D2" t="s">
        <v>26</v>
      </c>
      <c r="E2" t="s">
        <v>530</v>
      </c>
      <c r="F2">
        <v>0.98</v>
      </c>
      <c r="G2">
        <v>0</v>
      </c>
      <c r="H2">
        <v>0</v>
      </c>
      <c r="I2">
        <v>0</v>
      </c>
      <c r="J2">
        <v>0</v>
      </c>
      <c r="K2">
        <v>0.98</v>
      </c>
      <c r="L2" t="s">
        <v>531</v>
      </c>
      <c r="M2" s="1">
        <v>46258</v>
      </c>
      <c r="N2">
        <v>20</v>
      </c>
      <c r="O2">
        <v>0.99197999999999986</v>
      </c>
      <c r="P2">
        <v>2</v>
      </c>
      <c r="Q2">
        <v>1</v>
      </c>
      <c r="R2" t="s">
        <v>29</v>
      </c>
      <c r="S2" t="s">
        <v>362</v>
      </c>
      <c r="T2">
        <v>3.79746835443038</v>
      </c>
      <c r="U2">
        <v>0.1883506329113924</v>
      </c>
      <c r="V2">
        <v>0.37974683544303789</v>
      </c>
      <c r="W2">
        <v>0.189873417721519</v>
      </c>
      <c r="X2" t="s">
        <v>31</v>
      </c>
    </row>
    <row r="3" spans="1:24" x14ac:dyDescent="0.25">
      <c r="A3" t="s">
        <v>532</v>
      </c>
      <c r="B3" t="s">
        <v>533</v>
      </c>
      <c r="C3" s="1">
        <v>46272</v>
      </c>
      <c r="D3" t="s">
        <v>26</v>
      </c>
      <c r="E3" t="s">
        <v>534</v>
      </c>
      <c r="F3">
        <v>0.98</v>
      </c>
      <c r="H3">
        <v>0.92</v>
      </c>
      <c r="I3">
        <v>0</v>
      </c>
      <c r="J3">
        <v>0.92</v>
      </c>
      <c r="K3">
        <v>0.06</v>
      </c>
      <c r="L3" t="s">
        <v>531</v>
      </c>
      <c r="M3" s="1">
        <v>46230</v>
      </c>
      <c r="N3">
        <v>14</v>
      </c>
      <c r="O3">
        <v>0.69438599999999995</v>
      </c>
      <c r="P3">
        <v>1</v>
      </c>
      <c r="Q3">
        <v>1</v>
      </c>
      <c r="R3" t="s">
        <v>29</v>
      </c>
      <c r="T3">
        <v>2.6582278481012662</v>
      </c>
      <c r="U3">
        <v>0.13184544303797471</v>
      </c>
      <c r="V3">
        <v>0.189873417721519</v>
      </c>
      <c r="W3">
        <v>0.189873417721519</v>
      </c>
      <c r="X3" t="s">
        <v>31</v>
      </c>
    </row>
    <row r="4" spans="1:24" x14ac:dyDescent="0.25">
      <c r="A4" t="s">
        <v>535</v>
      </c>
      <c r="B4" t="s">
        <v>536</v>
      </c>
      <c r="C4" s="1">
        <v>46265</v>
      </c>
      <c r="D4" t="s">
        <v>26</v>
      </c>
      <c r="E4" t="s">
        <v>537</v>
      </c>
      <c r="F4">
        <v>3.92</v>
      </c>
      <c r="H4">
        <v>3.39</v>
      </c>
      <c r="I4">
        <v>0</v>
      </c>
      <c r="J4">
        <v>3.39</v>
      </c>
      <c r="K4">
        <v>0.53</v>
      </c>
      <c r="L4" t="s">
        <v>531</v>
      </c>
      <c r="M4" s="1">
        <v>46258</v>
      </c>
      <c r="N4">
        <v>514</v>
      </c>
      <c r="O4">
        <v>42.407145</v>
      </c>
      <c r="P4">
        <v>10</v>
      </c>
      <c r="Q4">
        <v>3</v>
      </c>
      <c r="R4" t="s">
        <v>538</v>
      </c>
      <c r="T4">
        <v>97.594936708860757</v>
      </c>
      <c r="U4">
        <v>8.0519895569620239</v>
      </c>
      <c r="V4">
        <v>1.89873417721519</v>
      </c>
      <c r="W4">
        <v>0.569620253164557</v>
      </c>
      <c r="X4" t="s">
        <v>31</v>
      </c>
    </row>
    <row r="5" spans="1:24" x14ac:dyDescent="0.25">
      <c r="A5" t="s">
        <v>539</v>
      </c>
      <c r="B5" t="s">
        <v>540</v>
      </c>
      <c r="C5" s="1">
        <v>46250</v>
      </c>
      <c r="D5" t="s">
        <v>26</v>
      </c>
      <c r="E5" t="s">
        <v>541</v>
      </c>
      <c r="F5">
        <v>105.84</v>
      </c>
      <c r="H5">
        <v>96.76</v>
      </c>
      <c r="I5">
        <v>0</v>
      </c>
      <c r="J5">
        <v>96.76</v>
      </c>
      <c r="K5">
        <v>9.08</v>
      </c>
      <c r="L5" t="s">
        <v>531</v>
      </c>
      <c r="M5" s="1">
        <v>46251</v>
      </c>
      <c r="N5">
        <v>5962</v>
      </c>
      <c r="O5">
        <v>553.07844899999998</v>
      </c>
      <c r="P5">
        <v>23</v>
      </c>
      <c r="Q5">
        <v>3</v>
      </c>
      <c r="R5" t="s">
        <v>538</v>
      </c>
      <c r="S5" t="s">
        <v>30</v>
      </c>
      <c r="T5">
        <v>1132.0253164556959</v>
      </c>
      <c r="U5">
        <v>105.0148953797468</v>
      </c>
      <c r="V5">
        <v>4.3670886075949369</v>
      </c>
      <c r="W5">
        <v>0.569620253164557</v>
      </c>
      <c r="X5" t="s">
        <v>31</v>
      </c>
    </row>
    <row r="6" spans="1:24" x14ac:dyDescent="0.25">
      <c r="A6" t="s">
        <v>525</v>
      </c>
      <c r="B6" t="s">
        <v>542</v>
      </c>
      <c r="C6" s="1">
        <v>46272</v>
      </c>
      <c r="D6" t="s">
        <v>26</v>
      </c>
      <c r="E6" t="s">
        <v>527</v>
      </c>
      <c r="F6">
        <v>9.8000000000000007</v>
      </c>
      <c r="H6">
        <v>9.02</v>
      </c>
      <c r="I6">
        <v>0</v>
      </c>
      <c r="J6">
        <v>0</v>
      </c>
      <c r="K6">
        <v>0.78</v>
      </c>
      <c r="L6" t="s">
        <v>531</v>
      </c>
      <c r="M6" s="1">
        <v>46237</v>
      </c>
      <c r="N6">
        <v>5</v>
      </c>
      <c r="O6">
        <v>0.49598999999999988</v>
      </c>
      <c r="P6">
        <v>2</v>
      </c>
      <c r="Q6">
        <v>1</v>
      </c>
      <c r="R6" t="s">
        <v>543</v>
      </c>
      <c r="T6">
        <v>0.949367088607595</v>
      </c>
      <c r="U6">
        <v>9.4175316455696184E-2</v>
      </c>
      <c r="V6">
        <v>0.37974683544303789</v>
      </c>
      <c r="W6">
        <v>0.189873417721519</v>
      </c>
      <c r="X6" t="s">
        <v>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workbookViewId="0">
      <selection activeCell="I13" sqref="I13"/>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544</v>
      </c>
      <c r="B2" t="s">
        <v>545</v>
      </c>
      <c r="C2" s="1">
        <v>46203</v>
      </c>
      <c r="D2" t="s">
        <v>26</v>
      </c>
      <c r="E2" t="s">
        <v>541</v>
      </c>
      <c r="F2">
        <v>1026</v>
      </c>
      <c r="G2">
        <v>192</v>
      </c>
      <c r="H2">
        <v>583.22</v>
      </c>
      <c r="I2">
        <v>0</v>
      </c>
      <c r="J2">
        <v>317.49</v>
      </c>
      <c r="K2">
        <v>250.78</v>
      </c>
      <c r="L2" t="s">
        <v>546</v>
      </c>
      <c r="M2" s="1">
        <v>46265</v>
      </c>
      <c r="N2">
        <v>15344</v>
      </c>
      <c r="O2">
        <v>1346.008644</v>
      </c>
      <c r="P2">
        <v>70</v>
      </c>
      <c r="Q2">
        <v>13</v>
      </c>
      <c r="R2" t="s">
        <v>547</v>
      </c>
      <c r="S2" t="s">
        <v>79</v>
      </c>
      <c r="T2">
        <v>2913.417721518987</v>
      </c>
      <c r="U2">
        <v>255.57126151898731</v>
      </c>
      <c r="V2">
        <v>13.291139240506331</v>
      </c>
      <c r="W2">
        <v>2.4683544303797471</v>
      </c>
      <c r="X2" t="s">
        <v>31</v>
      </c>
    </row>
    <row r="3" spans="1:24" x14ac:dyDescent="0.25">
      <c r="A3" t="s">
        <v>548</v>
      </c>
      <c r="B3" t="s">
        <v>549</v>
      </c>
      <c r="C3" s="1">
        <v>46261</v>
      </c>
      <c r="D3" t="s">
        <v>26</v>
      </c>
      <c r="E3" t="s">
        <v>550</v>
      </c>
      <c r="F3">
        <v>0.91</v>
      </c>
      <c r="G3">
        <v>0</v>
      </c>
      <c r="H3">
        <v>0</v>
      </c>
      <c r="I3">
        <v>0</v>
      </c>
      <c r="J3">
        <v>0</v>
      </c>
      <c r="K3">
        <v>0.91</v>
      </c>
      <c r="L3" t="s">
        <v>546</v>
      </c>
      <c r="M3" s="1">
        <v>46261</v>
      </c>
      <c r="N3">
        <v>48</v>
      </c>
      <c r="O3">
        <v>1.779552</v>
      </c>
      <c r="P3">
        <v>3</v>
      </c>
      <c r="Q3">
        <v>2</v>
      </c>
      <c r="R3" t="s">
        <v>154</v>
      </c>
      <c r="S3" t="s">
        <v>362</v>
      </c>
      <c r="T3">
        <v>9.113924050632912</v>
      </c>
      <c r="U3">
        <v>0.33788962025316449</v>
      </c>
      <c r="V3">
        <v>0.569620253164557</v>
      </c>
      <c r="W3">
        <v>0.37974683544303789</v>
      </c>
      <c r="X3" t="s">
        <v>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551</v>
      </c>
      <c r="B2" t="s">
        <v>552</v>
      </c>
      <c r="C2" s="1">
        <v>46260</v>
      </c>
      <c r="D2" t="s">
        <v>26</v>
      </c>
      <c r="E2" t="s">
        <v>553</v>
      </c>
      <c r="F2">
        <v>5.88</v>
      </c>
      <c r="H2">
        <v>5.69</v>
      </c>
      <c r="I2">
        <v>0</v>
      </c>
      <c r="J2">
        <v>0</v>
      </c>
      <c r="K2">
        <v>0.19</v>
      </c>
      <c r="L2" t="s">
        <v>554</v>
      </c>
      <c r="M2" s="1">
        <v>46260</v>
      </c>
      <c r="N2">
        <v>60</v>
      </c>
      <c r="O2">
        <v>5.9518799999999992</v>
      </c>
      <c r="P2">
        <v>1</v>
      </c>
      <c r="Q2">
        <v>1</v>
      </c>
      <c r="R2" t="s">
        <v>555</v>
      </c>
      <c r="T2">
        <v>11.39240506329114</v>
      </c>
      <c r="U2">
        <v>1.1301037974683541</v>
      </c>
      <c r="V2">
        <v>0.189873417721519</v>
      </c>
      <c r="W2">
        <v>0.189873417721519</v>
      </c>
      <c r="X2" t="s">
        <v>31</v>
      </c>
    </row>
    <row r="3" spans="1:24" x14ac:dyDescent="0.25">
      <c r="A3" t="s">
        <v>551</v>
      </c>
      <c r="B3" t="s">
        <v>556</v>
      </c>
      <c r="C3" s="1">
        <v>46260</v>
      </c>
      <c r="D3" t="s">
        <v>26</v>
      </c>
      <c r="E3" t="s">
        <v>557</v>
      </c>
      <c r="F3">
        <v>5.88</v>
      </c>
      <c r="H3">
        <v>5.79</v>
      </c>
      <c r="I3">
        <v>0</v>
      </c>
      <c r="J3">
        <v>0</v>
      </c>
      <c r="K3">
        <v>0.09</v>
      </c>
      <c r="L3" t="s">
        <v>554</v>
      </c>
      <c r="M3" s="1">
        <v>46260</v>
      </c>
      <c r="N3">
        <v>60</v>
      </c>
      <c r="O3">
        <v>5.9518799999999992</v>
      </c>
      <c r="P3">
        <v>1</v>
      </c>
      <c r="Q3">
        <v>1</v>
      </c>
      <c r="R3" t="s">
        <v>555</v>
      </c>
      <c r="T3">
        <v>11.39240506329114</v>
      </c>
      <c r="U3">
        <v>1.1301037974683541</v>
      </c>
      <c r="V3">
        <v>0.189873417721519</v>
      </c>
      <c r="W3">
        <v>0.189873417721519</v>
      </c>
      <c r="X3" t="s">
        <v>31</v>
      </c>
    </row>
    <row r="4" spans="1:24" x14ac:dyDescent="0.25">
      <c r="A4" t="s">
        <v>551</v>
      </c>
      <c r="B4" t="s">
        <v>558</v>
      </c>
      <c r="C4" s="1">
        <v>46260</v>
      </c>
      <c r="D4" t="s">
        <v>26</v>
      </c>
      <c r="E4" t="s">
        <v>559</v>
      </c>
      <c r="F4">
        <v>5.88</v>
      </c>
      <c r="H4">
        <v>5.55</v>
      </c>
      <c r="I4">
        <v>0</v>
      </c>
      <c r="J4">
        <v>4.5999999999999996</v>
      </c>
      <c r="K4">
        <v>0.33</v>
      </c>
      <c r="L4" t="s">
        <v>554</v>
      </c>
      <c r="M4" s="1">
        <v>46260</v>
      </c>
      <c r="N4">
        <v>60</v>
      </c>
      <c r="O4">
        <v>5.9518799999999992</v>
      </c>
      <c r="P4">
        <v>1</v>
      </c>
      <c r="Q4">
        <v>1</v>
      </c>
      <c r="R4" t="s">
        <v>555</v>
      </c>
      <c r="T4">
        <v>11.39240506329114</v>
      </c>
      <c r="U4">
        <v>1.1301037974683541</v>
      </c>
      <c r="V4">
        <v>0.189873417721519</v>
      </c>
      <c r="W4">
        <v>0.189873417721519</v>
      </c>
      <c r="X4" t="s">
        <v>31</v>
      </c>
    </row>
    <row r="5" spans="1:24" x14ac:dyDescent="0.25">
      <c r="A5" t="s">
        <v>551</v>
      </c>
      <c r="B5" t="s">
        <v>560</v>
      </c>
      <c r="C5" s="1">
        <v>46260</v>
      </c>
      <c r="D5" t="s">
        <v>26</v>
      </c>
      <c r="E5" t="s">
        <v>561</v>
      </c>
      <c r="F5">
        <v>5.88</v>
      </c>
      <c r="H5">
        <v>5.7</v>
      </c>
      <c r="I5">
        <v>0</v>
      </c>
      <c r="J5">
        <v>4.83</v>
      </c>
      <c r="K5">
        <v>0.18</v>
      </c>
      <c r="L5" t="s">
        <v>554</v>
      </c>
      <c r="M5" s="1">
        <v>46260</v>
      </c>
      <c r="N5">
        <v>60</v>
      </c>
      <c r="O5">
        <v>5.9518799999999992</v>
      </c>
      <c r="P5">
        <v>1</v>
      </c>
      <c r="Q5">
        <v>1</v>
      </c>
      <c r="R5" t="s">
        <v>555</v>
      </c>
      <c r="T5">
        <v>11.39240506329114</v>
      </c>
      <c r="U5">
        <v>1.1301037974683541</v>
      </c>
      <c r="V5">
        <v>0.189873417721519</v>
      </c>
      <c r="W5">
        <v>0.189873417721519</v>
      </c>
      <c r="X5" t="s">
        <v>31</v>
      </c>
    </row>
    <row r="6" spans="1:24" x14ac:dyDescent="0.25">
      <c r="A6" t="s">
        <v>551</v>
      </c>
      <c r="B6" t="s">
        <v>562</v>
      </c>
      <c r="C6" s="1">
        <v>46260</v>
      </c>
      <c r="D6" t="s">
        <v>26</v>
      </c>
      <c r="E6" t="s">
        <v>563</v>
      </c>
      <c r="F6">
        <v>5.88</v>
      </c>
      <c r="H6">
        <v>5.53</v>
      </c>
      <c r="I6">
        <v>0</v>
      </c>
      <c r="J6">
        <v>0</v>
      </c>
      <c r="K6">
        <v>0.35</v>
      </c>
      <c r="L6" t="s">
        <v>554</v>
      </c>
      <c r="M6" s="1">
        <v>46260</v>
      </c>
      <c r="N6">
        <v>60</v>
      </c>
      <c r="O6">
        <v>5.9518799999999992</v>
      </c>
      <c r="P6">
        <v>1</v>
      </c>
      <c r="Q6">
        <v>1</v>
      </c>
      <c r="R6" t="s">
        <v>555</v>
      </c>
      <c r="T6">
        <v>11.39240506329114</v>
      </c>
      <c r="U6">
        <v>1.1301037974683541</v>
      </c>
      <c r="V6">
        <v>0.189873417721519</v>
      </c>
      <c r="W6">
        <v>0.189873417721519</v>
      </c>
      <c r="X6" t="s">
        <v>31</v>
      </c>
    </row>
    <row r="7" spans="1:24" x14ac:dyDescent="0.25">
      <c r="A7" t="s">
        <v>551</v>
      </c>
      <c r="B7" t="s">
        <v>564</v>
      </c>
      <c r="C7" s="1">
        <v>46260</v>
      </c>
      <c r="D7" t="s">
        <v>26</v>
      </c>
      <c r="E7" t="s">
        <v>565</v>
      </c>
      <c r="F7">
        <v>5.88</v>
      </c>
      <c r="H7">
        <v>5.74</v>
      </c>
      <c r="I7">
        <v>0</v>
      </c>
      <c r="J7">
        <v>0</v>
      </c>
      <c r="K7">
        <v>0.14000000000000001</v>
      </c>
      <c r="L7" t="s">
        <v>554</v>
      </c>
      <c r="M7" s="1">
        <v>46260</v>
      </c>
      <c r="N7">
        <v>60</v>
      </c>
      <c r="O7">
        <v>5.9518799999999992</v>
      </c>
      <c r="P7">
        <v>1</v>
      </c>
      <c r="Q7">
        <v>1</v>
      </c>
      <c r="R7" t="s">
        <v>555</v>
      </c>
      <c r="T7">
        <v>11.39240506329114</v>
      </c>
      <c r="U7">
        <v>1.1301037974683541</v>
      </c>
      <c r="V7">
        <v>0.189873417721519</v>
      </c>
      <c r="W7">
        <v>0.189873417721519</v>
      </c>
      <c r="X7" t="s">
        <v>31</v>
      </c>
    </row>
    <row r="8" spans="1:24" x14ac:dyDescent="0.25">
      <c r="A8" t="s">
        <v>551</v>
      </c>
      <c r="B8" t="s">
        <v>566</v>
      </c>
      <c r="C8" s="1">
        <v>46260</v>
      </c>
      <c r="D8" t="s">
        <v>26</v>
      </c>
      <c r="E8" t="s">
        <v>567</v>
      </c>
      <c r="F8">
        <v>5.88</v>
      </c>
      <c r="H8">
        <v>5.27</v>
      </c>
      <c r="I8">
        <v>0</v>
      </c>
      <c r="J8">
        <v>4.5</v>
      </c>
      <c r="K8">
        <v>0.61</v>
      </c>
      <c r="L8" t="s">
        <v>554</v>
      </c>
      <c r="M8" s="1">
        <v>46260</v>
      </c>
      <c r="N8">
        <v>60</v>
      </c>
      <c r="O8">
        <v>5.9518799999999992</v>
      </c>
      <c r="P8">
        <v>1</v>
      </c>
      <c r="Q8">
        <v>1</v>
      </c>
      <c r="R8" t="s">
        <v>555</v>
      </c>
      <c r="T8">
        <v>11.39240506329114</v>
      </c>
      <c r="U8">
        <v>1.1301037974683541</v>
      </c>
      <c r="V8">
        <v>0.189873417721519</v>
      </c>
      <c r="W8">
        <v>0.189873417721519</v>
      </c>
      <c r="X8" t="s">
        <v>31</v>
      </c>
    </row>
    <row r="9" spans="1:24" x14ac:dyDescent="0.25">
      <c r="A9" t="s">
        <v>551</v>
      </c>
      <c r="B9" t="s">
        <v>568</v>
      </c>
      <c r="C9" s="1">
        <v>46260</v>
      </c>
      <c r="D9" t="s">
        <v>26</v>
      </c>
      <c r="E9" t="s">
        <v>569</v>
      </c>
      <c r="F9">
        <v>5.88</v>
      </c>
      <c r="H9">
        <v>5.51</v>
      </c>
      <c r="I9">
        <v>0</v>
      </c>
      <c r="J9">
        <v>0</v>
      </c>
      <c r="K9">
        <v>0.37</v>
      </c>
      <c r="L9" t="s">
        <v>554</v>
      </c>
      <c r="M9" s="1">
        <v>46260</v>
      </c>
      <c r="N9">
        <v>60</v>
      </c>
      <c r="O9">
        <v>5.9518799999999992</v>
      </c>
      <c r="P9">
        <v>1</v>
      </c>
      <c r="Q9">
        <v>1</v>
      </c>
      <c r="R9" t="s">
        <v>555</v>
      </c>
      <c r="T9">
        <v>11.39240506329114</v>
      </c>
      <c r="U9">
        <v>1.1301037974683541</v>
      </c>
      <c r="V9">
        <v>0.189873417721519</v>
      </c>
      <c r="W9">
        <v>0.189873417721519</v>
      </c>
      <c r="X9" t="s">
        <v>31</v>
      </c>
    </row>
    <row r="10" spans="1:24" x14ac:dyDescent="0.25">
      <c r="A10" t="s">
        <v>551</v>
      </c>
      <c r="B10" t="s">
        <v>570</v>
      </c>
      <c r="C10" s="1">
        <v>46260</v>
      </c>
      <c r="D10" t="s">
        <v>26</v>
      </c>
      <c r="E10" t="s">
        <v>571</v>
      </c>
      <c r="F10">
        <v>5.88</v>
      </c>
      <c r="H10">
        <v>5.16</v>
      </c>
      <c r="I10">
        <v>0</v>
      </c>
      <c r="J10">
        <v>4.5</v>
      </c>
      <c r="K10">
        <v>0.72</v>
      </c>
      <c r="L10" t="s">
        <v>554</v>
      </c>
      <c r="M10" s="1">
        <v>46260</v>
      </c>
      <c r="N10">
        <v>60</v>
      </c>
      <c r="O10">
        <v>5.9518799999999992</v>
      </c>
      <c r="P10">
        <v>1</v>
      </c>
      <c r="Q10">
        <v>1</v>
      </c>
      <c r="R10" t="s">
        <v>555</v>
      </c>
      <c r="T10">
        <v>11.39240506329114</v>
      </c>
      <c r="U10">
        <v>1.1301037974683541</v>
      </c>
      <c r="V10">
        <v>0.189873417721519</v>
      </c>
      <c r="W10">
        <v>0.189873417721519</v>
      </c>
      <c r="X10" t="s">
        <v>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498</v>
      </c>
      <c r="B2" t="s">
        <v>572</v>
      </c>
      <c r="C2" s="1">
        <v>46259</v>
      </c>
      <c r="D2" t="s">
        <v>26</v>
      </c>
      <c r="E2" t="s">
        <v>573</v>
      </c>
      <c r="F2">
        <v>61.2</v>
      </c>
      <c r="I2">
        <v>0</v>
      </c>
      <c r="J2">
        <v>0</v>
      </c>
      <c r="K2">
        <v>61.2</v>
      </c>
      <c r="L2" t="s">
        <v>574</v>
      </c>
      <c r="M2" s="1">
        <v>46259</v>
      </c>
      <c r="N2">
        <v>1731</v>
      </c>
      <c r="O2">
        <v>395.45733599999988</v>
      </c>
      <c r="P2">
        <v>2</v>
      </c>
      <c r="Q2">
        <v>2</v>
      </c>
      <c r="R2" t="s">
        <v>502</v>
      </c>
      <c r="S2" t="s">
        <v>100</v>
      </c>
      <c r="T2">
        <v>328.6708860759494</v>
      </c>
      <c r="U2">
        <v>75.086835949367085</v>
      </c>
      <c r="V2">
        <v>0.37974683544303789</v>
      </c>
      <c r="W2">
        <v>0.37974683544303789</v>
      </c>
      <c r="X2" t="s">
        <v>31</v>
      </c>
    </row>
    <row r="3" spans="1:24" x14ac:dyDescent="0.25">
      <c r="A3" t="s">
        <v>575</v>
      </c>
      <c r="B3" t="s">
        <v>576</v>
      </c>
      <c r="C3" s="1">
        <v>46196</v>
      </c>
      <c r="D3" t="s">
        <v>26</v>
      </c>
      <c r="E3" t="s">
        <v>577</v>
      </c>
      <c r="F3">
        <v>103.05</v>
      </c>
      <c r="H3">
        <v>55.3</v>
      </c>
      <c r="I3">
        <v>0</v>
      </c>
      <c r="J3">
        <v>12.74</v>
      </c>
      <c r="K3">
        <v>47.75</v>
      </c>
      <c r="L3" t="s">
        <v>574</v>
      </c>
      <c r="M3" s="1">
        <v>46182</v>
      </c>
      <c r="N3">
        <v>606</v>
      </c>
      <c r="O3">
        <v>138.44433599999999</v>
      </c>
      <c r="P3">
        <v>3</v>
      </c>
      <c r="Q3">
        <v>1</v>
      </c>
      <c r="R3" t="s">
        <v>578</v>
      </c>
      <c r="S3" t="s">
        <v>100</v>
      </c>
      <c r="T3">
        <v>115.0632911392405</v>
      </c>
      <c r="U3">
        <v>26.28689924050633</v>
      </c>
      <c r="V3">
        <v>0.569620253164557</v>
      </c>
      <c r="W3">
        <v>0.189873417721519</v>
      </c>
      <c r="X3" t="s">
        <v>31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579</v>
      </c>
      <c r="B2" t="s">
        <v>580</v>
      </c>
      <c r="C2" s="1">
        <v>46245</v>
      </c>
      <c r="D2" t="s">
        <v>26</v>
      </c>
      <c r="E2" t="s">
        <v>581</v>
      </c>
      <c r="F2">
        <v>17.7</v>
      </c>
      <c r="G2">
        <v>0</v>
      </c>
      <c r="H2">
        <v>0</v>
      </c>
      <c r="I2">
        <v>0</v>
      </c>
      <c r="J2">
        <v>0</v>
      </c>
      <c r="K2">
        <v>17.7</v>
      </c>
      <c r="L2" t="s">
        <v>582</v>
      </c>
      <c r="M2" s="1">
        <v>46245</v>
      </c>
      <c r="N2">
        <v>120</v>
      </c>
      <c r="O2">
        <v>37.92</v>
      </c>
      <c r="P2">
        <v>3</v>
      </c>
      <c r="Q2">
        <v>2</v>
      </c>
      <c r="R2" t="s">
        <v>583</v>
      </c>
      <c r="S2" t="s">
        <v>30</v>
      </c>
      <c r="T2">
        <v>22.784810126582279</v>
      </c>
      <c r="U2">
        <v>7.2</v>
      </c>
      <c r="V2">
        <v>0.569620253164557</v>
      </c>
      <c r="W2">
        <v>0.37974683544303789</v>
      </c>
      <c r="X2" t="s">
        <v>31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584</v>
      </c>
      <c r="B2" t="s">
        <v>585</v>
      </c>
      <c r="C2" s="1">
        <v>46217</v>
      </c>
      <c r="D2" t="s">
        <v>26</v>
      </c>
      <c r="E2" t="s">
        <v>586</v>
      </c>
      <c r="F2">
        <v>790.09</v>
      </c>
      <c r="H2">
        <v>62.25</v>
      </c>
      <c r="I2">
        <v>0</v>
      </c>
      <c r="J2">
        <v>62.25</v>
      </c>
      <c r="K2">
        <v>727.84</v>
      </c>
      <c r="L2" t="s">
        <v>587</v>
      </c>
      <c r="M2" s="1">
        <v>46217</v>
      </c>
      <c r="N2">
        <v>3810</v>
      </c>
      <c r="O2">
        <v>821.0763750000001</v>
      </c>
      <c r="P2">
        <v>5</v>
      </c>
      <c r="Q2">
        <v>3</v>
      </c>
      <c r="R2" t="s">
        <v>588</v>
      </c>
      <c r="S2" t="s">
        <v>79</v>
      </c>
      <c r="T2">
        <v>723.41772151898726</v>
      </c>
      <c r="U2">
        <v>155.90057753164561</v>
      </c>
      <c r="V2">
        <v>0.949367088607595</v>
      </c>
      <c r="W2">
        <v>0.569620253164557</v>
      </c>
      <c r="X2" t="s">
        <v>31</v>
      </c>
    </row>
    <row r="3" spans="1:24" x14ac:dyDescent="0.25">
      <c r="A3" t="s">
        <v>589</v>
      </c>
      <c r="B3" t="s">
        <v>590</v>
      </c>
      <c r="C3" s="1">
        <v>46229</v>
      </c>
      <c r="D3" t="s">
        <v>26</v>
      </c>
      <c r="E3" t="s">
        <v>591</v>
      </c>
      <c r="F3">
        <v>240.84</v>
      </c>
      <c r="H3">
        <v>147.52000000000001</v>
      </c>
      <c r="I3">
        <v>0</v>
      </c>
      <c r="J3">
        <v>49.36</v>
      </c>
      <c r="K3">
        <v>93.32</v>
      </c>
      <c r="L3" t="s">
        <v>587</v>
      </c>
      <c r="M3" s="1">
        <v>46229</v>
      </c>
      <c r="N3">
        <v>120</v>
      </c>
      <c r="O3">
        <v>26.302499999999998</v>
      </c>
      <c r="P3">
        <v>2</v>
      </c>
      <c r="Q3">
        <v>2</v>
      </c>
      <c r="R3" t="s">
        <v>583</v>
      </c>
      <c r="S3" t="s">
        <v>79</v>
      </c>
      <c r="T3">
        <v>22.784810126582279</v>
      </c>
      <c r="U3">
        <v>4.9941455696202528</v>
      </c>
      <c r="V3">
        <v>0.37974683544303789</v>
      </c>
      <c r="W3">
        <v>0.37974683544303789</v>
      </c>
      <c r="X3"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2_by_60_SPUN_POLYESTER_YARN</vt:lpstr>
      <vt:lpstr>2_by_57_SPUN_POLYESTER_YARN</vt:lpstr>
      <vt:lpstr>210_by_3_HT_CONTINOUS_POLYESTER</vt:lpstr>
      <vt:lpstr>Recovered_Sheet1</vt:lpstr>
      <vt:lpstr>420_by_3_HI-TENACITY_NYLON_6_YA</vt:lpstr>
      <vt:lpstr>210_by_2_HI-TENACITY_NYLON_6_YA</vt:lpstr>
      <vt:lpstr>210_by_3_HI-TENACITY_NYLON_6_YA</vt:lpstr>
      <vt:lpstr>210_by_2_HT_CONTINOUS_POLYESTER</vt:lpstr>
      <vt:lpstr>420_by_3_HT_CONTINOUS_POLYESTER</vt:lpstr>
      <vt:lpstr>840_by_3_HT_CONTINOUS_POLYESTER</vt:lpstr>
      <vt:lpstr>250_by_3_HT_CONTINOUS_POLYESTER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2026-09-10T06:56:58Z</dcterms:created>
  <dcterms:modified xsi:type="dcterms:W3CDTF">2026-09-10T12:04:08Z</dcterms:modified>
</cp:coreProperties>
</file>