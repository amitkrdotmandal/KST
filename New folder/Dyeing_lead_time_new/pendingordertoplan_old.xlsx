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Dyeing_lead_time_new\"/>
    </mc:Choice>
  </mc:AlternateContent>
  <bookViews>
    <workbookView minimized="1" xWindow="0" yWindow="30" windowWidth="7485" windowHeight="4140"/>
  </bookViews>
  <sheets>
    <sheet name="PENDINGORDERTOPLAN.rpt" sheetId="1" r:id="rId1"/>
  </sheets>
  <calcPr calcId="162913"/>
</workbook>
</file>

<file path=xl/calcChain.xml><?xml version="1.0" encoding="utf-8"?>
<calcChain xmlns="http://schemas.openxmlformats.org/spreadsheetml/2006/main">
  <c r="E45" i="1" l="1"/>
  <c r="H45" i="1"/>
  <c r="I45" i="1"/>
  <c r="J45" i="1"/>
  <c r="E71" i="1"/>
  <c r="G71" i="1"/>
  <c r="H71" i="1"/>
  <c r="I71" i="1"/>
  <c r="J71" i="1"/>
  <c r="E78" i="1"/>
  <c r="G78" i="1"/>
  <c r="H78" i="1"/>
  <c r="I78" i="1"/>
  <c r="J78" i="1"/>
  <c r="E82" i="1"/>
  <c r="H82" i="1"/>
  <c r="I82" i="1"/>
  <c r="J82" i="1"/>
  <c r="E95" i="1"/>
  <c r="H95" i="1"/>
  <c r="I95" i="1"/>
  <c r="J95" i="1"/>
  <c r="E107" i="1"/>
  <c r="H107" i="1"/>
  <c r="I107" i="1"/>
  <c r="J107" i="1"/>
  <c r="E111" i="1"/>
  <c r="G111" i="1"/>
  <c r="H111" i="1"/>
  <c r="I111" i="1"/>
  <c r="J111" i="1"/>
  <c r="E116" i="1"/>
  <c r="H116" i="1"/>
  <c r="I116" i="1"/>
  <c r="J116" i="1"/>
  <c r="E121" i="1"/>
  <c r="H121" i="1"/>
  <c r="I121" i="1"/>
  <c r="J121" i="1"/>
  <c r="E127" i="1"/>
  <c r="H127" i="1"/>
  <c r="I127" i="1"/>
  <c r="J127" i="1"/>
  <c r="E130" i="1"/>
  <c r="G130" i="1"/>
  <c r="H130" i="1"/>
  <c r="I130" i="1"/>
  <c r="J130" i="1"/>
  <c r="E133" i="1"/>
  <c r="H133" i="1"/>
  <c r="I133" i="1"/>
  <c r="J133" i="1"/>
</calcChain>
</file>

<file path=xl/sharedStrings.xml><?xml version="1.0" encoding="utf-8"?>
<sst xmlns="http://schemas.openxmlformats.org/spreadsheetml/2006/main" count="467" uniqueCount="268">
  <si>
    <t>Order No.</t>
  </si>
  <si>
    <t>DO  No.</t>
  </si>
  <si>
    <t>DO Date.</t>
  </si>
  <si>
    <t>Party Name.</t>
  </si>
  <si>
    <t>Shade Name</t>
  </si>
  <si>
    <t>D.O. Qty</t>
  </si>
  <si>
    <t>Plan Qty</t>
  </si>
  <si>
    <t>Issue Qty</t>
  </si>
  <si>
    <t>Cancel Qty</t>
  </si>
  <si>
    <t>Dispatch Qty</t>
  </si>
  <si>
    <t>Bal PlanQty</t>
  </si>
  <si>
    <t>2/57 SPUN POLYSTER YARN</t>
  </si>
  <si>
    <t>ST00304/26</t>
  </si>
  <si>
    <t>ST0030461N</t>
  </si>
  <si>
    <t>KIRAN INDUSTRIES PVT LTD (STICH DIV SALES)</t>
  </si>
  <si>
    <t>S01604</t>
  </si>
  <si>
    <t>ST0030462N</t>
  </si>
  <si>
    <t>S01654</t>
  </si>
  <si>
    <t>ST0030463N</t>
  </si>
  <si>
    <t>S00779</t>
  </si>
  <si>
    <t>ST00305/26</t>
  </si>
  <si>
    <t>ST0030515N</t>
  </si>
  <si>
    <t>S16378</t>
  </si>
  <si>
    <t>ST0030542N</t>
  </si>
  <si>
    <t>S53132</t>
  </si>
  <si>
    <t>ST0030551N</t>
  </si>
  <si>
    <t>S50749</t>
  </si>
  <si>
    <t>ST00324/26</t>
  </si>
  <si>
    <t>ST0032402N</t>
  </si>
  <si>
    <t>KS-BLACK</t>
  </si>
  <si>
    <t>ST00379/26</t>
  </si>
  <si>
    <t>ST0037927N</t>
  </si>
  <si>
    <t>S00510</t>
  </si>
  <si>
    <t>ST0037929N</t>
  </si>
  <si>
    <t>S00041</t>
  </si>
  <si>
    <t>ST0037934N</t>
  </si>
  <si>
    <t>S00184</t>
  </si>
  <si>
    <t>ST0037950N</t>
  </si>
  <si>
    <t>S00762</t>
  </si>
  <si>
    <t>ST0037952N</t>
  </si>
  <si>
    <t>S00837</t>
  </si>
  <si>
    <t>ST0037954N</t>
  </si>
  <si>
    <t>S00908</t>
  </si>
  <si>
    <t>ST0037957N</t>
  </si>
  <si>
    <t>S00582</t>
  </si>
  <si>
    <t>ST00380/26</t>
  </si>
  <si>
    <t>ST0038027N</t>
  </si>
  <si>
    <t>S14072</t>
  </si>
  <si>
    <t>ST0038031N</t>
  </si>
  <si>
    <t>S16502</t>
  </si>
  <si>
    <t>ST0038033N</t>
  </si>
  <si>
    <t>S14075</t>
  </si>
  <si>
    <t>ST0038044N</t>
  </si>
  <si>
    <t>S14719</t>
  </si>
  <si>
    <t>ST0038049N</t>
  </si>
  <si>
    <t>S17245</t>
  </si>
  <si>
    <t>ST0038054N</t>
  </si>
  <si>
    <t>S01939</t>
  </si>
  <si>
    <t>ST00381/26</t>
  </si>
  <si>
    <t>ST0038110N</t>
  </si>
  <si>
    <t>S50937</t>
  </si>
  <si>
    <t>ST0038112N</t>
  </si>
  <si>
    <t>S50583</t>
  </si>
  <si>
    <t>ST0038113N</t>
  </si>
  <si>
    <t>S50677</t>
  </si>
  <si>
    <t>ST0038124N</t>
  </si>
  <si>
    <t>S50989</t>
  </si>
  <si>
    <t>ST0038126N</t>
  </si>
  <si>
    <t>S17263</t>
  </si>
  <si>
    <t>ST0038129N</t>
  </si>
  <si>
    <t>S50403</t>
  </si>
  <si>
    <t>ST0038130N</t>
  </si>
  <si>
    <t>S50407</t>
  </si>
  <si>
    <t>ST0038131N</t>
  </si>
  <si>
    <t>S50410</t>
  </si>
  <si>
    <t>ST0038136N</t>
  </si>
  <si>
    <t>S50985</t>
  </si>
  <si>
    <t>ST0038139N</t>
  </si>
  <si>
    <t>S50696</t>
  </si>
  <si>
    <t>ST0038140N</t>
  </si>
  <si>
    <t>S50717</t>
  </si>
  <si>
    <t>ST0038144N</t>
  </si>
  <si>
    <t>S56979</t>
  </si>
  <si>
    <t>ST0038146N</t>
  </si>
  <si>
    <t>S50868</t>
  </si>
  <si>
    <t>ST0038147N</t>
  </si>
  <si>
    <t>S50690</t>
  </si>
  <si>
    <t>ST0038151N</t>
  </si>
  <si>
    <t>S50967</t>
  </si>
  <si>
    <t>ST0038154N</t>
  </si>
  <si>
    <t>S60663</t>
  </si>
  <si>
    <t>ST0038155N</t>
  </si>
  <si>
    <t>S60365</t>
  </si>
  <si>
    <t>ST00401/26</t>
  </si>
  <si>
    <t>ST0040101N</t>
  </si>
  <si>
    <t>S01029</t>
  </si>
  <si>
    <t>ST0040102N</t>
  </si>
  <si>
    <t>S50671</t>
  </si>
  <si>
    <t>ST0040104N</t>
  </si>
  <si>
    <t>S01160</t>
  </si>
  <si>
    <t>ST0040105N</t>
  </si>
  <si>
    <t>ST0040108N</t>
  </si>
  <si>
    <t>S50695</t>
  </si>
  <si>
    <t xml:space="preserve">Item  Total </t>
  </si>
  <si>
    <t>2/60 SPUN POLYESTER YARN</t>
  </si>
  <si>
    <t>ST00131/26</t>
  </si>
  <si>
    <t>ST0013101N</t>
  </si>
  <si>
    <t>KS-BLEACH</t>
  </si>
  <si>
    <t>ST00161/26</t>
  </si>
  <si>
    <t>ST0016102N</t>
  </si>
  <si>
    <t>ST00178/26</t>
  </si>
  <si>
    <t>ST0017815N</t>
  </si>
  <si>
    <t>S00375</t>
  </si>
  <si>
    <t>ST00231/26</t>
  </si>
  <si>
    <t>ST0023101N</t>
  </si>
  <si>
    <t>ST00319/26</t>
  </si>
  <si>
    <t>ST0031901N</t>
  </si>
  <si>
    <t>D10003</t>
  </si>
  <si>
    <t>ST0031907N</t>
  </si>
  <si>
    <t>D10038</t>
  </si>
  <si>
    <t>ST0031936N</t>
  </si>
  <si>
    <t>S05257</t>
  </si>
  <si>
    <t>ST0031957N</t>
  </si>
  <si>
    <t>S14720</t>
  </si>
  <si>
    <t>ST0031977N</t>
  </si>
  <si>
    <t>S13189</t>
  </si>
  <si>
    <t>ST00350/26</t>
  </si>
  <si>
    <t>ST0035021N</t>
  </si>
  <si>
    <t>S50525</t>
  </si>
  <si>
    <t>ST0035040N</t>
  </si>
  <si>
    <t>S16375</t>
  </si>
  <si>
    <t>ST0035042N</t>
  </si>
  <si>
    <t>S04334</t>
  </si>
  <si>
    <t>ST00382/26</t>
  </si>
  <si>
    <t>ST0038228N</t>
  </si>
  <si>
    <t>S01108</t>
  </si>
  <si>
    <t>ST00385/26</t>
  </si>
  <si>
    <t>ST0038530N</t>
  </si>
  <si>
    <t>S12028</t>
  </si>
  <si>
    <t>ST00392/26</t>
  </si>
  <si>
    <t>ST0039218N</t>
  </si>
  <si>
    <t>ST0039243N</t>
  </si>
  <si>
    <t>SV2436</t>
  </si>
  <si>
    <t>ST00402/26</t>
  </si>
  <si>
    <t>ST0040215N</t>
  </si>
  <si>
    <t>SV0285</t>
  </si>
  <si>
    <t>ST0040217N</t>
  </si>
  <si>
    <t>SV0613</t>
  </si>
  <si>
    <t>ST0040228N</t>
  </si>
  <si>
    <t>SV7067</t>
  </si>
  <si>
    <t>ST0040232N</t>
  </si>
  <si>
    <t>SV6219</t>
  </si>
  <si>
    <t>ST0040254N</t>
  </si>
  <si>
    <t>SV5504</t>
  </si>
  <si>
    <t>ST0040257N</t>
  </si>
  <si>
    <t>SV7313</t>
  </si>
  <si>
    <t>ST00417/26</t>
  </si>
  <si>
    <t>ST0041702N</t>
  </si>
  <si>
    <t>SV0282</t>
  </si>
  <si>
    <t>ST00418/26</t>
  </si>
  <si>
    <t>ST0041801N</t>
  </si>
  <si>
    <t>S13019</t>
  </si>
  <si>
    <t>210/2 CONTINOUS POLYESTER FILAMENT</t>
  </si>
  <si>
    <t>ST00404/26</t>
  </si>
  <si>
    <t>ST0040401N</t>
  </si>
  <si>
    <t>D20202</t>
  </si>
  <si>
    <t>ST0040402N</t>
  </si>
  <si>
    <t>D20203</t>
  </si>
  <si>
    <t>ST0040407N</t>
  </si>
  <si>
    <t>D20208</t>
  </si>
  <si>
    <t>ST0040409N</t>
  </si>
  <si>
    <t>D20210</t>
  </si>
  <si>
    <t>ST0040411N</t>
  </si>
  <si>
    <t>D20212</t>
  </si>
  <si>
    <t>210/2 HI-TENACITY NYLON YARN</t>
  </si>
  <si>
    <t>ST00383/26</t>
  </si>
  <si>
    <t>ST0038301N</t>
  </si>
  <si>
    <t>N-BLACK</t>
  </si>
  <si>
    <t>ST00422/26</t>
  </si>
  <si>
    <t>ST0042201N</t>
  </si>
  <si>
    <t>D30057(PG0767)</t>
  </si>
  <si>
    <t>210/3 CONTINOUS POLYESTER FILAMENT</t>
  </si>
  <si>
    <t>ST00399/26</t>
  </si>
  <si>
    <t>ST0039901N</t>
  </si>
  <si>
    <t>91394</t>
  </si>
  <si>
    <t>ST0039902N</t>
  </si>
  <si>
    <t>91230</t>
  </si>
  <si>
    <t>ST00400/26</t>
  </si>
  <si>
    <t>ST0040002N</t>
  </si>
  <si>
    <t>D20148</t>
  </si>
  <si>
    <t>ST0040003N</t>
  </si>
  <si>
    <t>D20152</t>
  </si>
  <si>
    <t>ST0040004N</t>
  </si>
  <si>
    <t>D20157</t>
  </si>
  <si>
    <t>ST0040005N</t>
  </si>
  <si>
    <t>D20159</t>
  </si>
  <si>
    <t>ST0040006N</t>
  </si>
  <si>
    <t>D20183</t>
  </si>
  <si>
    <t>ST00420/26</t>
  </si>
  <si>
    <t>ST0042001N</t>
  </si>
  <si>
    <t>D20111</t>
  </si>
  <si>
    <t>ST00431/26</t>
  </si>
  <si>
    <t>ST0043102N</t>
  </si>
  <si>
    <t>D20181</t>
  </si>
  <si>
    <t>ST00433/26</t>
  </si>
  <si>
    <t>ST0043301N</t>
  </si>
  <si>
    <t>D20035</t>
  </si>
  <si>
    <t>ST0043302N</t>
  </si>
  <si>
    <t>210/3 HI-TENACITY NYLON</t>
  </si>
  <si>
    <t>ST00239/26</t>
  </si>
  <si>
    <t>ST0023901N</t>
  </si>
  <si>
    <t>ST00407/26</t>
  </si>
  <si>
    <t>ST0040706N</t>
  </si>
  <si>
    <t>MQ9278</t>
  </si>
  <si>
    <t>ST00411/26</t>
  </si>
  <si>
    <t>ST0041101N</t>
  </si>
  <si>
    <t>ST0041102N</t>
  </si>
  <si>
    <t>N09562</t>
  </si>
  <si>
    <t>ST0041103N</t>
  </si>
  <si>
    <t>D30063</t>
  </si>
  <si>
    <t>ST0041105N</t>
  </si>
  <si>
    <t>D30064</t>
  </si>
  <si>
    <t>ST00423/26</t>
  </si>
  <si>
    <t>ST0042301N</t>
  </si>
  <si>
    <t>N09009</t>
  </si>
  <si>
    <t>ST00424/26</t>
  </si>
  <si>
    <t>ST0042401N</t>
  </si>
  <si>
    <t>ST00426/26</t>
  </si>
  <si>
    <t>ST0042601N</t>
  </si>
  <si>
    <t>ST0042602N</t>
  </si>
  <si>
    <t>N09091</t>
  </si>
  <si>
    <t>210/3 PLY CF POLY BONDED</t>
  </si>
  <si>
    <t>ST00369/26</t>
  </si>
  <si>
    <t>ST0036901N</t>
  </si>
  <si>
    <t>P-BLACK</t>
  </si>
  <si>
    <t>ST00376/26</t>
  </si>
  <si>
    <t>ST0037601N</t>
  </si>
  <si>
    <t>250/3 CONTINUOUS FILAMENT POLYSTER</t>
  </si>
  <si>
    <t>ST00043/26</t>
  </si>
  <si>
    <t>ST0004301N</t>
  </si>
  <si>
    <t>90002</t>
  </si>
  <si>
    <t>ST00274/26</t>
  </si>
  <si>
    <t>ST0027402N</t>
  </si>
  <si>
    <t>ST00307/26</t>
  </si>
  <si>
    <t>ST0030701N</t>
  </si>
  <si>
    <t>91276</t>
  </si>
  <si>
    <t>420/3 CONTINOUS FILAMENT POLYESTER</t>
  </si>
  <si>
    <t>ST00042/26</t>
  </si>
  <si>
    <t>ST0004214N</t>
  </si>
  <si>
    <t>92380</t>
  </si>
  <si>
    <t>ST00217/26</t>
  </si>
  <si>
    <t>ST0021701N</t>
  </si>
  <si>
    <t>ST0039903N</t>
  </si>
  <si>
    <t>91560</t>
  </si>
  <si>
    <t>420/3 HI TENACITY NYLON</t>
  </si>
  <si>
    <t>ST00391/26</t>
  </si>
  <si>
    <t>ST0039101N</t>
  </si>
  <si>
    <t>ST00425/26</t>
  </si>
  <si>
    <t>ST0042501N</t>
  </si>
  <si>
    <t>ST0042502N</t>
  </si>
  <si>
    <t>ST0042503N</t>
  </si>
  <si>
    <t>N09334</t>
  </si>
  <si>
    <t>420/3 PLY CF NYLON-6 BONDED</t>
  </si>
  <si>
    <t>ST00432/26</t>
  </si>
  <si>
    <t>ST0043201N</t>
  </si>
  <si>
    <t>75/2 POLYCOT</t>
  </si>
  <si>
    <t>ST00430/26</t>
  </si>
  <si>
    <t>ST0043001N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</si>
</sst>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&quot;/&quot;mm&quot;/&quot;yyyy"/>
    <numFmt numFmtId="165" formatCode="0.00_);\-0.00"/>
    <numFmt numFmtId="166" formatCode="#,##0.00_);\-#,##0.00"/>
  </numFmts>
  <fonts count="14" x14ac:knownFonts="1">
    <font>
      <sz val="10"/>
      <color indexed="8"/>
      <name val="MS Sans Serif"/>
    </font>
    <font>
      <sz val="9.9499999999999993"/>
      <color indexed="8"/>
      <name val="Arial"/>
      <charset val="161"/>
    </font>
    <font>
      <sz val="9.9499999999999993"/>
      <color indexed="8"/>
      <name val="Arial"/>
      <charset val="161"/>
    </font>
    <font>
      <b/>
      <sz val="9"/>
      <color indexed="8"/>
      <name val="Arial"/>
      <charset val="204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  <font>
      <b/>
      <sz val="9.9499999999999993"/>
      <color indexed="8"/>
      <name val="Arial"/>
      <charset val="161"/>
    </font>
    <font>
      <b/>
      <sz val="7.9"/>
      <color indexed="8"/>
      <name val="Arial"/>
      <charset val="161"/>
    </font>
    <font>
      <b/>
      <sz val="7.9"/>
      <color indexed="8"/>
      <name val="Arial"/>
      <charset val="161"/>
    </font>
    <font>
      <b/>
      <sz val="7.9"/>
      <color indexed="8"/>
      <name val="Arial"/>
      <charset val="161"/>
    </font>
    <font>
      <b/>
      <sz val="9"/>
      <color indexed="8"/>
      <name val="Arial"/>
      <family val="2"/>
    </font>
    <font>
      <sz val="8.0500000000000007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NumberFormat="1" applyFill="1" applyBorder="1" applyAlignment="1" applyProtection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165" fontId="6" fillId="0" borderId="0" xfId="0" applyNumberFormat="1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2" fontId="9" fillId="0" borderId="0" xfId="0" applyNumberFormat="1" applyFont="1" applyAlignment="1">
      <alignment horizontal="right" vertical="center"/>
    </xf>
    <xf numFmtId="4" fontId="10" fillId="0" borderId="0" xfId="0" applyNumberFormat="1" applyFont="1" applyAlignment="1">
      <alignment horizontal="right" vertical="center"/>
    </xf>
    <xf numFmtId="165" fontId="11" fillId="0" borderId="0" xfId="0" applyNumberFormat="1" applyFont="1" applyAlignment="1">
      <alignment horizontal="right" vertical="center"/>
    </xf>
    <xf numFmtId="0" fontId="4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3"/>
  <sheetViews>
    <sheetView tabSelected="1" zoomScale="70" zoomScaleNormal="70" workbookViewId="0">
      <selection activeCell="M40" sqref="M40"/>
    </sheetView>
  </sheetViews>
  <sheetFormatPr defaultColWidth="11.42578125" defaultRowHeight="12.75" x14ac:dyDescent="0.2"/>
  <cols>
    <col min="1" max="1" width="35.140625" bestFit="1" customWidth="1"/>
    <col min="2" max="2" width="9.85546875" bestFit="1" customWidth="1"/>
    <col min="3" max="3" width="8.7109375" bestFit="1" customWidth="1"/>
    <col min="4" max="4" width="35.28515625" bestFit="1" customWidth="1"/>
    <col min="5" max="5" width="12.85546875" bestFit="1" customWidth="1"/>
    <col min="6" max="6" width="8.42578125" bestFit="1" customWidth="1"/>
    <col min="7" max="7" width="8.28515625" bestFit="1" customWidth="1"/>
    <col min="8" max="8" width="9" bestFit="1" customWidth="1"/>
    <col min="9" max="9" width="10.28515625" bestFit="1" customWidth="1"/>
    <col min="10" max="10" width="11.85546875" bestFit="1" customWidth="1"/>
    <col min="11" max="11" width="11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5" t="s">
        <v>10</v>
      </c>
    </row>
    <row r="2" spans="1:11" x14ac:dyDescent="0.2">
      <c r="A2" s="3" t="s">
        <v>11</v>
      </c>
    </row>
    <row r="3" spans="1:11" x14ac:dyDescent="0.2">
      <c r="A3" s="4" t="s">
        <v>12</v>
      </c>
      <c r="B3" s="4" t="s">
        <v>13</v>
      </c>
      <c r="C3" s="5">
        <v>46229</v>
      </c>
      <c r="D3" s="4" t="s">
        <v>14</v>
      </c>
      <c r="E3" s="12" t="s">
        <v>15</v>
      </c>
      <c r="F3" s="6">
        <v>13.6</v>
      </c>
      <c r="I3" s="7">
        <v>0</v>
      </c>
      <c r="J3" s="7">
        <v>0</v>
      </c>
      <c r="K3" s="6">
        <v>13.6</v>
      </c>
    </row>
    <row r="4" spans="1:11" x14ac:dyDescent="0.2">
      <c r="A4" s="4" t="s">
        <v>12</v>
      </c>
      <c r="B4" s="4" t="s">
        <v>16</v>
      </c>
      <c r="C4" s="5">
        <v>46229</v>
      </c>
      <c r="D4" s="4" t="s">
        <v>14</v>
      </c>
      <c r="E4" s="12" t="s">
        <v>17</v>
      </c>
      <c r="F4" s="6">
        <v>13.6</v>
      </c>
      <c r="I4" s="7">
        <v>0</v>
      </c>
      <c r="J4" s="7">
        <v>0</v>
      </c>
      <c r="K4" s="6">
        <v>13.6</v>
      </c>
    </row>
    <row r="5" spans="1:11" x14ac:dyDescent="0.2">
      <c r="A5" s="4" t="s">
        <v>12</v>
      </c>
      <c r="B5" s="4" t="s">
        <v>18</v>
      </c>
      <c r="C5" s="5">
        <v>46229</v>
      </c>
      <c r="D5" s="4" t="s">
        <v>14</v>
      </c>
      <c r="E5" s="12" t="s">
        <v>19</v>
      </c>
      <c r="F5" s="6">
        <v>13.6</v>
      </c>
      <c r="I5" s="7">
        <v>0</v>
      </c>
      <c r="J5" s="7">
        <v>0</v>
      </c>
      <c r="K5" s="6">
        <v>13.6</v>
      </c>
    </row>
    <row r="6" spans="1:11" x14ac:dyDescent="0.2">
      <c r="A6" s="4" t="s">
        <v>20</v>
      </c>
      <c r="B6" s="4" t="s">
        <v>21</v>
      </c>
      <c r="C6" s="5">
        <v>46229</v>
      </c>
      <c r="D6" s="4" t="s">
        <v>14</v>
      </c>
      <c r="E6" s="12" t="s">
        <v>22</v>
      </c>
      <c r="F6" s="6">
        <v>13.6</v>
      </c>
      <c r="I6" s="7">
        <v>0</v>
      </c>
      <c r="J6" s="7">
        <v>0</v>
      </c>
      <c r="K6" s="6">
        <v>13.6</v>
      </c>
    </row>
    <row r="7" spans="1:11" x14ac:dyDescent="0.2">
      <c r="A7" s="4" t="s">
        <v>20</v>
      </c>
      <c r="B7" s="4" t="s">
        <v>23</v>
      </c>
      <c r="C7" s="5">
        <v>46229</v>
      </c>
      <c r="D7" s="4" t="s">
        <v>14</v>
      </c>
      <c r="E7" s="12" t="s">
        <v>24</v>
      </c>
      <c r="F7" s="6">
        <v>13.6</v>
      </c>
      <c r="I7" s="7">
        <v>0</v>
      </c>
      <c r="J7" s="7">
        <v>0</v>
      </c>
      <c r="K7" s="6">
        <v>13.6</v>
      </c>
    </row>
    <row r="8" spans="1:11" x14ac:dyDescent="0.2">
      <c r="A8" s="4" t="s">
        <v>20</v>
      </c>
      <c r="B8" s="4" t="s">
        <v>25</v>
      </c>
      <c r="C8" s="5">
        <v>46229</v>
      </c>
      <c r="D8" s="4" t="s">
        <v>14</v>
      </c>
      <c r="E8" s="12" t="s">
        <v>26</v>
      </c>
      <c r="F8" s="6">
        <v>13.6</v>
      </c>
      <c r="I8" s="7">
        <v>0</v>
      </c>
      <c r="J8" s="7">
        <v>0</v>
      </c>
      <c r="K8" s="6">
        <v>13.6</v>
      </c>
    </row>
    <row r="9" spans="1:11" x14ac:dyDescent="0.2">
      <c r="A9" s="4" t="s">
        <v>27</v>
      </c>
      <c r="B9" s="4" t="s">
        <v>28</v>
      </c>
      <c r="C9" s="5">
        <v>46233</v>
      </c>
      <c r="D9" s="4" t="s">
        <v>14</v>
      </c>
      <c r="E9" s="4" t="s">
        <v>29</v>
      </c>
      <c r="F9" s="6">
        <v>480</v>
      </c>
      <c r="H9" s="6">
        <v>178.6</v>
      </c>
      <c r="I9" s="7">
        <v>0</v>
      </c>
      <c r="J9" s="7">
        <v>0</v>
      </c>
      <c r="K9" s="6">
        <v>301.39999999999998</v>
      </c>
    </row>
    <row r="10" spans="1:11" x14ac:dyDescent="0.2">
      <c r="A10" s="4" t="s">
        <v>30</v>
      </c>
      <c r="B10" s="4" t="s">
        <v>31</v>
      </c>
      <c r="C10" s="5">
        <v>46248</v>
      </c>
      <c r="D10" s="4" t="s">
        <v>14</v>
      </c>
      <c r="E10" s="12" t="s">
        <v>32</v>
      </c>
      <c r="F10" s="6">
        <v>7.65</v>
      </c>
      <c r="I10" s="7">
        <v>0</v>
      </c>
      <c r="J10" s="7">
        <v>0</v>
      </c>
      <c r="K10" s="6">
        <v>7.65</v>
      </c>
    </row>
    <row r="11" spans="1:11" x14ac:dyDescent="0.2">
      <c r="A11" s="4" t="s">
        <v>30</v>
      </c>
      <c r="B11" s="4" t="s">
        <v>33</v>
      </c>
      <c r="C11" s="5">
        <v>46248</v>
      </c>
      <c r="D11" s="4" t="s">
        <v>14</v>
      </c>
      <c r="E11" s="12" t="s">
        <v>34</v>
      </c>
      <c r="F11" s="6">
        <v>7.65</v>
      </c>
      <c r="I11" s="7">
        <v>0</v>
      </c>
      <c r="J11" s="7">
        <v>0</v>
      </c>
      <c r="K11" s="6">
        <v>7.65</v>
      </c>
    </row>
    <row r="12" spans="1:11" x14ac:dyDescent="0.2">
      <c r="A12" s="4" t="s">
        <v>30</v>
      </c>
      <c r="B12" s="4" t="s">
        <v>35</v>
      </c>
      <c r="C12" s="5">
        <v>46248</v>
      </c>
      <c r="D12" s="4" t="s">
        <v>14</v>
      </c>
      <c r="E12" s="4" t="s">
        <v>36</v>
      </c>
      <c r="F12" s="6">
        <v>7.65</v>
      </c>
      <c r="H12" s="6">
        <v>6.99</v>
      </c>
      <c r="I12" s="7">
        <v>0</v>
      </c>
      <c r="J12" s="7">
        <v>0</v>
      </c>
      <c r="K12" s="6">
        <v>0.66</v>
      </c>
    </row>
    <row r="13" spans="1:11" x14ac:dyDescent="0.2">
      <c r="A13" s="4" t="s">
        <v>30</v>
      </c>
      <c r="B13" s="4" t="s">
        <v>37</v>
      </c>
      <c r="C13" s="5">
        <v>46248</v>
      </c>
      <c r="D13" s="4" t="s">
        <v>14</v>
      </c>
      <c r="E13" s="12" t="s">
        <v>38</v>
      </c>
      <c r="F13" s="6">
        <v>7.65</v>
      </c>
      <c r="I13" s="7">
        <v>0</v>
      </c>
      <c r="J13" s="7">
        <v>0</v>
      </c>
      <c r="K13" s="6">
        <v>7.65</v>
      </c>
    </row>
    <row r="14" spans="1:11" x14ac:dyDescent="0.2">
      <c r="A14" s="4" t="s">
        <v>30</v>
      </c>
      <c r="B14" s="4" t="s">
        <v>39</v>
      </c>
      <c r="C14" s="5">
        <v>46248</v>
      </c>
      <c r="D14" s="4" t="s">
        <v>14</v>
      </c>
      <c r="E14" s="12" t="s">
        <v>40</v>
      </c>
      <c r="F14" s="6">
        <v>7.65</v>
      </c>
      <c r="I14" s="7">
        <v>0</v>
      </c>
      <c r="J14" s="7">
        <v>0</v>
      </c>
      <c r="K14" s="6">
        <v>7.65</v>
      </c>
    </row>
    <row r="15" spans="1:11" x14ac:dyDescent="0.2">
      <c r="A15" s="4" t="s">
        <v>30</v>
      </c>
      <c r="B15" s="4" t="s">
        <v>41</v>
      </c>
      <c r="C15" s="5">
        <v>46248</v>
      </c>
      <c r="D15" s="4" t="s">
        <v>14</v>
      </c>
      <c r="E15" s="12" t="s">
        <v>42</v>
      </c>
      <c r="F15" s="6">
        <v>7.65</v>
      </c>
      <c r="I15" s="7">
        <v>0</v>
      </c>
      <c r="J15" s="7">
        <v>0</v>
      </c>
      <c r="K15" s="6">
        <v>7.65</v>
      </c>
    </row>
    <row r="16" spans="1:11" x14ac:dyDescent="0.2">
      <c r="A16" s="4" t="s">
        <v>30</v>
      </c>
      <c r="B16" s="4" t="s">
        <v>43</v>
      </c>
      <c r="C16" s="5">
        <v>46248</v>
      </c>
      <c r="D16" s="4" t="s">
        <v>14</v>
      </c>
      <c r="E16" s="12" t="s">
        <v>44</v>
      </c>
      <c r="F16" s="6">
        <v>7.65</v>
      </c>
      <c r="I16" s="7">
        <v>0</v>
      </c>
      <c r="J16" s="7">
        <v>0</v>
      </c>
      <c r="K16" s="6">
        <v>7.65</v>
      </c>
    </row>
    <row r="17" spans="1:11" x14ac:dyDescent="0.2">
      <c r="A17" s="4" t="s">
        <v>45</v>
      </c>
      <c r="B17" s="4" t="s">
        <v>46</v>
      </c>
      <c r="C17" s="5">
        <v>46248</v>
      </c>
      <c r="D17" s="4" t="s">
        <v>14</v>
      </c>
      <c r="E17" s="12" t="s">
        <v>47</v>
      </c>
      <c r="F17" s="6">
        <v>7.65</v>
      </c>
      <c r="I17" s="7">
        <v>0</v>
      </c>
      <c r="J17" s="7">
        <v>0</v>
      </c>
      <c r="K17" s="6">
        <v>7.65</v>
      </c>
    </row>
    <row r="18" spans="1:11" x14ac:dyDescent="0.2">
      <c r="A18" s="4" t="s">
        <v>45</v>
      </c>
      <c r="B18" s="4" t="s">
        <v>48</v>
      </c>
      <c r="C18" s="5">
        <v>46248</v>
      </c>
      <c r="D18" s="4" t="s">
        <v>14</v>
      </c>
      <c r="E18" s="12" t="s">
        <v>49</v>
      </c>
      <c r="F18" s="6">
        <v>7.65</v>
      </c>
      <c r="I18" s="7">
        <v>0</v>
      </c>
      <c r="J18" s="7">
        <v>0</v>
      </c>
      <c r="K18" s="6">
        <v>7.65</v>
      </c>
    </row>
    <row r="19" spans="1:11" x14ac:dyDescent="0.2">
      <c r="A19" s="4" t="s">
        <v>45</v>
      </c>
      <c r="B19" s="4" t="s">
        <v>50</v>
      </c>
      <c r="C19" s="5">
        <v>46248</v>
      </c>
      <c r="D19" s="4" t="s">
        <v>14</v>
      </c>
      <c r="E19" s="12" t="s">
        <v>51</v>
      </c>
      <c r="F19" s="6">
        <v>7.65</v>
      </c>
      <c r="I19" s="7">
        <v>0</v>
      </c>
      <c r="J19" s="7">
        <v>0</v>
      </c>
      <c r="K19" s="6">
        <v>7.65</v>
      </c>
    </row>
    <row r="20" spans="1:11" x14ac:dyDescent="0.2">
      <c r="A20" s="4" t="s">
        <v>45</v>
      </c>
      <c r="B20" s="4" t="s">
        <v>52</v>
      </c>
      <c r="C20" s="5">
        <v>46248</v>
      </c>
      <c r="D20" s="4" t="s">
        <v>14</v>
      </c>
      <c r="E20" s="4" t="s">
        <v>53</v>
      </c>
      <c r="F20" s="6">
        <v>7.65</v>
      </c>
      <c r="H20" s="6">
        <v>6.9</v>
      </c>
      <c r="I20" s="7">
        <v>0</v>
      </c>
      <c r="J20" s="7">
        <v>0</v>
      </c>
      <c r="K20" s="6">
        <v>0.75</v>
      </c>
    </row>
    <row r="21" spans="1:11" x14ac:dyDescent="0.2">
      <c r="A21" s="4" t="s">
        <v>45</v>
      </c>
      <c r="B21" s="4" t="s">
        <v>54</v>
      </c>
      <c r="C21" s="5">
        <v>46248</v>
      </c>
      <c r="D21" s="4" t="s">
        <v>14</v>
      </c>
      <c r="E21" s="12" t="s">
        <v>55</v>
      </c>
      <c r="F21" s="6">
        <v>7.65</v>
      </c>
      <c r="I21" s="7">
        <v>0</v>
      </c>
      <c r="J21" s="7">
        <v>0</v>
      </c>
      <c r="K21" s="6">
        <v>7.65</v>
      </c>
    </row>
    <row r="22" spans="1:11" x14ac:dyDescent="0.2">
      <c r="A22" s="4" t="s">
        <v>45</v>
      </c>
      <c r="B22" s="4" t="s">
        <v>56</v>
      </c>
      <c r="C22" s="5">
        <v>46248</v>
      </c>
      <c r="D22" s="4" t="s">
        <v>14</v>
      </c>
      <c r="E22" s="12" t="s">
        <v>57</v>
      </c>
      <c r="F22" s="6">
        <v>7.65</v>
      </c>
      <c r="I22" s="7">
        <v>0</v>
      </c>
      <c r="J22" s="7">
        <v>0</v>
      </c>
      <c r="K22" s="6">
        <v>7.65</v>
      </c>
    </row>
    <row r="23" spans="1:11" x14ac:dyDescent="0.2">
      <c r="A23" s="4" t="s">
        <v>58</v>
      </c>
      <c r="B23" s="4" t="s">
        <v>59</v>
      </c>
      <c r="C23" s="5">
        <v>46248</v>
      </c>
      <c r="D23" s="4" t="s">
        <v>14</v>
      </c>
      <c r="E23" s="12" t="s">
        <v>60</v>
      </c>
      <c r="F23" s="6">
        <v>7.65</v>
      </c>
      <c r="I23" s="7">
        <v>0</v>
      </c>
      <c r="J23" s="7">
        <v>0</v>
      </c>
      <c r="K23" s="6">
        <v>7.65</v>
      </c>
    </row>
    <row r="24" spans="1:11" x14ac:dyDescent="0.2">
      <c r="A24" s="4" t="s">
        <v>58</v>
      </c>
      <c r="B24" s="4" t="s">
        <v>61</v>
      </c>
      <c r="C24" s="5">
        <v>46248</v>
      </c>
      <c r="D24" s="4" t="s">
        <v>14</v>
      </c>
      <c r="E24" s="12" t="s">
        <v>62</v>
      </c>
      <c r="F24" s="6">
        <v>7.65</v>
      </c>
      <c r="I24" s="7">
        <v>0</v>
      </c>
      <c r="J24" s="7">
        <v>0</v>
      </c>
      <c r="K24" s="6">
        <v>7.65</v>
      </c>
    </row>
    <row r="25" spans="1:11" x14ac:dyDescent="0.2">
      <c r="A25" s="4" t="s">
        <v>58</v>
      </c>
      <c r="B25" s="4" t="s">
        <v>63</v>
      </c>
      <c r="C25" s="5">
        <v>46248</v>
      </c>
      <c r="D25" s="4" t="s">
        <v>14</v>
      </c>
      <c r="E25" s="12" t="s">
        <v>64</v>
      </c>
      <c r="F25" s="6">
        <v>7.65</v>
      </c>
      <c r="I25" s="7">
        <v>0</v>
      </c>
      <c r="J25" s="7">
        <v>0</v>
      </c>
      <c r="K25" s="6">
        <v>7.65</v>
      </c>
    </row>
    <row r="26" spans="1:11" x14ac:dyDescent="0.2">
      <c r="A26" s="4" t="s">
        <v>58</v>
      </c>
      <c r="B26" s="4" t="s">
        <v>65</v>
      </c>
      <c r="C26" s="5">
        <v>46248</v>
      </c>
      <c r="D26" s="4" t="s">
        <v>14</v>
      </c>
      <c r="E26" s="12" t="s">
        <v>66</v>
      </c>
      <c r="F26" s="6">
        <v>7.65</v>
      </c>
      <c r="I26" s="7">
        <v>0</v>
      </c>
      <c r="J26" s="7">
        <v>0</v>
      </c>
      <c r="K26" s="6">
        <v>7.65</v>
      </c>
    </row>
    <row r="27" spans="1:11" x14ac:dyDescent="0.2">
      <c r="A27" s="4" t="s">
        <v>58</v>
      </c>
      <c r="B27" s="4" t="s">
        <v>67</v>
      </c>
      <c r="C27" s="5">
        <v>46248</v>
      </c>
      <c r="D27" s="4" t="s">
        <v>14</v>
      </c>
      <c r="E27" s="4" t="s">
        <v>68</v>
      </c>
      <c r="F27" s="6">
        <v>7.65</v>
      </c>
      <c r="H27" s="6">
        <v>7.02</v>
      </c>
      <c r="I27" s="7">
        <v>0</v>
      </c>
      <c r="J27" s="7">
        <v>0</v>
      </c>
      <c r="K27" s="6">
        <v>0.63</v>
      </c>
    </row>
    <row r="28" spans="1:11" x14ac:dyDescent="0.2">
      <c r="A28" s="4" t="s">
        <v>58</v>
      </c>
      <c r="B28" s="4" t="s">
        <v>69</v>
      </c>
      <c r="C28" s="5">
        <v>46248</v>
      </c>
      <c r="D28" s="4" t="s">
        <v>14</v>
      </c>
      <c r="E28" s="12" t="s">
        <v>70</v>
      </c>
      <c r="F28" s="6">
        <v>7.65</v>
      </c>
      <c r="I28" s="7">
        <v>0</v>
      </c>
      <c r="J28" s="7">
        <v>0</v>
      </c>
      <c r="K28" s="6">
        <v>7.65</v>
      </c>
    </row>
    <row r="29" spans="1:11" x14ac:dyDescent="0.2">
      <c r="A29" s="4" t="s">
        <v>58</v>
      </c>
      <c r="B29" s="4" t="s">
        <v>71</v>
      </c>
      <c r="C29" s="5">
        <v>46248</v>
      </c>
      <c r="D29" s="4" t="s">
        <v>14</v>
      </c>
      <c r="E29" s="4" t="s">
        <v>72</v>
      </c>
      <c r="F29" s="6">
        <v>7.65</v>
      </c>
      <c r="H29" s="6">
        <v>6.9</v>
      </c>
      <c r="I29" s="7">
        <v>0</v>
      </c>
      <c r="J29" s="7">
        <v>0</v>
      </c>
      <c r="K29" s="6">
        <v>0.75</v>
      </c>
    </row>
    <row r="30" spans="1:11" x14ac:dyDescent="0.2">
      <c r="A30" s="4" t="s">
        <v>58</v>
      </c>
      <c r="B30" s="4" t="s">
        <v>73</v>
      </c>
      <c r="C30" s="5">
        <v>46248</v>
      </c>
      <c r="D30" s="4" t="s">
        <v>14</v>
      </c>
      <c r="E30" s="4" t="s">
        <v>74</v>
      </c>
      <c r="F30" s="6">
        <v>7.65</v>
      </c>
      <c r="H30" s="6">
        <v>6.9</v>
      </c>
      <c r="I30" s="7">
        <v>0</v>
      </c>
      <c r="J30" s="7">
        <v>0</v>
      </c>
      <c r="K30" s="6">
        <v>0.75</v>
      </c>
    </row>
    <row r="31" spans="1:11" x14ac:dyDescent="0.2">
      <c r="A31" s="4" t="s">
        <v>58</v>
      </c>
      <c r="B31" s="4" t="s">
        <v>75</v>
      </c>
      <c r="C31" s="5">
        <v>46248</v>
      </c>
      <c r="D31" s="4" t="s">
        <v>14</v>
      </c>
      <c r="E31" s="12" t="s">
        <v>76</v>
      </c>
      <c r="F31" s="6">
        <v>7.65</v>
      </c>
      <c r="I31" s="7">
        <v>0</v>
      </c>
      <c r="J31" s="7">
        <v>0</v>
      </c>
      <c r="K31" s="6">
        <v>7.65</v>
      </c>
    </row>
    <row r="32" spans="1:11" x14ac:dyDescent="0.2">
      <c r="A32" s="4" t="s">
        <v>58</v>
      </c>
      <c r="B32" s="4" t="s">
        <v>77</v>
      </c>
      <c r="C32" s="5">
        <v>46248</v>
      </c>
      <c r="D32" s="4" t="s">
        <v>14</v>
      </c>
      <c r="E32" s="12" t="s">
        <v>78</v>
      </c>
      <c r="F32" s="6">
        <v>7.65</v>
      </c>
      <c r="I32" s="7">
        <v>0</v>
      </c>
      <c r="J32" s="7">
        <v>0</v>
      </c>
      <c r="K32" s="6">
        <v>7.65</v>
      </c>
    </row>
    <row r="33" spans="1:12" x14ac:dyDescent="0.2">
      <c r="A33" s="4" t="s">
        <v>58</v>
      </c>
      <c r="B33" s="4" t="s">
        <v>79</v>
      </c>
      <c r="C33" s="5">
        <v>46248</v>
      </c>
      <c r="D33" s="4" t="s">
        <v>14</v>
      </c>
      <c r="E33" s="12" t="s">
        <v>80</v>
      </c>
      <c r="F33" s="6">
        <v>7.65</v>
      </c>
      <c r="I33" s="7">
        <v>0</v>
      </c>
      <c r="J33" s="7">
        <v>0</v>
      </c>
      <c r="K33" s="6">
        <v>7.65</v>
      </c>
    </row>
    <row r="34" spans="1:12" x14ac:dyDescent="0.2">
      <c r="A34" s="4" t="s">
        <v>58</v>
      </c>
      <c r="B34" s="4" t="s">
        <v>81</v>
      </c>
      <c r="C34" s="5">
        <v>46248</v>
      </c>
      <c r="D34" s="4" t="s">
        <v>14</v>
      </c>
      <c r="E34" s="12" t="s">
        <v>82</v>
      </c>
      <c r="F34" s="6">
        <v>7.65</v>
      </c>
      <c r="I34" s="7">
        <v>0</v>
      </c>
      <c r="J34" s="7">
        <v>0</v>
      </c>
      <c r="K34" s="6">
        <v>7.65</v>
      </c>
    </row>
    <row r="35" spans="1:12" x14ac:dyDescent="0.2">
      <c r="A35" s="4" t="s">
        <v>58</v>
      </c>
      <c r="B35" s="4" t="s">
        <v>83</v>
      </c>
      <c r="C35" s="5">
        <v>46248</v>
      </c>
      <c r="D35" s="4" t="s">
        <v>14</v>
      </c>
      <c r="E35" s="12" t="s">
        <v>84</v>
      </c>
      <c r="F35" s="6">
        <v>7.65</v>
      </c>
      <c r="I35" s="7">
        <v>0</v>
      </c>
      <c r="J35" s="7">
        <v>0</v>
      </c>
      <c r="K35" s="6">
        <v>7.65</v>
      </c>
    </row>
    <row r="36" spans="1:12" x14ac:dyDescent="0.2">
      <c r="A36" s="4" t="s">
        <v>58</v>
      </c>
      <c r="B36" s="4" t="s">
        <v>85</v>
      </c>
      <c r="C36" s="5">
        <v>46248</v>
      </c>
      <c r="D36" s="4" t="s">
        <v>14</v>
      </c>
      <c r="E36" s="4" t="s">
        <v>86</v>
      </c>
      <c r="F36" s="6">
        <v>7.65</v>
      </c>
      <c r="H36" s="6">
        <v>6.87</v>
      </c>
      <c r="I36" s="7">
        <v>0</v>
      </c>
      <c r="J36" s="7">
        <v>0</v>
      </c>
      <c r="K36" s="6">
        <v>0.78</v>
      </c>
    </row>
    <row r="37" spans="1:12" x14ac:dyDescent="0.2">
      <c r="A37" s="4" t="s">
        <v>58</v>
      </c>
      <c r="B37" s="4" t="s">
        <v>87</v>
      </c>
      <c r="C37" s="5">
        <v>46248</v>
      </c>
      <c r="D37" s="4" t="s">
        <v>14</v>
      </c>
      <c r="E37" s="12" t="s">
        <v>88</v>
      </c>
      <c r="F37" s="6">
        <v>7.65</v>
      </c>
      <c r="I37" s="7">
        <v>0</v>
      </c>
      <c r="J37" s="7">
        <v>0</v>
      </c>
      <c r="K37" s="6">
        <v>7.65</v>
      </c>
    </row>
    <row r="38" spans="1:12" x14ac:dyDescent="0.2">
      <c r="A38" s="4" t="s">
        <v>58</v>
      </c>
      <c r="B38" s="4" t="s">
        <v>89</v>
      </c>
      <c r="C38" s="5">
        <v>46248</v>
      </c>
      <c r="D38" s="4" t="s">
        <v>14</v>
      </c>
      <c r="E38" s="12" t="s">
        <v>90</v>
      </c>
      <c r="F38" s="6">
        <v>7.65</v>
      </c>
      <c r="I38" s="7">
        <v>0</v>
      </c>
      <c r="J38" s="7">
        <v>0</v>
      </c>
      <c r="K38" s="6">
        <v>7.65</v>
      </c>
    </row>
    <row r="39" spans="1:12" x14ac:dyDescent="0.2">
      <c r="A39" s="4" t="s">
        <v>58</v>
      </c>
      <c r="B39" s="4" t="s">
        <v>91</v>
      </c>
      <c r="C39" s="5">
        <v>46248</v>
      </c>
      <c r="D39" s="4" t="s">
        <v>14</v>
      </c>
      <c r="E39" s="12" t="s">
        <v>92</v>
      </c>
      <c r="F39" s="6">
        <v>7.65</v>
      </c>
      <c r="I39" s="7">
        <v>0</v>
      </c>
      <c r="J39" s="7">
        <v>0</v>
      </c>
      <c r="K39" s="6">
        <v>7.65</v>
      </c>
    </row>
    <row r="40" spans="1:12" x14ac:dyDescent="0.2">
      <c r="A40" s="4" t="s">
        <v>93</v>
      </c>
      <c r="B40" s="4" t="s">
        <v>94</v>
      </c>
      <c r="C40" s="5">
        <v>46259</v>
      </c>
      <c r="D40" s="4" t="s">
        <v>14</v>
      </c>
      <c r="E40" s="12" t="s">
        <v>95</v>
      </c>
      <c r="F40" s="6">
        <v>14.78</v>
      </c>
      <c r="I40" s="7">
        <v>0</v>
      </c>
      <c r="J40" s="7">
        <v>0</v>
      </c>
      <c r="K40" s="6">
        <v>14.78</v>
      </c>
    </row>
    <row r="41" spans="1:12" x14ac:dyDescent="0.2">
      <c r="A41" s="4" t="s">
        <v>93</v>
      </c>
      <c r="B41" s="4" t="s">
        <v>96</v>
      </c>
      <c r="C41" s="5">
        <v>46259</v>
      </c>
      <c r="D41" s="4" t="s">
        <v>14</v>
      </c>
      <c r="E41" s="4" t="s">
        <v>97</v>
      </c>
      <c r="F41" s="6">
        <v>14.78</v>
      </c>
      <c r="H41" s="6">
        <v>14.06</v>
      </c>
      <c r="I41" s="7">
        <v>0</v>
      </c>
      <c r="J41" s="7">
        <v>0</v>
      </c>
      <c r="K41" s="6">
        <v>0.72</v>
      </c>
    </row>
    <row r="42" spans="1:12" x14ac:dyDescent="0.2">
      <c r="A42" s="4" t="s">
        <v>93</v>
      </c>
      <c r="B42" s="4" t="s">
        <v>98</v>
      </c>
      <c r="C42" s="5">
        <v>46259</v>
      </c>
      <c r="D42" s="4" t="s">
        <v>14</v>
      </c>
      <c r="E42" s="12" t="s">
        <v>99</v>
      </c>
      <c r="F42" s="6">
        <v>14.78</v>
      </c>
      <c r="I42" s="7">
        <v>0</v>
      </c>
      <c r="J42" s="7">
        <v>0</v>
      </c>
      <c r="K42" s="6">
        <v>14.78</v>
      </c>
    </row>
    <row r="43" spans="1:12" x14ac:dyDescent="0.2">
      <c r="A43" s="4" t="s">
        <v>93</v>
      </c>
      <c r="B43" s="4" t="s">
        <v>100</v>
      </c>
      <c r="C43" s="5">
        <v>46259</v>
      </c>
      <c r="D43" s="4" t="s">
        <v>14</v>
      </c>
      <c r="E43" s="4" t="s">
        <v>68</v>
      </c>
      <c r="F43" s="6">
        <v>14.78</v>
      </c>
      <c r="H43" s="6">
        <v>14.23</v>
      </c>
      <c r="I43" s="7">
        <v>0</v>
      </c>
      <c r="J43" s="7">
        <v>0</v>
      </c>
      <c r="K43" s="6">
        <v>0.55000000000000004</v>
      </c>
    </row>
    <row r="44" spans="1:12" x14ac:dyDescent="0.2">
      <c r="A44" s="4" t="s">
        <v>93</v>
      </c>
      <c r="B44" s="4" t="s">
        <v>101</v>
      </c>
      <c r="C44" s="5">
        <v>46259</v>
      </c>
      <c r="D44" s="4" t="s">
        <v>14</v>
      </c>
      <c r="E44" s="4" t="s">
        <v>102</v>
      </c>
      <c r="F44" s="6">
        <v>14.78</v>
      </c>
      <c r="H44" s="6">
        <v>13.77</v>
      </c>
      <c r="I44" s="7">
        <v>0</v>
      </c>
      <c r="J44" s="7">
        <v>0</v>
      </c>
      <c r="K44" s="6">
        <v>1.01</v>
      </c>
    </row>
    <row r="45" spans="1:12" x14ac:dyDescent="0.2">
      <c r="A45" s="8" t="s">
        <v>103</v>
      </c>
      <c r="E45" s="9">
        <f>SUBTOTAL(9,F3:F44)</f>
        <v>864.9999999999992</v>
      </c>
      <c r="H45" s="9">
        <f>SUBTOTAL(9,H3:H44)</f>
        <v>262.24</v>
      </c>
      <c r="I45" s="9">
        <f>SUBTOTAL(9,I3:I44)</f>
        <v>0</v>
      </c>
      <c r="J45" s="10">
        <f>SUBTOTAL(9,J3:J44)</f>
        <v>0</v>
      </c>
      <c r="K45" s="11">
        <v>602.76</v>
      </c>
    </row>
    <row r="46" spans="1:12" x14ac:dyDescent="0.2">
      <c r="A46" s="3" t="s">
        <v>104</v>
      </c>
      <c r="L46">
        <v>31</v>
      </c>
    </row>
    <row r="47" spans="1:12" x14ac:dyDescent="0.2">
      <c r="A47" s="4" t="s">
        <v>105</v>
      </c>
      <c r="B47" s="4" t="s">
        <v>106</v>
      </c>
      <c r="C47" s="5">
        <v>46157</v>
      </c>
      <c r="D47" s="4" t="s">
        <v>14</v>
      </c>
      <c r="E47" s="4" t="s">
        <v>107</v>
      </c>
      <c r="F47" s="6">
        <v>642</v>
      </c>
      <c r="H47" s="6">
        <v>479.71</v>
      </c>
      <c r="I47" s="7">
        <v>0</v>
      </c>
      <c r="J47" s="7">
        <v>412.41</v>
      </c>
      <c r="K47" s="6">
        <v>162.29</v>
      </c>
    </row>
    <row r="48" spans="1:12" x14ac:dyDescent="0.2">
      <c r="A48" s="4" t="s">
        <v>108</v>
      </c>
      <c r="B48" s="4" t="s">
        <v>109</v>
      </c>
      <c r="C48" s="5">
        <v>46170</v>
      </c>
      <c r="D48" s="4" t="s">
        <v>14</v>
      </c>
      <c r="E48" s="4" t="s">
        <v>107</v>
      </c>
      <c r="F48" s="6">
        <v>1070</v>
      </c>
      <c r="H48" s="6">
        <v>241.97</v>
      </c>
      <c r="I48" s="7">
        <v>0</v>
      </c>
      <c r="J48" s="7">
        <v>241.97</v>
      </c>
      <c r="K48" s="6">
        <v>828.03</v>
      </c>
    </row>
    <row r="49" spans="1:11" x14ac:dyDescent="0.2">
      <c r="A49" s="4" t="s">
        <v>110</v>
      </c>
      <c r="B49" s="4" t="s">
        <v>111</v>
      </c>
      <c r="C49" s="5">
        <v>46176</v>
      </c>
      <c r="D49" s="4" t="s">
        <v>14</v>
      </c>
      <c r="E49" s="4" t="s">
        <v>112</v>
      </c>
      <c r="F49" s="6">
        <v>98.44</v>
      </c>
      <c r="H49" s="6">
        <v>96.53</v>
      </c>
      <c r="I49" s="7">
        <v>0</v>
      </c>
      <c r="J49" s="7">
        <v>68.52</v>
      </c>
      <c r="K49" s="6">
        <v>1.91</v>
      </c>
    </row>
    <row r="50" spans="1:11" x14ac:dyDescent="0.2">
      <c r="A50" s="4" t="s">
        <v>113</v>
      </c>
      <c r="B50" s="4" t="s">
        <v>114</v>
      </c>
      <c r="C50" s="5">
        <v>46200</v>
      </c>
      <c r="D50" s="4" t="s">
        <v>14</v>
      </c>
      <c r="E50" s="4" t="s">
        <v>29</v>
      </c>
      <c r="F50" s="6">
        <v>1005.8</v>
      </c>
      <c r="G50" s="6">
        <v>389.48</v>
      </c>
      <c r="H50" s="6">
        <v>236.11</v>
      </c>
      <c r="I50" s="7">
        <v>0</v>
      </c>
      <c r="J50" s="7">
        <v>29.83</v>
      </c>
      <c r="K50" s="6">
        <v>380.21</v>
      </c>
    </row>
    <row r="51" spans="1:11" x14ac:dyDescent="0.2">
      <c r="A51" s="4" t="s">
        <v>115</v>
      </c>
      <c r="B51" s="4" t="s">
        <v>116</v>
      </c>
      <c r="C51" s="5">
        <v>46232</v>
      </c>
      <c r="D51" s="4" t="s">
        <v>14</v>
      </c>
      <c r="E51" s="12" t="s">
        <v>117</v>
      </c>
      <c r="F51" s="6">
        <v>13.91</v>
      </c>
      <c r="I51" s="7">
        <v>0</v>
      </c>
      <c r="J51" s="7">
        <v>0</v>
      </c>
      <c r="K51" s="6">
        <v>13.91</v>
      </c>
    </row>
    <row r="52" spans="1:11" x14ac:dyDescent="0.2">
      <c r="A52" s="4" t="s">
        <v>115</v>
      </c>
      <c r="B52" s="4" t="s">
        <v>118</v>
      </c>
      <c r="C52" s="5">
        <v>46232</v>
      </c>
      <c r="D52" s="4" t="s">
        <v>14</v>
      </c>
      <c r="E52" s="12" t="s">
        <v>119</v>
      </c>
      <c r="F52" s="6">
        <v>13.91</v>
      </c>
      <c r="I52" s="7">
        <v>0</v>
      </c>
      <c r="J52" s="7">
        <v>0</v>
      </c>
      <c r="K52" s="6">
        <v>13.91</v>
      </c>
    </row>
    <row r="53" spans="1:11" x14ac:dyDescent="0.2">
      <c r="A53" s="4" t="s">
        <v>115</v>
      </c>
      <c r="B53" s="4" t="s">
        <v>120</v>
      </c>
      <c r="C53" s="5">
        <v>46232</v>
      </c>
      <c r="D53" s="4" t="s">
        <v>14</v>
      </c>
      <c r="E53" s="12" t="s">
        <v>121</v>
      </c>
      <c r="F53" s="6">
        <v>13.91</v>
      </c>
      <c r="I53" s="7">
        <v>0</v>
      </c>
      <c r="J53" s="7">
        <v>0</v>
      </c>
      <c r="K53" s="6">
        <v>13.91</v>
      </c>
    </row>
    <row r="54" spans="1:11" x14ac:dyDescent="0.2">
      <c r="A54" s="4" t="s">
        <v>115</v>
      </c>
      <c r="B54" s="4" t="s">
        <v>122</v>
      </c>
      <c r="C54" s="5">
        <v>46232</v>
      </c>
      <c r="D54" s="4" t="s">
        <v>14</v>
      </c>
      <c r="E54" s="12" t="s">
        <v>123</v>
      </c>
      <c r="F54" s="6">
        <v>13.91</v>
      </c>
      <c r="I54" s="7">
        <v>0</v>
      </c>
      <c r="J54" s="7">
        <v>0</v>
      </c>
      <c r="K54" s="6">
        <v>13.91</v>
      </c>
    </row>
    <row r="55" spans="1:11" x14ac:dyDescent="0.2">
      <c r="A55" s="4" t="s">
        <v>115</v>
      </c>
      <c r="B55" s="4" t="s">
        <v>124</v>
      </c>
      <c r="C55" s="5">
        <v>46232</v>
      </c>
      <c r="D55" s="4" t="s">
        <v>14</v>
      </c>
      <c r="E55" s="12" t="s">
        <v>125</v>
      </c>
      <c r="F55" s="6">
        <v>13.91</v>
      </c>
      <c r="I55" s="7">
        <v>0</v>
      </c>
      <c r="J55" s="7">
        <v>0</v>
      </c>
      <c r="K55" s="6">
        <v>13.91</v>
      </c>
    </row>
    <row r="56" spans="1:11" x14ac:dyDescent="0.2">
      <c r="A56" s="4" t="s">
        <v>126</v>
      </c>
      <c r="B56" s="4" t="s">
        <v>127</v>
      </c>
      <c r="C56" s="5">
        <v>46241</v>
      </c>
      <c r="D56" s="4" t="s">
        <v>14</v>
      </c>
      <c r="E56" s="4" t="s">
        <v>128</v>
      </c>
      <c r="F56" s="6">
        <v>7.49</v>
      </c>
      <c r="H56" s="6">
        <v>7.16</v>
      </c>
      <c r="I56" s="7">
        <v>0</v>
      </c>
      <c r="J56" s="7">
        <v>0</v>
      </c>
      <c r="K56" s="6">
        <v>0.33</v>
      </c>
    </row>
    <row r="57" spans="1:11" x14ac:dyDescent="0.2">
      <c r="A57" s="4" t="s">
        <v>126</v>
      </c>
      <c r="B57" s="4" t="s">
        <v>129</v>
      </c>
      <c r="C57" s="5">
        <v>46241</v>
      </c>
      <c r="D57" s="4" t="s">
        <v>14</v>
      </c>
      <c r="E57" s="13" t="s">
        <v>130</v>
      </c>
      <c r="F57" s="6">
        <v>7.49</v>
      </c>
      <c r="H57" s="6">
        <v>7.04</v>
      </c>
      <c r="I57" s="7">
        <v>0</v>
      </c>
      <c r="J57" s="7">
        <v>0</v>
      </c>
      <c r="K57" s="6">
        <v>0.45</v>
      </c>
    </row>
    <row r="58" spans="1:11" x14ac:dyDescent="0.2">
      <c r="A58" s="4" t="s">
        <v>126</v>
      </c>
      <c r="B58" s="4" t="s">
        <v>131</v>
      </c>
      <c r="C58" s="5">
        <v>46241</v>
      </c>
      <c r="D58" s="4" t="s">
        <v>14</v>
      </c>
      <c r="E58" s="12" t="s">
        <v>132</v>
      </c>
      <c r="F58" s="6">
        <v>13.91</v>
      </c>
      <c r="I58" s="7">
        <v>0</v>
      </c>
      <c r="J58" s="7">
        <v>0</v>
      </c>
      <c r="K58" s="6">
        <v>13.91</v>
      </c>
    </row>
    <row r="59" spans="1:11" x14ac:dyDescent="0.2">
      <c r="A59" s="4" t="s">
        <v>133</v>
      </c>
      <c r="B59" s="4" t="s">
        <v>134</v>
      </c>
      <c r="C59" s="5">
        <v>46249</v>
      </c>
      <c r="D59" s="4" t="s">
        <v>14</v>
      </c>
      <c r="E59" s="12" t="s">
        <v>135</v>
      </c>
      <c r="F59" s="6">
        <v>51.36</v>
      </c>
      <c r="I59" s="7">
        <v>0</v>
      </c>
      <c r="J59" s="7">
        <v>0</v>
      </c>
      <c r="K59" s="6">
        <v>51.36</v>
      </c>
    </row>
    <row r="60" spans="1:11" x14ac:dyDescent="0.2">
      <c r="A60" s="4" t="s">
        <v>136</v>
      </c>
      <c r="B60" s="4" t="s">
        <v>137</v>
      </c>
      <c r="C60" s="5">
        <v>46251</v>
      </c>
      <c r="D60" s="4" t="s">
        <v>14</v>
      </c>
      <c r="E60" s="4" t="s">
        <v>138</v>
      </c>
      <c r="F60" s="6">
        <v>21.4</v>
      </c>
      <c r="H60" s="6">
        <v>21.17</v>
      </c>
      <c r="I60" s="7">
        <v>0</v>
      </c>
      <c r="J60" s="7">
        <v>0</v>
      </c>
      <c r="K60" s="6">
        <v>0.23</v>
      </c>
    </row>
    <row r="61" spans="1:11" x14ac:dyDescent="0.2">
      <c r="A61" s="4" t="s">
        <v>139</v>
      </c>
      <c r="B61" s="4" t="s">
        <v>140</v>
      </c>
      <c r="C61" s="5">
        <v>46258</v>
      </c>
      <c r="D61" s="4" t="s">
        <v>14</v>
      </c>
      <c r="E61" s="4" t="s">
        <v>128</v>
      </c>
      <c r="F61" s="6">
        <v>21.4</v>
      </c>
      <c r="H61" s="6">
        <v>21.14</v>
      </c>
      <c r="I61" s="7">
        <v>0</v>
      </c>
      <c r="J61" s="7">
        <v>0</v>
      </c>
      <c r="K61" s="6">
        <v>0.26</v>
      </c>
    </row>
    <row r="62" spans="1:11" x14ac:dyDescent="0.2">
      <c r="A62" s="4" t="s">
        <v>139</v>
      </c>
      <c r="B62" s="4" t="s">
        <v>141</v>
      </c>
      <c r="C62" s="5">
        <v>46258</v>
      </c>
      <c r="D62" s="4" t="s">
        <v>14</v>
      </c>
      <c r="E62" s="12" t="s">
        <v>142</v>
      </c>
      <c r="F62" s="6">
        <v>13.91</v>
      </c>
      <c r="I62" s="7">
        <v>0</v>
      </c>
      <c r="J62" s="7">
        <v>0</v>
      </c>
      <c r="K62" s="6">
        <v>13.91</v>
      </c>
    </row>
    <row r="63" spans="1:11" x14ac:dyDescent="0.2">
      <c r="A63" s="4" t="s">
        <v>143</v>
      </c>
      <c r="B63" s="4" t="s">
        <v>144</v>
      </c>
      <c r="C63" s="5">
        <v>46260</v>
      </c>
      <c r="D63" s="4" t="s">
        <v>14</v>
      </c>
      <c r="E63" s="12" t="s">
        <v>145</v>
      </c>
      <c r="F63" s="6">
        <v>147.66</v>
      </c>
      <c r="I63" s="7">
        <v>0</v>
      </c>
      <c r="J63" s="7">
        <v>0</v>
      </c>
      <c r="K63" s="6">
        <v>147.66</v>
      </c>
    </row>
    <row r="64" spans="1:11" x14ac:dyDescent="0.2">
      <c r="A64" s="4" t="s">
        <v>143</v>
      </c>
      <c r="B64" s="4" t="s">
        <v>146</v>
      </c>
      <c r="C64" s="5">
        <v>46260</v>
      </c>
      <c r="D64" s="4" t="s">
        <v>14</v>
      </c>
      <c r="E64" s="12" t="s">
        <v>147</v>
      </c>
      <c r="F64" s="6">
        <v>27.82</v>
      </c>
      <c r="I64" s="7">
        <v>0</v>
      </c>
      <c r="J64" s="7">
        <v>0</v>
      </c>
      <c r="K64" s="6">
        <v>27.82</v>
      </c>
    </row>
    <row r="65" spans="1:11" x14ac:dyDescent="0.2">
      <c r="A65" s="4" t="s">
        <v>143</v>
      </c>
      <c r="B65" s="4" t="s">
        <v>148</v>
      </c>
      <c r="C65" s="5">
        <v>46260</v>
      </c>
      <c r="D65" s="4" t="s">
        <v>14</v>
      </c>
      <c r="E65" s="12" t="s">
        <v>149</v>
      </c>
      <c r="F65" s="6">
        <v>27.82</v>
      </c>
      <c r="I65" s="7">
        <v>0</v>
      </c>
      <c r="J65" s="7">
        <v>0</v>
      </c>
      <c r="K65" s="6">
        <v>27.82</v>
      </c>
    </row>
    <row r="66" spans="1:11" x14ac:dyDescent="0.2">
      <c r="A66" s="4" t="s">
        <v>143</v>
      </c>
      <c r="B66" s="4" t="s">
        <v>150</v>
      </c>
      <c r="C66" s="5">
        <v>46260</v>
      </c>
      <c r="D66" s="4" t="s">
        <v>14</v>
      </c>
      <c r="E66" s="12" t="s">
        <v>151</v>
      </c>
      <c r="F66" s="6">
        <v>27.82</v>
      </c>
      <c r="I66" s="7">
        <v>0</v>
      </c>
      <c r="J66" s="7">
        <v>0</v>
      </c>
      <c r="K66" s="6">
        <v>27.82</v>
      </c>
    </row>
    <row r="67" spans="1:11" x14ac:dyDescent="0.2">
      <c r="A67" s="4" t="s">
        <v>143</v>
      </c>
      <c r="B67" s="4" t="s">
        <v>152</v>
      </c>
      <c r="C67" s="5">
        <v>46260</v>
      </c>
      <c r="D67" s="4" t="s">
        <v>14</v>
      </c>
      <c r="E67" s="12" t="s">
        <v>153</v>
      </c>
      <c r="F67" s="6">
        <v>27.82</v>
      </c>
      <c r="I67" s="7">
        <v>0</v>
      </c>
      <c r="J67" s="7">
        <v>0</v>
      </c>
      <c r="K67" s="6">
        <v>27.82</v>
      </c>
    </row>
    <row r="68" spans="1:11" x14ac:dyDescent="0.2">
      <c r="A68" s="4" t="s">
        <v>143</v>
      </c>
      <c r="B68" s="4" t="s">
        <v>154</v>
      </c>
      <c r="C68" s="5">
        <v>46260</v>
      </c>
      <c r="D68" s="4" t="s">
        <v>14</v>
      </c>
      <c r="E68" s="12" t="s">
        <v>155</v>
      </c>
      <c r="F68" s="6">
        <v>27.82</v>
      </c>
      <c r="I68" s="7">
        <v>0</v>
      </c>
      <c r="J68" s="7">
        <v>0</v>
      </c>
      <c r="K68" s="6">
        <v>27.82</v>
      </c>
    </row>
    <row r="69" spans="1:11" x14ac:dyDescent="0.2">
      <c r="A69" s="4" t="s">
        <v>156</v>
      </c>
      <c r="B69" s="4" t="s">
        <v>157</v>
      </c>
      <c r="C69" s="5">
        <v>46264</v>
      </c>
      <c r="D69" s="4" t="s">
        <v>14</v>
      </c>
      <c r="E69" s="12" t="s">
        <v>158</v>
      </c>
      <c r="F69" s="6">
        <v>27.82</v>
      </c>
      <c r="I69" s="7">
        <v>0</v>
      </c>
      <c r="J69" s="7">
        <v>0</v>
      </c>
      <c r="K69" s="6">
        <v>27.82</v>
      </c>
    </row>
    <row r="70" spans="1:11" x14ac:dyDescent="0.2">
      <c r="A70" s="4" t="s">
        <v>159</v>
      </c>
      <c r="B70" s="4" t="s">
        <v>160</v>
      </c>
      <c r="C70" s="5">
        <v>46265</v>
      </c>
      <c r="D70" s="4" t="s">
        <v>14</v>
      </c>
      <c r="E70" s="12" t="s">
        <v>161</v>
      </c>
      <c r="F70" s="6">
        <v>13.91</v>
      </c>
      <c r="I70" s="7">
        <v>7</v>
      </c>
      <c r="J70" s="7">
        <v>0</v>
      </c>
      <c r="K70" s="6">
        <v>6.91</v>
      </c>
    </row>
    <row r="71" spans="1:11" x14ac:dyDescent="0.2">
      <c r="A71" s="8" t="s">
        <v>103</v>
      </c>
      <c r="E71" s="9">
        <f>SUBTOTAL(9,F47:F70)</f>
        <v>3351.2399999999993</v>
      </c>
      <c r="G71" s="9">
        <f>SUBTOTAL(9,G47:G70)</f>
        <v>389.48</v>
      </c>
      <c r="H71" s="9">
        <f>SUBTOTAL(9,H47:H70)</f>
        <v>1110.8300000000002</v>
      </c>
      <c r="I71" s="9">
        <f>SUBTOTAL(9,I47:I70)</f>
        <v>7</v>
      </c>
      <c r="J71" s="10">
        <f>SUBTOTAL(9,J47:J70)</f>
        <v>752.73</v>
      </c>
      <c r="K71" s="11">
        <v>1843.93</v>
      </c>
    </row>
    <row r="72" spans="1:11" x14ac:dyDescent="0.2">
      <c r="A72" s="3" t="s">
        <v>162</v>
      </c>
    </row>
    <row r="73" spans="1:11" x14ac:dyDescent="0.2">
      <c r="A73" s="4" t="s">
        <v>163</v>
      </c>
      <c r="B73" s="4" t="s">
        <v>164</v>
      </c>
      <c r="C73" s="5">
        <v>46260</v>
      </c>
      <c r="D73" s="4" t="s">
        <v>14</v>
      </c>
      <c r="E73" s="4" t="s">
        <v>165</v>
      </c>
      <c r="F73" s="6">
        <v>5.88</v>
      </c>
      <c r="G73" s="6">
        <v>1.08</v>
      </c>
      <c r="H73" s="6">
        <v>4.55</v>
      </c>
      <c r="I73" s="7">
        <v>0</v>
      </c>
      <c r="J73" s="7">
        <v>4.55</v>
      </c>
      <c r="K73" s="6">
        <v>0.25</v>
      </c>
    </row>
    <row r="74" spans="1:11" x14ac:dyDescent="0.2">
      <c r="A74" s="4" t="s">
        <v>163</v>
      </c>
      <c r="B74" s="4" t="s">
        <v>166</v>
      </c>
      <c r="C74" s="5">
        <v>46260</v>
      </c>
      <c r="D74" s="4" t="s">
        <v>14</v>
      </c>
      <c r="E74" s="4" t="s">
        <v>167</v>
      </c>
      <c r="F74" s="6">
        <v>5.88</v>
      </c>
      <c r="H74" s="6">
        <v>5.58</v>
      </c>
      <c r="I74" s="7">
        <v>0</v>
      </c>
      <c r="J74" s="7">
        <v>4.63</v>
      </c>
      <c r="K74" s="6">
        <v>0.3</v>
      </c>
    </row>
    <row r="75" spans="1:11" x14ac:dyDescent="0.2">
      <c r="A75" s="4" t="s">
        <v>163</v>
      </c>
      <c r="B75" s="4" t="s">
        <v>168</v>
      </c>
      <c r="C75" s="5">
        <v>46260</v>
      </c>
      <c r="D75" s="4" t="s">
        <v>14</v>
      </c>
      <c r="E75" s="4" t="s">
        <v>169</v>
      </c>
      <c r="F75" s="6">
        <v>5.88</v>
      </c>
      <c r="H75" s="6">
        <v>5.56</v>
      </c>
      <c r="I75" s="7">
        <v>0</v>
      </c>
      <c r="J75" s="7">
        <v>4.6100000000000003</v>
      </c>
      <c r="K75" s="6">
        <v>0.32</v>
      </c>
    </row>
    <row r="76" spans="1:11" x14ac:dyDescent="0.2">
      <c r="A76" s="4" t="s">
        <v>163</v>
      </c>
      <c r="B76" s="4" t="s">
        <v>170</v>
      </c>
      <c r="C76" s="5">
        <v>46260</v>
      </c>
      <c r="D76" s="4" t="s">
        <v>14</v>
      </c>
      <c r="E76" s="4" t="s">
        <v>171</v>
      </c>
      <c r="F76" s="6">
        <v>5.88</v>
      </c>
      <c r="G76" s="6">
        <v>1.28</v>
      </c>
      <c r="H76" s="6">
        <v>4.5999999999999996</v>
      </c>
      <c r="I76" s="7">
        <v>0</v>
      </c>
      <c r="J76" s="7">
        <v>4.5999999999999996</v>
      </c>
      <c r="K76" s="6">
        <v>5.6843418860808016E-16</v>
      </c>
    </row>
    <row r="77" spans="1:11" x14ac:dyDescent="0.2">
      <c r="A77" s="4" t="s">
        <v>163</v>
      </c>
      <c r="B77" s="4" t="s">
        <v>172</v>
      </c>
      <c r="C77" s="5">
        <v>46260</v>
      </c>
      <c r="D77" s="4" t="s">
        <v>14</v>
      </c>
      <c r="E77" s="4" t="s">
        <v>173</v>
      </c>
      <c r="F77" s="6">
        <v>5.88</v>
      </c>
      <c r="H77" s="6">
        <v>5.46</v>
      </c>
      <c r="I77" s="7">
        <v>0</v>
      </c>
      <c r="J77" s="7">
        <v>0</v>
      </c>
      <c r="K77" s="6">
        <v>0.42</v>
      </c>
    </row>
    <row r="78" spans="1:11" x14ac:dyDescent="0.2">
      <c r="A78" s="8" t="s">
        <v>103</v>
      </c>
      <c r="E78" s="9">
        <f>SUBTOTAL(9,F73:F77)</f>
        <v>29.4</v>
      </c>
      <c r="G78" s="9">
        <f>SUBTOTAL(9,G73:G77)</f>
        <v>2.3600000000000003</v>
      </c>
      <c r="H78" s="9">
        <f>SUBTOTAL(9,H73:H77)</f>
        <v>25.75</v>
      </c>
      <c r="I78" s="9">
        <f>SUBTOTAL(9,I73:I77)</f>
        <v>0</v>
      </c>
      <c r="J78" s="10">
        <f>SUBTOTAL(9,J73:J77)</f>
        <v>18.39</v>
      </c>
      <c r="K78" s="11">
        <v>1.2900000000000005</v>
      </c>
    </row>
    <row r="79" spans="1:11" x14ac:dyDescent="0.2">
      <c r="A79" s="3" t="s">
        <v>174</v>
      </c>
    </row>
    <row r="80" spans="1:11" x14ac:dyDescent="0.2">
      <c r="A80" s="4" t="s">
        <v>175</v>
      </c>
      <c r="B80" s="4" t="s">
        <v>176</v>
      </c>
      <c r="C80" s="5">
        <v>46250</v>
      </c>
      <c r="D80" s="4" t="s">
        <v>14</v>
      </c>
      <c r="E80" s="4" t="s">
        <v>177</v>
      </c>
      <c r="F80" s="6">
        <v>105.84</v>
      </c>
      <c r="H80" s="6">
        <v>54</v>
      </c>
      <c r="I80" s="7">
        <v>0</v>
      </c>
      <c r="J80" s="7">
        <v>54</v>
      </c>
      <c r="K80" s="6">
        <v>51.84</v>
      </c>
    </row>
    <row r="81" spans="1:11" x14ac:dyDescent="0.2">
      <c r="A81" s="4" t="s">
        <v>178</v>
      </c>
      <c r="B81" s="4" t="s">
        <v>179</v>
      </c>
      <c r="C81" s="5">
        <v>46265</v>
      </c>
      <c r="D81" s="4" t="s">
        <v>14</v>
      </c>
      <c r="E81" s="4" t="s">
        <v>180</v>
      </c>
      <c r="F81" s="6">
        <v>3.92</v>
      </c>
      <c r="I81" s="7">
        <v>0</v>
      </c>
      <c r="J81" s="7">
        <v>0</v>
      </c>
      <c r="K81" s="6">
        <v>3.92</v>
      </c>
    </row>
    <row r="82" spans="1:11" x14ac:dyDescent="0.2">
      <c r="A82" s="8" t="s">
        <v>103</v>
      </c>
      <c r="E82" s="9">
        <f>SUBTOTAL(9,F80:F81)</f>
        <v>109.76</v>
      </c>
      <c r="H82" s="9">
        <f>SUBTOTAL(9,H80:H81)</f>
        <v>54</v>
      </c>
      <c r="I82" s="9">
        <f>SUBTOTAL(9,I80:I81)</f>
        <v>0</v>
      </c>
      <c r="J82" s="10">
        <f>SUBTOTAL(9,J80:J81)</f>
        <v>54</v>
      </c>
      <c r="K82" s="11">
        <v>55.76</v>
      </c>
    </row>
    <row r="83" spans="1:11" x14ac:dyDescent="0.2">
      <c r="A83" s="14" t="s">
        <v>181</v>
      </c>
    </row>
    <row r="84" spans="1:11" x14ac:dyDescent="0.2">
      <c r="A84" s="4" t="s">
        <v>182</v>
      </c>
      <c r="B84" s="4" t="s">
        <v>183</v>
      </c>
      <c r="C84" s="5">
        <v>46259</v>
      </c>
      <c r="D84" s="4" t="s">
        <v>14</v>
      </c>
      <c r="E84" s="12" t="s">
        <v>184</v>
      </c>
      <c r="F84" s="6">
        <v>162</v>
      </c>
      <c r="I84" s="7">
        <v>0</v>
      </c>
      <c r="J84" s="7">
        <v>0</v>
      </c>
      <c r="K84" s="6">
        <v>162</v>
      </c>
    </row>
    <row r="85" spans="1:11" x14ac:dyDescent="0.2">
      <c r="A85" s="4" t="s">
        <v>182</v>
      </c>
      <c r="B85" s="4" t="s">
        <v>185</v>
      </c>
      <c r="C85" s="5">
        <v>46259</v>
      </c>
      <c r="D85" s="4" t="s">
        <v>14</v>
      </c>
      <c r="E85" s="12" t="s">
        <v>186</v>
      </c>
      <c r="F85" s="6">
        <v>86.4</v>
      </c>
      <c r="I85" s="7">
        <v>0</v>
      </c>
      <c r="J85" s="7">
        <v>0</v>
      </c>
      <c r="K85" s="6">
        <v>86.4</v>
      </c>
    </row>
    <row r="86" spans="1:11" x14ac:dyDescent="0.2">
      <c r="A86" s="4" t="s">
        <v>187</v>
      </c>
      <c r="B86" s="4" t="s">
        <v>188</v>
      </c>
      <c r="C86" s="5">
        <v>46259</v>
      </c>
      <c r="D86" s="4" t="s">
        <v>14</v>
      </c>
      <c r="E86" s="12" t="s">
        <v>189</v>
      </c>
      <c r="F86" s="6">
        <v>5.7</v>
      </c>
      <c r="I86" s="7">
        <v>0</v>
      </c>
      <c r="J86" s="7">
        <v>0</v>
      </c>
      <c r="K86" s="6">
        <v>5.7</v>
      </c>
    </row>
    <row r="87" spans="1:11" x14ac:dyDescent="0.2">
      <c r="A87" s="4" t="s">
        <v>187</v>
      </c>
      <c r="B87" s="4" t="s">
        <v>190</v>
      </c>
      <c r="C87" s="5">
        <v>46259</v>
      </c>
      <c r="D87" s="4" t="s">
        <v>14</v>
      </c>
      <c r="E87" s="12" t="s">
        <v>191</v>
      </c>
      <c r="F87" s="6">
        <v>5.47</v>
      </c>
      <c r="I87" s="7">
        <v>0</v>
      </c>
      <c r="J87" s="7">
        <v>0</v>
      </c>
      <c r="K87" s="6">
        <v>5.47</v>
      </c>
    </row>
    <row r="88" spans="1:11" x14ac:dyDescent="0.2">
      <c r="A88" s="4" t="s">
        <v>187</v>
      </c>
      <c r="B88" s="4" t="s">
        <v>192</v>
      </c>
      <c r="C88" s="5">
        <v>46259</v>
      </c>
      <c r="D88" s="4" t="s">
        <v>14</v>
      </c>
      <c r="E88" s="12" t="s">
        <v>193</v>
      </c>
      <c r="F88" s="6">
        <v>6.84</v>
      </c>
      <c r="I88" s="7">
        <v>0</v>
      </c>
      <c r="J88" s="7">
        <v>0</v>
      </c>
      <c r="K88" s="6">
        <v>6.84</v>
      </c>
    </row>
    <row r="89" spans="1:11" x14ac:dyDescent="0.2">
      <c r="A89" s="4" t="s">
        <v>187</v>
      </c>
      <c r="B89" s="4" t="s">
        <v>194</v>
      </c>
      <c r="C89" s="5">
        <v>46259</v>
      </c>
      <c r="D89" s="4" t="s">
        <v>14</v>
      </c>
      <c r="E89" s="12" t="s">
        <v>195</v>
      </c>
      <c r="F89" s="6">
        <v>6.84</v>
      </c>
      <c r="I89" s="7">
        <v>0</v>
      </c>
      <c r="J89" s="7">
        <v>0</v>
      </c>
      <c r="K89" s="6">
        <v>6.84</v>
      </c>
    </row>
    <row r="90" spans="1:11" x14ac:dyDescent="0.2">
      <c r="A90" s="4" t="s">
        <v>187</v>
      </c>
      <c r="B90" s="4" t="s">
        <v>196</v>
      </c>
      <c r="C90" s="5">
        <v>46259</v>
      </c>
      <c r="D90" s="4" t="s">
        <v>14</v>
      </c>
      <c r="E90" s="12" t="s">
        <v>197</v>
      </c>
      <c r="F90" s="6">
        <v>5.47</v>
      </c>
      <c r="I90" s="7">
        <v>0</v>
      </c>
      <c r="J90" s="7">
        <v>0</v>
      </c>
      <c r="K90" s="6">
        <v>5.47</v>
      </c>
    </row>
    <row r="91" spans="1:11" x14ac:dyDescent="0.2">
      <c r="A91" s="4" t="s">
        <v>198</v>
      </c>
      <c r="B91" s="4" t="s">
        <v>199</v>
      </c>
      <c r="C91" s="5">
        <v>46265</v>
      </c>
      <c r="D91" s="4" t="s">
        <v>14</v>
      </c>
      <c r="E91" s="12" t="s">
        <v>200</v>
      </c>
      <c r="F91" s="6">
        <v>125.4</v>
      </c>
      <c r="I91" s="7">
        <v>0</v>
      </c>
      <c r="J91" s="7">
        <v>0</v>
      </c>
      <c r="K91" s="6">
        <v>125.4</v>
      </c>
    </row>
    <row r="92" spans="1:11" x14ac:dyDescent="0.2">
      <c r="A92" s="4" t="s">
        <v>201</v>
      </c>
      <c r="B92" s="4" t="s">
        <v>202</v>
      </c>
      <c r="C92" s="5">
        <v>46268</v>
      </c>
      <c r="D92" s="4" t="s">
        <v>14</v>
      </c>
      <c r="E92" s="4" t="s">
        <v>203</v>
      </c>
      <c r="F92" s="6">
        <v>84.36</v>
      </c>
      <c r="H92" s="6">
        <v>34.24</v>
      </c>
      <c r="I92" s="7">
        <v>0</v>
      </c>
      <c r="J92" s="7">
        <v>0</v>
      </c>
      <c r="K92" s="6">
        <v>50.12</v>
      </c>
    </row>
    <row r="93" spans="1:11" x14ac:dyDescent="0.2">
      <c r="A93" s="4" t="s">
        <v>204</v>
      </c>
      <c r="B93" s="4" t="s">
        <v>205</v>
      </c>
      <c r="C93" s="5">
        <v>46269</v>
      </c>
      <c r="D93" s="4" t="s">
        <v>14</v>
      </c>
      <c r="E93" s="4" t="s">
        <v>206</v>
      </c>
      <c r="F93" s="6">
        <v>114</v>
      </c>
      <c r="H93" s="6">
        <v>53.7</v>
      </c>
      <c r="I93" s="7">
        <v>0</v>
      </c>
      <c r="J93" s="7">
        <v>0</v>
      </c>
      <c r="K93" s="6">
        <v>60.3</v>
      </c>
    </row>
    <row r="94" spans="1:11" x14ac:dyDescent="0.2">
      <c r="A94" s="4" t="s">
        <v>204</v>
      </c>
      <c r="B94" s="4" t="s">
        <v>207</v>
      </c>
      <c r="C94" s="5">
        <v>46269</v>
      </c>
      <c r="D94" s="4" t="s">
        <v>14</v>
      </c>
      <c r="E94" s="4" t="s">
        <v>200</v>
      </c>
      <c r="F94" s="6">
        <v>57</v>
      </c>
      <c r="H94" s="6">
        <v>54.32</v>
      </c>
      <c r="I94" s="7">
        <v>0</v>
      </c>
      <c r="J94" s="7">
        <v>0</v>
      </c>
      <c r="K94" s="6">
        <v>2.68</v>
      </c>
    </row>
    <row r="95" spans="1:11" x14ac:dyDescent="0.2">
      <c r="A95" s="8" t="s">
        <v>103</v>
      </c>
      <c r="E95" s="9">
        <f>SUBTOTAL(9,F84:F94)</f>
        <v>659.48</v>
      </c>
      <c r="H95" s="9">
        <f>SUBTOTAL(9,H84:H94)</f>
        <v>142.26</v>
      </c>
      <c r="I95" s="9">
        <f>SUBTOTAL(9,I84:I94)</f>
        <v>0</v>
      </c>
      <c r="J95" s="10">
        <f>SUBTOTAL(9,J84:J94)</f>
        <v>0</v>
      </c>
      <c r="K95" s="11">
        <v>517.22</v>
      </c>
    </row>
    <row r="96" spans="1:11" x14ac:dyDescent="0.2">
      <c r="A96" s="3" t="s">
        <v>208</v>
      </c>
    </row>
    <row r="97" spans="1:11" x14ac:dyDescent="0.2">
      <c r="A97" s="4" t="s">
        <v>209</v>
      </c>
      <c r="B97" s="4" t="s">
        <v>210</v>
      </c>
      <c r="C97" s="5">
        <v>46203</v>
      </c>
      <c r="D97" s="4" t="s">
        <v>14</v>
      </c>
      <c r="E97" s="4" t="s">
        <v>177</v>
      </c>
      <c r="F97" s="6">
        <v>1026</v>
      </c>
      <c r="H97" s="6">
        <v>384.99</v>
      </c>
      <c r="I97" s="7">
        <v>0</v>
      </c>
      <c r="J97" s="7">
        <v>200.83</v>
      </c>
      <c r="K97" s="6">
        <v>641.01</v>
      </c>
    </row>
    <row r="98" spans="1:11" x14ac:dyDescent="0.2">
      <c r="A98" s="4" t="s">
        <v>211</v>
      </c>
      <c r="B98" s="4" t="s">
        <v>212</v>
      </c>
      <c r="C98" s="5">
        <v>46261</v>
      </c>
      <c r="D98" s="4" t="s">
        <v>14</v>
      </c>
      <c r="E98" s="12" t="s">
        <v>213</v>
      </c>
      <c r="F98" s="6">
        <v>0.91</v>
      </c>
      <c r="I98" s="7">
        <v>0</v>
      </c>
      <c r="J98" s="7">
        <v>0</v>
      </c>
      <c r="K98" s="6">
        <v>0.91</v>
      </c>
    </row>
    <row r="99" spans="1:11" x14ac:dyDescent="0.2">
      <c r="A99" s="4" t="s">
        <v>214</v>
      </c>
      <c r="B99" s="4" t="s">
        <v>215</v>
      </c>
      <c r="C99" s="5">
        <v>46261</v>
      </c>
      <c r="D99" s="4" t="s">
        <v>14</v>
      </c>
      <c r="E99" s="12" t="s">
        <v>177</v>
      </c>
      <c r="F99" s="6">
        <v>3.42</v>
      </c>
      <c r="I99" s="7">
        <v>0</v>
      </c>
      <c r="J99" s="7">
        <v>0</v>
      </c>
      <c r="K99" s="6">
        <v>3.42</v>
      </c>
    </row>
    <row r="100" spans="1:11" x14ac:dyDescent="0.2">
      <c r="A100" s="4" t="s">
        <v>214</v>
      </c>
      <c r="B100" s="4" t="s">
        <v>216</v>
      </c>
      <c r="C100" s="5">
        <v>46261</v>
      </c>
      <c r="D100" s="4" t="s">
        <v>14</v>
      </c>
      <c r="E100" s="4" t="s">
        <v>217</v>
      </c>
      <c r="F100" s="6">
        <v>2.2799999999999998</v>
      </c>
      <c r="H100" s="6">
        <v>1.78</v>
      </c>
      <c r="I100" s="7">
        <v>0</v>
      </c>
      <c r="J100" s="7">
        <v>0</v>
      </c>
      <c r="K100" s="6">
        <v>0.49999999999999972</v>
      </c>
    </row>
    <row r="101" spans="1:11" x14ac:dyDescent="0.2">
      <c r="A101" s="4" t="s">
        <v>214</v>
      </c>
      <c r="B101" s="4" t="s">
        <v>218</v>
      </c>
      <c r="C101" s="5">
        <v>46261</v>
      </c>
      <c r="D101" s="4" t="s">
        <v>14</v>
      </c>
      <c r="E101" s="4" t="s">
        <v>219</v>
      </c>
      <c r="F101" s="6">
        <v>2.2799999999999998</v>
      </c>
      <c r="H101" s="6">
        <v>1.79</v>
      </c>
      <c r="I101" s="7">
        <v>0</v>
      </c>
      <c r="J101" s="7">
        <v>0</v>
      </c>
      <c r="K101" s="6">
        <v>0.48999999999999971</v>
      </c>
    </row>
    <row r="102" spans="1:11" x14ac:dyDescent="0.2">
      <c r="A102" s="4" t="s">
        <v>214</v>
      </c>
      <c r="B102" s="4" t="s">
        <v>220</v>
      </c>
      <c r="C102" s="5">
        <v>46261</v>
      </c>
      <c r="D102" s="4" t="s">
        <v>14</v>
      </c>
      <c r="E102" s="4" t="s">
        <v>221</v>
      </c>
      <c r="F102" s="6">
        <v>2.2799999999999998</v>
      </c>
      <c r="H102" s="6">
        <v>1.84</v>
      </c>
      <c r="I102" s="7">
        <v>0</v>
      </c>
      <c r="J102" s="7">
        <v>0</v>
      </c>
      <c r="K102" s="6">
        <v>0.43999999999999972</v>
      </c>
    </row>
    <row r="103" spans="1:11" x14ac:dyDescent="0.2">
      <c r="A103" s="4" t="s">
        <v>222</v>
      </c>
      <c r="B103" s="4" t="s">
        <v>223</v>
      </c>
      <c r="C103" s="5">
        <v>46265</v>
      </c>
      <c r="D103" s="4" t="s">
        <v>14</v>
      </c>
      <c r="E103" s="12" t="s">
        <v>224</v>
      </c>
      <c r="F103" s="6">
        <v>0.91</v>
      </c>
      <c r="I103" s="7">
        <v>0</v>
      </c>
      <c r="J103" s="7">
        <v>0</v>
      </c>
      <c r="K103" s="6">
        <v>0.91</v>
      </c>
    </row>
    <row r="104" spans="1:11" x14ac:dyDescent="0.2">
      <c r="A104" s="4" t="s">
        <v>225</v>
      </c>
      <c r="B104" s="4" t="s">
        <v>226</v>
      </c>
      <c r="C104" s="5">
        <v>46265</v>
      </c>
      <c r="D104" s="4" t="s">
        <v>14</v>
      </c>
      <c r="E104" s="12" t="s">
        <v>224</v>
      </c>
      <c r="F104" s="6">
        <v>0.91</v>
      </c>
      <c r="I104" s="7">
        <v>0</v>
      </c>
      <c r="J104" s="7">
        <v>0</v>
      </c>
      <c r="K104" s="6">
        <v>0.91</v>
      </c>
    </row>
    <row r="105" spans="1:11" x14ac:dyDescent="0.2">
      <c r="A105" s="4" t="s">
        <v>227</v>
      </c>
      <c r="B105" s="4" t="s">
        <v>228</v>
      </c>
      <c r="C105" s="5">
        <v>46265</v>
      </c>
      <c r="D105" s="4" t="s">
        <v>14</v>
      </c>
      <c r="E105" s="12" t="s">
        <v>177</v>
      </c>
      <c r="F105" s="6">
        <v>5.7</v>
      </c>
      <c r="I105" s="7">
        <v>0</v>
      </c>
      <c r="J105" s="7">
        <v>0</v>
      </c>
      <c r="K105" s="6">
        <v>5.7</v>
      </c>
    </row>
    <row r="106" spans="1:11" x14ac:dyDescent="0.2">
      <c r="A106" s="4" t="s">
        <v>227</v>
      </c>
      <c r="B106" s="4" t="s">
        <v>229</v>
      </c>
      <c r="C106" s="5">
        <v>46265</v>
      </c>
      <c r="D106" s="4" t="s">
        <v>14</v>
      </c>
      <c r="E106" s="4" t="s">
        <v>230</v>
      </c>
      <c r="F106" s="6">
        <v>3.42</v>
      </c>
      <c r="H106" s="6">
        <v>3.36</v>
      </c>
      <c r="I106" s="7">
        <v>0</v>
      </c>
      <c r="J106" s="7">
        <v>0</v>
      </c>
      <c r="K106" s="6">
        <v>0.06</v>
      </c>
    </row>
    <row r="107" spans="1:11" x14ac:dyDescent="0.2">
      <c r="A107" s="8" t="s">
        <v>103</v>
      </c>
      <c r="E107" s="9">
        <f>SUBTOTAL(9,F97:F106)</f>
        <v>1048.1100000000004</v>
      </c>
      <c r="H107" s="9">
        <f>SUBTOTAL(9,H97:H106)</f>
        <v>393.76</v>
      </c>
      <c r="I107" s="9">
        <f>SUBTOTAL(9,I97:I106)</f>
        <v>0</v>
      </c>
      <c r="J107" s="10">
        <f>SUBTOTAL(9,J97:J106)</f>
        <v>200.83</v>
      </c>
      <c r="K107" s="11">
        <v>654.35</v>
      </c>
    </row>
    <row r="108" spans="1:11" x14ac:dyDescent="0.2">
      <c r="A108" s="14" t="s">
        <v>231</v>
      </c>
    </row>
    <row r="109" spans="1:11" x14ac:dyDescent="0.2">
      <c r="A109" s="4" t="s">
        <v>232</v>
      </c>
      <c r="B109" s="4" t="s">
        <v>233</v>
      </c>
      <c r="C109" s="5">
        <v>46247</v>
      </c>
      <c r="D109" s="4" t="s">
        <v>14</v>
      </c>
      <c r="E109" s="4" t="s">
        <v>234</v>
      </c>
      <c r="F109" s="6">
        <v>250</v>
      </c>
      <c r="H109" s="6">
        <v>190.2</v>
      </c>
      <c r="I109" s="7">
        <v>0</v>
      </c>
      <c r="J109" s="7">
        <v>87.29</v>
      </c>
      <c r="K109" s="6">
        <v>59.8</v>
      </c>
    </row>
    <row r="110" spans="1:11" x14ac:dyDescent="0.2">
      <c r="A110" s="4" t="s">
        <v>235</v>
      </c>
      <c r="B110" s="4" t="s">
        <v>236</v>
      </c>
      <c r="C110" s="5">
        <v>46247</v>
      </c>
      <c r="D110" s="4" t="s">
        <v>14</v>
      </c>
      <c r="E110" s="4" t="s">
        <v>234</v>
      </c>
      <c r="F110" s="6">
        <v>250</v>
      </c>
      <c r="G110" s="6">
        <v>120</v>
      </c>
      <c r="H110" s="6">
        <v>0</v>
      </c>
      <c r="I110" s="7">
        <v>0</v>
      </c>
      <c r="J110" s="7">
        <v>0</v>
      </c>
      <c r="K110" s="6">
        <v>130</v>
      </c>
    </row>
    <row r="111" spans="1:11" x14ac:dyDescent="0.2">
      <c r="A111" s="8" t="s">
        <v>103</v>
      </c>
      <c r="E111" s="9">
        <f>SUBTOTAL(9,F109:F110)</f>
        <v>500</v>
      </c>
      <c r="G111" s="9">
        <f>SUBTOTAL(9,G109:G110)</f>
        <v>120</v>
      </c>
      <c r="H111" s="9">
        <f>SUBTOTAL(9,H109:H110)</f>
        <v>190.2</v>
      </c>
      <c r="I111" s="9">
        <f>SUBTOTAL(9,I109:I110)</f>
        <v>0</v>
      </c>
      <c r="J111" s="10">
        <f>SUBTOTAL(9,J109:J110)</f>
        <v>87.29</v>
      </c>
      <c r="K111" s="11">
        <v>189.8</v>
      </c>
    </row>
    <row r="112" spans="1:11" x14ac:dyDescent="0.2">
      <c r="A112" s="3" t="s">
        <v>237</v>
      </c>
    </row>
    <row r="113" spans="1:11" x14ac:dyDescent="0.2">
      <c r="A113" s="4" t="s">
        <v>238</v>
      </c>
      <c r="B113" s="4" t="s">
        <v>239</v>
      </c>
      <c r="C113" s="5">
        <v>46128</v>
      </c>
      <c r="D113" s="4" t="s">
        <v>14</v>
      </c>
      <c r="E113" s="4" t="s">
        <v>240</v>
      </c>
      <c r="F113" s="6">
        <v>802.8</v>
      </c>
      <c r="H113" s="6">
        <v>666.72</v>
      </c>
      <c r="I113" s="7">
        <v>0</v>
      </c>
      <c r="J113" s="7">
        <v>616.14</v>
      </c>
      <c r="K113" s="6">
        <v>136.08000000000001</v>
      </c>
    </row>
    <row r="114" spans="1:11" x14ac:dyDescent="0.2">
      <c r="A114" s="4" t="s">
        <v>241</v>
      </c>
      <c r="B114" s="4" t="s">
        <v>242</v>
      </c>
      <c r="C114" s="5">
        <v>46217</v>
      </c>
      <c r="D114" s="4" t="s">
        <v>14</v>
      </c>
      <c r="E114" s="4" t="s">
        <v>240</v>
      </c>
      <c r="F114" s="6">
        <v>790.09</v>
      </c>
      <c r="H114" s="6">
        <v>62.25</v>
      </c>
      <c r="I114" s="7">
        <v>0</v>
      </c>
      <c r="J114" s="7">
        <v>62.25</v>
      </c>
      <c r="K114" s="6">
        <v>727.84</v>
      </c>
    </row>
    <row r="115" spans="1:11" x14ac:dyDescent="0.2">
      <c r="A115" s="4" t="s">
        <v>243</v>
      </c>
      <c r="B115" s="4" t="s">
        <v>244</v>
      </c>
      <c r="C115" s="5">
        <v>46229</v>
      </c>
      <c r="D115" s="4" t="s">
        <v>14</v>
      </c>
      <c r="E115" s="4" t="s">
        <v>245</v>
      </c>
      <c r="F115" s="6">
        <v>240.84</v>
      </c>
      <c r="H115" s="6">
        <v>147.52000000000001</v>
      </c>
      <c r="I115" s="7">
        <v>0</v>
      </c>
      <c r="J115" s="7">
        <v>0</v>
      </c>
      <c r="K115" s="6">
        <v>93.32</v>
      </c>
    </row>
    <row r="116" spans="1:11" x14ac:dyDescent="0.2">
      <c r="A116" s="8" t="s">
        <v>103</v>
      </c>
      <c r="E116" s="9">
        <f>SUBTOTAL(9,F113:F115)</f>
        <v>1833.7299999999998</v>
      </c>
      <c r="H116" s="9">
        <f>SUBTOTAL(9,H113:H115)</f>
        <v>876.49</v>
      </c>
      <c r="I116" s="9">
        <f>SUBTOTAL(9,I113:I115)</f>
        <v>0</v>
      </c>
      <c r="J116" s="10">
        <f>SUBTOTAL(9,J113:J115)</f>
        <v>678.39</v>
      </c>
      <c r="K116" s="11">
        <v>957.24</v>
      </c>
    </row>
    <row r="117" spans="1:11" x14ac:dyDescent="0.2">
      <c r="A117" s="3" t="s">
        <v>246</v>
      </c>
    </row>
    <row r="118" spans="1:11" x14ac:dyDescent="0.2">
      <c r="A118" s="4" t="s">
        <v>247</v>
      </c>
      <c r="B118" s="4" t="s">
        <v>248</v>
      </c>
      <c r="C118" s="5">
        <v>46128</v>
      </c>
      <c r="D118" s="4" t="s">
        <v>14</v>
      </c>
      <c r="E118" s="4" t="s">
        <v>249</v>
      </c>
      <c r="F118" s="6">
        <v>116.64</v>
      </c>
      <c r="H118" s="6">
        <v>107.77</v>
      </c>
      <c r="I118" s="7">
        <v>0</v>
      </c>
      <c r="J118" s="7">
        <v>0</v>
      </c>
      <c r="K118" s="6">
        <v>8.8699999999999992</v>
      </c>
    </row>
    <row r="119" spans="1:11" x14ac:dyDescent="0.2">
      <c r="A119" s="4" t="s">
        <v>250</v>
      </c>
      <c r="B119" s="4" t="s">
        <v>251</v>
      </c>
      <c r="C119" s="5">
        <v>46196</v>
      </c>
      <c r="D119" s="4" t="s">
        <v>14</v>
      </c>
      <c r="E119" s="4" t="s">
        <v>249</v>
      </c>
      <c r="F119" s="6">
        <v>103.05</v>
      </c>
      <c r="H119" s="6">
        <v>55.3</v>
      </c>
      <c r="I119" s="7">
        <v>0</v>
      </c>
      <c r="J119" s="7">
        <v>12.74</v>
      </c>
      <c r="K119" s="6">
        <v>47.75</v>
      </c>
    </row>
    <row r="120" spans="1:11" x14ac:dyDescent="0.2">
      <c r="A120" s="4" t="s">
        <v>182</v>
      </c>
      <c r="B120" s="4" t="s">
        <v>252</v>
      </c>
      <c r="C120" s="5">
        <v>46259</v>
      </c>
      <c r="D120" s="4" t="s">
        <v>14</v>
      </c>
      <c r="E120" s="4" t="s">
        <v>253</v>
      </c>
      <c r="F120" s="6">
        <v>61.2</v>
      </c>
      <c r="I120" s="7">
        <v>0</v>
      </c>
      <c r="J120" s="7">
        <v>0</v>
      </c>
      <c r="K120" s="6">
        <v>61.2</v>
      </c>
    </row>
    <row r="121" spans="1:11" x14ac:dyDescent="0.2">
      <c r="A121" s="8" t="s">
        <v>103</v>
      </c>
      <c r="E121" s="9">
        <f>SUBTOTAL(9,F118:F120)</f>
        <v>280.89</v>
      </c>
      <c r="H121" s="9">
        <f>SUBTOTAL(9,H118:H120)</f>
        <v>163.07</v>
      </c>
      <c r="I121" s="9">
        <f>SUBTOTAL(9,I118:I120)</f>
        <v>0</v>
      </c>
      <c r="J121" s="10">
        <f>SUBTOTAL(9,J118:J120)</f>
        <v>12.74</v>
      </c>
      <c r="K121" s="11">
        <v>117.82</v>
      </c>
    </row>
    <row r="122" spans="1:11" x14ac:dyDescent="0.2">
      <c r="A122" s="3" t="s">
        <v>254</v>
      </c>
    </row>
    <row r="123" spans="1:11" x14ac:dyDescent="0.2">
      <c r="A123" s="4" t="s">
        <v>255</v>
      </c>
      <c r="B123" s="4" t="s">
        <v>256</v>
      </c>
      <c r="C123" s="5">
        <v>46257</v>
      </c>
      <c r="D123" s="4" t="s">
        <v>14</v>
      </c>
      <c r="E123" s="4" t="s">
        <v>177</v>
      </c>
      <c r="F123" s="6">
        <v>100.75</v>
      </c>
      <c r="H123" s="6">
        <v>79.7</v>
      </c>
      <c r="I123" s="7">
        <v>0</v>
      </c>
      <c r="J123" s="7">
        <v>40.700000000000003</v>
      </c>
      <c r="K123" s="6">
        <v>21.05</v>
      </c>
    </row>
    <row r="124" spans="1:11" x14ac:dyDescent="0.2">
      <c r="A124" s="4" t="s">
        <v>257</v>
      </c>
      <c r="B124" s="4" t="s">
        <v>258</v>
      </c>
      <c r="C124" s="5">
        <v>46265</v>
      </c>
      <c r="D124" s="4" t="s">
        <v>14</v>
      </c>
      <c r="E124" s="4" t="s">
        <v>177</v>
      </c>
      <c r="F124" s="6">
        <v>4.6500000000000004</v>
      </c>
      <c r="I124" s="7">
        <v>0</v>
      </c>
      <c r="J124" s="7">
        <v>0</v>
      </c>
      <c r="K124" s="6">
        <v>4.6500000000000004</v>
      </c>
    </row>
    <row r="125" spans="1:11" x14ac:dyDescent="0.2">
      <c r="A125" s="4" t="s">
        <v>257</v>
      </c>
      <c r="B125" s="4" t="s">
        <v>259</v>
      </c>
      <c r="C125" s="5">
        <v>46265</v>
      </c>
      <c r="D125" s="4" t="s">
        <v>14</v>
      </c>
      <c r="E125" s="4" t="s">
        <v>230</v>
      </c>
      <c r="F125" s="6">
        <v>4.6500000000000004</v>
      </c>
      <c r="H125" s="6">
        <v>4.46</v>
      </c>
      <c r="I125" s="7">
        <v>0</v>
      </c>
      <c r="J125" s="7">
        <v>0</v>
      </c>
      <c r="K125" s="6">
        <v>0.19</v>
      </c>
    </row>
    <row r="126" spans="1:11" x14ac:dyDescent="0.2">
      <c r="A126" s="4" t="s">
        <v>257</v>
      </c>
      <c r="B126" s="4" t="s">
        <v>260</v>
      </c>
      <c r="C126" s="5">
        <v>46265</v>
      </c>
      <c r="D126" s="4" t="s">
        <v>14</v>
      </c>
      <c r="E126" s="4" t="s">
        <v>261</v>
      </c>
      <c r="F126" s="6">
        <v>3.1</v>
      </c>
      <c r="H126" s="6">
        <v>3.03</v>
      </c>
      <c r="I126" s="7">
        <v>0</v>
      </c>
      <c r="J126" s="7">
        <v>0</v>
      </c>
      <c r="K126" s="6">
        <v>7.0000000000000007E-2</v>
      </c>
    </row>
    <row r="127" spans="1:11" x14ac:dyDescent="0.2">
      <c r="A127" s="8" t="s">
        <v>103</v>
      </c>
      <c r="E127" s="9">
        <f>SUBTOTAL(9,F123:F126)</f>
        <v>113.15</v>
      </c>
      <c r="H127" s="9">
        <f>SUBTOTAL(9,H123:H126)</f>
        <v>87.19</v>
      </c>
      <c r="I127" s="9">
        <f>SUBTOTAL(9,I123:I126)</f>
        <v>0</v>
      </c>
      <c r="J127" s="10">
        <f>SUBTOTAL(9,J123:J126)</f>
        <v>40.700000000000003</v>
      </c>
      <c r="K127" s="11">
        <v>25.96</v>
      </c>
    </row>
    <row r="128" spans="1:11" x14ac:dyDescent="0.2">
      <c r="A128" s="3" t="s">
        <v>262</v>
      </c>
    </row>
    <row r="129" spans="1:11" x14ac:dyDescent="0.2">
      <c r="A129" s="4" t="s">
        <v>263</v>
      </c>
      <c r="B129" s="4" t="s">
        <v>264</v>
      </c>
      <c r="C129" s="5">
        <v>46268</v>
      </c>
      <c r="D129" s="4" t="s">
        <v>14</v>
      </c>
      <c r="E129" s="4" t="s">
        <v>177</v>
      </c>
      <c r="F129" s="6">
        <v>125</v>
      </c>
      <c r="G129" s="6">
        <v>30</v>
      </c>
      <c r="H129" s="6">
        <v>65.09</v>
      </c>
      <c r="I129" s="7">
        <v>0</v>
      </c>
      <c r="J129" s="7">
        <v>65.09</v>
      </c>
      <c r="K129" s="6">
        <v>29.91</v>
      </c>
    </row>
    <row r="130" spans="1:11" x14ac:dyDescent="0.2">
      <c r="A130" s="8" t="s">
        <v>103</v>
      </c>
      <c r="E130" s="9">
        <f>SUBTOTAL(9,F129:F129)</f>
        <v>125</v>
      </c>
      <c r="G130" s="9">
        <f>SUBTOTAL(9,G129:G129)</f>
        <v>30</v>
      </c>
      <c r="H130" s="9">
        <f>SUBTOTAL(9,H129:H129)</f>
        <v>65.09</v>
      </c>
      <c r="I130" s="9">
        <f>SUBTOTAL(9,I129:I129)</f>
        <v>0</v>
      </c>
      <c r="J130" s="10">
        <f>SUBTOTAL(9,J129:J129)</f>
        <v>65.09</v>
      </c>
      <c r="K130" s="11">
        <v>29.91</v>
      </c>
    </row>
    <row r="131" spans="1:11" x14ac:dyDescent="0.2">
      <c r="A131" s="3" t="s">
        <v>265</v>
      </c>
    </row>
    <row r="132" spans="1:11" x14ac:dyDescent="0.2">
      <c r="A132" s="4" t="s">
        <v>266</v>
      </c>
      <c r="B132" s="4" t="s">
        <v>267</v>
      </c>
      <c r="C132" s="5">
        <v>46268</v>
      </c>
      <c r="D132" s="4" t="s">
        <v>14</v>
      </c>
      <c r="E132" s="4" t="s">
        <v>29</v>
      </c>
      <c r="F132" s="6">
        <v>251.6</v>
      </c>
      <c r="H132" s="6">
        <v>240.06</v>
      </c>
      <c r="I132" s="7">
        <v>0</v>
      </c>
      <c r="J132" s="7">
        <v>0</v>
      </c>
      <c r="K132" s="6">
        <v>11.54</v>
      </c>
    </row>
    <row r="133" spans="1:11" x14ac:dyDescent="0.2">
      <c r="A133" s="8" t="s">
        <v>103</v>
      </c>
      <c r="E133" s="9">
        <f>SUBTOTAL(9,F132:F132)</f>
        <v>251.6</v>
      </c>
      <c r="H133" s="9">
        <f>SUBTOTAL(9,H132:H132)</f>
        <v>240.06</v>
      </c>
      <c r="I133" s="9">
        <f>SUBTOTAL(9,I132:I132)</f>
        <v>0</v>
      </c>
      <c r="J133" s="10">
        <f>SUBTOTAL(9,J132:J132)</f>
        <v>0</v>
      </c>
      <c r="K133" s="11">
        <v>11.54</v>
      </c>
    </row>
  </sheetData>
  <pageMargins left="0.24996875390576176" right="0.24996875390576176" top="0.24996875390576176" bottom="0.24996875390576176" header="0" footer="0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PENDINGORDERTOPLAN.rpt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2026-09-07T04:13:34Z</dcterms:created>
  <dcterms:modified xsi:type="dcterms:W3CDTF">2026-09-08T11:46:42Z</dcterms:modified>
</cp:coreProperties>
</file>