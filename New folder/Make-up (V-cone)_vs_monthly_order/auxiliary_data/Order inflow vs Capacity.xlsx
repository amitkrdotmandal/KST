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4000" windowHeight="9300"/>
  </bookViews>
  <sheets>
    <sheet name="Sheet1" sheetId="1" r:id="rId1"/>
    <sheet name="Sheet2" sheetId="2" r:id="rId2"/>
  </sheets>
  <calcPr calcId="162913"/>
</workbook>
</file>

<file path=xl/calcChain.xml><?xml version="1.0" encoding="utf-8"?>
<calcChain xmlns="http://schemas.openxmlformats.org/spreadsheetml/2006/main">
  <c r="N9" i="1" l="1"/>
  <c r="K9" i="1"/>
  <c r="H9" i="1"/>
  <c r="E9" i="1"/>
  <c r="D9" i="1"/>
  <c r="F9" i="1"/>
  <c r="G9" i="1"/>
  <c r="I9" i="1"/>
  <c r="J9" i="1"/>
  <c r="L9" i="1"/>
  <c r="M9" i="1"/>
  <c r="C9" i="1"/>
  <c r="N3" i="1"/>
  <c r="K3" i="1"/>
  <c r="K2" i="1"/>
  <c r="H5" i="1"/>
  <c r="E3" i="1"/>
  <c r="E6" i="1"/>
  <c r="B8" i="1"/>
  <c r="E8" i="1" s="1"/>
  <c r="B7" i="1"/>
  <c r="E7" i="1" s="1"/>
  <c r="B6" i="1"/>
  <c r="H6" i="1" s="1"/>
  <c r="B5" i="1"/>
  <c r="K5" i="1" s="1"/>
  <c r="B4" i="1"/>
  <c r="N4" i="1" s="1"/>
  <c r="B3" i="1"/>
  <c r="H3" i="1" s="1"/>
  <c r="B2" i="1"/>
  <c r="E2" i="1" s="1"/>
  <c r="E4" i="1" l="1"/>
  <c r="N2" i="1"/>
  <c r="K4" i="1"/>
  <c r="N8" i="1"/>
  <c r="H4" i="1"/>
  <c r="H2" i="1"/>
  <c r="K8" i="1"/>
  <c r="N7" i="1"/>
  <c r="H8" i="1"/>
  <c r="K7" i="1"/>
  <c r="N6" i="1"/>
  <c r="B9" i="1"/>
  <c r="H7" i="1"/>
  <c r="K6" i="1"/>
  <c r="N5" i="1"/>
  <c r="E5" i="1"/>
</calcChain>
</file>

<file path=xl/sharedStrings.xml><?xml version="1.0" encoding="utf-8"?>
<sst xmlns="http://schemas.openxmlformats.org/spreadsheetml/2006/main" count="34" uniqueCount="31">
  <si>
    <t>Make Up</t>
  </si>
  <si>
    <t>Aug_actual_tot_wt_in_KG</t>
  </si>
  <si>
    <t>Aug_Actual_order_Qty</t>
  </si>
  <si>
    <t>July_actual_tot_wt_in_KG</t>
  </si>
  <si>
    <t>July_Actual_order_Qty</t>
  </si>
  <si>
    <t>June_actual_tot_wt_in_KG</t>
  </si>
  <si>
    <t>June_Actual_order_Qty</t>
  </si>
  <si>
    <t>Total_order_in_KG_of_all_months</t>
  </si>
  <si>
    <t>Avg_order_in_KG_par_month</t>
  </si>
  <si>
    <t>2.25" PENCIL CONE</t>
  </si>
  <si>
    <t>3.25" Y-CONE</t>
  </si>
  <si>
    <t>4" V-CONE</t>
  </si>
  <si>
    <t>4" Y-CONE BF</t>
  </si>
  <si>
    <t>4" Y-CONE MF</t>
  </si>
  <si>
    <t>6" Y-CONE BF</t>
  </si>
  <si>
    <t>64mm PAPER TUBE</t>
  </si>
  <si>
    <t>Make-up</t>
  </si>
  <si>
    <t>Capacity/day</t>
  </si>
  <si>
    <t>Units</t>
  </si>
  <si>
    <t>Unit wt(indicative)</t>
  </si>
  <si>
    <t>6 INCH Y-CONE BF</t>
  </si>
  <si>
    <t>4 INCH Y-CONE BF</t>
  </si>
  <si>
    <t>4 INCH Y-CONE MF</t>
  </si>
  <si>
    <t>3.25 INCH Y-CONE SF</t>
  </si>
  <si>
    <t>2 INCH Y-CONE</t>
  </si>
  <si>
    <t>4 INCH V-CONE</t>
  </si>
  <si>
    <t>2 INCH PAPER TUBE</t>
  </si>
  <si>
    <t>Total-kg</t>
  </si>
  <si>
    <t>Monthly capacity(kg)</t>
  </si>
  <si>
    <t>Kg/day</t>
  </si>
  <si>
    <t>Order inflow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</si>
</sst>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E22" sqref="E22"/>
    </sheetView>
  </sheetViews>
  <sheetFormatPr defaultRowHeight="15" x14ac:dyDescent="0.25"/>
  <cols>
    <col min="1" max="1" width="17.7109375" bestFit="1" customWidth="1"/>
    <col min="2" max="2" width="17.7109375" customWidth="1"/>
    <col min="3" max="3" width="21" customWidth="1"/>
    <col min="4" max="4" width="21.42578125" bestFit="1" customWidth="1"/>
    <col min="5" max="5" width="21.42578125" style="8" customWidth="1"/>
    <col min="6" max="6" width="24.140625" bestFit="1" customWidth="1"/>
    <col min="7" max="7" width="21.42578125" bestFit="1" customWidth="1"/>
    <col min="8" max="8" width="21.42578125" customWidth="1"/>
    <col min="9" max="9" width="24.85546875" bestFit="1" customWidth="1"/>
    <col min="10" max="10" width="22.140625" bestFit="1" customWidth="1"/>
    <col min="11" max="11" width="22.140625" customWidth="1"/>
    <col min="12" max="12" width="31.85546875" bestFit="1" customWidth="1"/>
    <col min="13" max="13" width="27.5703125" bestFit="1" customWidth="1"/>
    <col min="14" max="14" width="27.5703125" customWidth="1"/>
  </cols>
  <sheetData>
    <row r="1" spans="1:14" ht="36.75" customHeight="1" x14ac:dyDescent="0.25">
      <c r="A1" s="5" t="s">
        <v>0</v>
      </c>
      <c r="B1" s="6" t="s">
        <v>28</v>
      </c>
      <c r="C1" s="6" t="s">
        <v>1</v>
      </c>
      <c r="D1" s="6" t="s">
        <v>2</v>
      </c>
      <c r="E1" s="7" t="s">
        <v>30</v>
      </c>
      <c r="F1" s="6" t="s">
        <v>3</v>
      </c>
      <c r="G1" s="6" t="s">
        <v>4</v>
      </c>
      <c r="H1" s="7" t="s">
        <v>30</v>
      </c>
      <c r="I1" s="6" t="s">
        <v>5</v>
      </c>
      <c r="J1" s="6" t="s">
        <v>6</v>
      </c>
      <c r="K1" s="7" t="s">
        <v>30</v>
      </c>
      <c r="L1" s="6" t="s">
        <v>7</v>
      </c>
      <c r="M1" s="6" t="s">
        <v>8</v>
      </c>
      <c r="N1" s="7" t="s">
        <v>30</v>
      </c>
    </row>
    <row r="2" spans="1:14" x14ac:dyDescent="0.25">
      <c r="A2" t="s">
        <v>9</v>
      </c>
      <c r="B2" s="4">
        <f>61*28</f>
        <v>1708</v>
      </c>
      <c r="C2" s="9">
        <v>22.355622</v>
      </c>
      <c r="D2" s="2">
        <v>603</v>
      </c>
      <c r="E2" s="10">
        <f>C2/$B2*100</f>
        <v>1.3088771662763465</v>
      </c>
      <c r="F2" s="2">
        <v>13.606158000000001</v>
      </c>
      <c r="G2" s="2">
        <v>367</v>
      </c>
      <c r="H2" s="10">
        <f>F2/$B2*100</f>
        <v>0.79661346604215455</v>
      </c>
      <c r="I2" s="2">
        <v>6.8957639999999998</v>
      </c>
      <c r="J2" s="2">
        <v>186</v>
      </c>
      <c r="K2" s="10">
        <f>I2/$B2*100</f>
        <v>0.4037332552693208</v>
      </c>
      <c r="L2" s="2">
        <v>42.857543999999997</v>
      </c>
      <c r="M2" s="2">
        <v>14.285848</v>
      </c>
      <c r="N2" s="10">
        <f>M2/$B2*100</f>
        <v>0.83640796252927396</v>
      </c>
    </row>
    <row r="3" spans="1:14" x14ac:dyDescent="0.25">
      <c r="A3" t="s">
        <v>10</v>
      </c>
      <c r="B3" s="3">
        <f>190*28</f>
        <v>5320</v>
      </c>
      <c r="C3" s="9">
        <v>2719.4455349999998</v>
      </c>
      <c r="D3" s="2">
        <v>24746</v>
      </c>
      <c r="E3" s="10">
        <f t="shared" ref="E3:E9" si="0">C3/$B3*100</f>
        <v>51.11739727443608</v>
      </c>
      <c r="F3" s="2">
        <v>1873.5240690000001</v>
      </c>
      <c r="G3" s="2">
        <v>17959</v>
      </c>
      <c r="H3" s="10">
        <f t="shared" ref="H3:H9" si="1">F3/$B3*100</f>
        <v>35.216617838345869</v>
      </c>
      <c r="I3" s="2">
        <v>1318.0528440000001</v>
      </c>
      <c r="J3" s="2">
        <v>12171</v>
      </c>
      <c r="K3" s="10">
        <f t="shared" ref="K3:K9" si="2">I3/$B3*100</f>
        <v>24.775429398496239</v>
      </c>
      <c r="L3" s="2">
        <v>5911.0224479999997</v>
      </c>
      <c r="M3" s="2">
        <v>1970.3408159999999</v>
      </c>
      <c r="N3" s="10">
        <f t="shared" ref="N3:N9" si="3">M3/$B3*100</f>
        <v>37.036481503759397</v>
      </c>
    </row>
    <row r="4" spans="1:14" x14ac:dyDescent="0.25">
      <c r="A4" t="s">
        <v>11</v>
      </c>
      <c r="B4" s="3">
        <f>928*28</f>
        <v>25984</v>
      </c>
      <c r="C4" s="9">
        <v>18849.434452000001</v>
      </c>
      <c r="D4" s="2">
        <v>95683</v>
      </c>
      <c r="E4" s="10">
        <f t="shared" si="0"/>
        <v>72.54246633312809</v>
      </c>
      <c r="F4" s="2">
        <v>12240.826376000001</v>
      </c>
      <c r="G4" s="2">
        <v>62339</v>
      </c>
      <c r="H4" s="10">
        <f t="shared" si="1"/>
        <v>47.109091656403947</v>
      </c>
      <c r="I4" s="2">
        <v>9915.0593360000003</v>
      </c>
      <c r="J4" s="2">
        <v>49573</v>
      </c>
      <c r="K4" s="10">
        <f t="shared" si="2"/>
        <v>38.158325646551731</v>
      </c>
      <c r="L4" s="2">
        <v>41005.320163999997</v>
      </c>
      <c r="M4" s="2">
        <v>13668.440054666669</v>
      </c>
      <c r="N4" s="10">
        <f t="shared" si="3"/>
        <v>52.603294545361258</v>
      </c>
    </row>
    <row r="5" spans="1:14" x14ac:dyDescent="0.25">
      <c r="A5" t="s">
        <v>12</v>
      </c>
      <c r="B5" s="3">
        <f>62*28</f>
        <v>1736</v>
      </c>
      <c r="C5" s="9">
        <v>288.60000000000002</v>
      </c>
      <c r="D5" s="2">
        <v>600</v>
      </c>
      <c r="E5" s="10">
        <f t="shared" si="0"/>
        <v>16.624423963133641</v>
      </c>
      <c r="F5" s="2">
        <v>0</v>
      </c>
      <c r="G5" s="2">
        <v>0</v>
      </c>
      <c r="H5" s="10">
        <f t="shared" si="1"/>
        <v>0</v>
      </c>
      <c r="I5" s="2"/>
      <c r="J5" s="2"/>
      <c r="K5" s="10">
        <f t="shared" si="2"/>
        <v>0</v>
      </c>
      <c r="L5" s="2">
        <v>288.60000000000002</v>
      </c>
      <c r="M5" s="2">
        <v>96.2</v>
      </c>
      <c r="N5" s="10">
        <f t="shared" si="3"/>
        <v>5.5414746543778799</v>
      </c>
    </row>
    <row r="6" spans="1:14" x14ac:dyDescent="0.25">
      <c r="A6" t="s">
        <v>13</v>
      </c>
      <c r="B6" s="3">
        <f>150*28</f>
        <v>4200</v>
      </c>
      <c r="C6" s="9">
        <v>2240.8945199999998</v>
      </c>
      <c r="D6" s="2">
        <v>8710</v>
      </c>
      <c r="E6" s="10">
        <f t="shared" si="0"/>
        <v>53.354631428571423</v>
      </c>
      <c r="F6" s="2">
        <v>1047.8353999999999</v>
      </c>
      <c r="G6" s="2">
        <v>4936</v>
      </c>
      <c r="H6" s="10">
        <f t="shared" si="1"/>
        <v>24.948461904761903</v>
      </c>
      <c r="I6" s="2">
        <v>916.90064099999995</v>
      </c>
      <c r="J6" s="2">
        <v>4528</v>
      </c>
      <c r="K6" s="10">
        <f t="shared" si="2"/>
        <v>21.830967642857139</v>
      </c>
      <c r="L6" s="2">
        <v>4205.6305609999999</v>
      </c>
      <c r="M6" s="2">
        <v>1401.8768536666671</v>
      </c>
      <c r="N6" s="10">
        <f t="shared" si="3"/>
        <v>33.378020325396832</v>
      </c>
    </row>
    <row r="7" spans="1:14" x14ac:dyDescent="0.25">
      <c r="A7" t="s">
        <v>14</v>
      </c>
      <c r="B7" s="3">
        <f>297*28</f>
        <v>8316</v>
      </c>
      <c r="C7" s="9">
        <v>894.096</v>
      </c>
      <c r="D7" s="2">
        <v>1008</v>
      </c>
      <c r="E7" s="10">
        <f t="shared" si="0"/>
        <v>10.751515151515152</v>
      </c>
      <c r="F7" s="2">
        <v>1397.952</v>
      </c>
      <c r="G7" s="2">
        <v>1584</v>
      </c>
      <c r="H7" s="10">
        <f t="shared" si="1"/>
        <v>16.810389610389613</v>
      </c>
      <c r="I7" s="2">
        <v>236.352</v>
      </c>
      <c r="J7" s="2">
        <v>384</v>
      </c>
      <c r="K7" s="10">
        <f t="shared" si="2"/>
        <v>2.8421356421356418</v>
      </c>
      <c r="L7" s="2">
        <v>2528.4</v>
      </c>
      <c r="M7" s="2">
        <v>792.4</v>
      </c>
      <c r="N7" s="10">
        <f t="shared" si="3"/>
        <v>9.5286195286195277</v>
      </c>
    </row>
    <row r="8" spans="1:14" x14ac:dyDescent="0.25">
      <c r="A8" t="s">
        <v>15</v>
      </c>
      <c r="B8" s="3">
        <f>146*28</f>
        <v>4088</v>
      </c>
      <c r="C8" s="9">
        <v>2818.2156</v>
      </c>
      <c r="D8" s="2">
        <v>17652</v>
      </c>
      <c r="E8" s="10">
        <f t="shared" si="0"/>
        <v>68.938737769080234</v>
      </c>
      <c r="F8" s="2">
        <v>1960.4760000000001</v>
      </c>
      <c r="G8" s="2">
        <v>11845</v>
      </c>
      <c r="H8" s="10">
        <f t="shared" si="1"/>
        <v>47.956849315068496</v>
      </c>
      <c r="I8" s="2">
        <v>2912.3177999999998</v>
      </c>
      <c r="J8" s="2">
        <v>27334.5</v>
      </c>
      <c r="K8" s="10">
        <f t="shared" si="2"/>
        <v>71.240650684931509</v>
      </c>
      <c r="L8" s="2">
        <v>7691.0093999999999</v>
      </c>
      <c r="M8" s="2">
        <v>2563.6698000000001</v>
      </c>
      <c r="N8" s="10">
        <f t="shared" si="3"/>
        <v>62.712079256360077</v>
      </c>
    </row>
    <row r="9" spans="1:14" x14ac:dyDescent="0.25">
      <c r="B9" s="3">
        <f>SUM(B2:B8)</f>
        <v>51352</v>
      </c>
      <c r="C9" s="3">
        <f>SUM(C2:C8)</f>
        <v>27833.041729000004</v>
      </c>
      <c r="D9" s="3">
        <f t="shared" ref="D9:M9" si="4">SUM(D2:D8)</f>
        <v>149002</v>
      </c>
      <c r="E9" s="10">
        <f t="shared" si="0"/>
        <v>54.20050188697617</v>
      </c>
      <c r="F9" s="3">
        <f t="shared" si="4"/>
        <v>18534.220002999999</v>
      </c>
      <c r="G9" s="3">
        <f t="shared" si="4"/>
        <v>99030</v>
      </c>
      <c r="H9" s="10">
        <f t="shared" si="1"/>
        <v>36.092498837435734</v>
      </c>
      <c r="I9" s="3">
        <f t="shared" si="4"/>
        <v>15305.578385000001</v>
      </c>
      <c r="J9" s="3">
        <f t="shared" si="4"/>
        <v>94176.5</v>
      </c>
      <c r="K9" s="10">
        <f t="shared" si="2"/>
        <v>29.805223525860729</v>
      </c>
      <c r="L9" s="3">
        <f t="shared" si="4"/>
        <v>61672.840117</v>
      </c>
      <c r="M9" s="3">
        <f t="shared" si="4"/>
        <v>20507.213372333339</v>
      </c>
      <c r="N9" s="10">
        <f t="shared" si="3"/>
        <v>39.934595288077077</v>
      </c>
    </row>
  </sheetData>
  <pageMargins left="0.75" right="0.75" top="1" bottom="1" header="0.5" footer="0.5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G8" sqref="G8"/>
    </sheetView>
  </sheetViews>
  <sheetFormatPr defaultRowHeight="15" x14ac:dyDescent="0.25"/>
  <sheetData>
    <row r="1" spans="1:4" x14ac:dyDescent="0.25">
      <c r="A1" s="1" t="s">
        <v>16</v>
      </c>
      <c r="B1" s="1" t="s">
        <v>17</v>
      </c>
      <c r="C1" s="1"/>
      <c r="D1" s="1"/>
    </row>
    <row r="2" spans="1:4" x14ac:dyDescent="0.25">
      <c r="A2" s="1"/>
      <c r="B2" s="1" t="s">
        <v>18</v>
      </c>
      <c r="C2" s="1" t="s">
        <v>19</v>
      </c>
      <c r="D2" s="1" t="s">
        <v>29</v>
      </c>
    </row>
    <row r="3" spans="1:4" x14ac:dyDescent="0.25">
      <c r="A3" s="1" t="s">
        <v>20</v>
      </c>
      <c r="B3" s="1">
        <v>330</v>
      </c>
      <c r="C3" s="1">
        <v>0.9</v>
      </c>
      <c r="D3" s="1">
        <v>297</v>
      </c>
    </row>
    <row r="4" spans="1:4" x14ac:dyDescent="0.25">
      <c r="A4" s="1" t="s">
        <v>21</v>
      </c>
      <c r="B4" s="1">
        <v>124</v>
      </c>
      <c r="C4" s="1">
        <v>0.5</v>
      </c>
      <c r="D4" s="1">
        <v>62</v>
      </c>
    </row>
    <row r="5" spans="1:4" x14ac:dyDescent="0.25">
      <c r="A5" s="1" t="s">
        <v>22</v>
      </c>
      <c r="B5" s="1">
        <v>628</v>
      </c>
      <c r="C5" s="1">
        <v>0.24</v>
      </c>
      <c r="D5" s="1">
        <v>150.72</v>
      </c>
    </row>
    <row r="6" spans="1:4" x14ac:dyDescent="0.25">
      <c r="A6" s="1" t="s">
        <v>23</v>
      </c>
      <c r="B6" s="1">
        <v>1729</v>
      </c>
      <c r="C6" s="1">
        <v>0.11</v>
      </c>
      <c r="D6" s="1">
        <v>190.19</v>
      </c>
    </row>
    <row r="7" spans="1:4" x14ac:dyDescent="0.25">
      <c r="A7" s="1" t="s">
        <v>24</v>
      </c>
      <c r="B7" s="1">
        <v>1696</v>
      </c>
      <c r="C7" s="1">
        <v>3.5999999999999997E-2</v>
      </c>
      <c r="D7" s="1">
        <v>61.055999999999997</v>
      </c>
    </row>
    <row r="8" spans="1:4" x14ac:dyDescent="0.25">
      <c r="A8" s="1" t="s">
        <v>25</v>
      </c>
      <c r="B8" s="1">
        <v>4600</v>
      </c>
      <c r="C8" s="1">
        <v>0.20399999999999999</v>
      </c>
      <c r="D8" s="1">
        <v>938.4</v>
      </c>
    </row>
    <row r="9" spans="1:4" x14ac:dyDescent="0.25">
      <c r="A9" s="1" t="s">
        <v>26</v>
      </c>
      <c r="B9" s="1">
        <v>18274</v>
      </c>
      <c r="C9" s="1">
        <v>8.0000000000000002E-3</v>
      </c>
      <c r="D9" s="1">
        <v>146.19200000000001</v>
      </c>
    </row>
    <row r="10" spans="1:4" x14ac:dyDescent="0.25">
      <c r="A10" s="1" t="s">
        <v>27</v>
      </c>
      <c r="B10" s="1"/>
      <c r="C10" s="1"/>
      <c r="D10" s="1">
        <v>1845.558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2026-09-05T09:08:23Z</dcterms:created>
  <dcterms:modified xsi:type="dcterms:W3CDTF">2026-09-05T10:05:33Z</dcterms:modified>
</cp:coreProperties>
</file>