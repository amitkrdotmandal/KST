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4000" windowHeight="9600" activeTab="2"/>
  </bookViews>
  <sheets>
    <sheet name="JUNE 2026" sheetId="1" r:id="rId1"/>
    <sheet name="JULY 2026" sheetId="2" r:id="rId2"/>
    <sheet name="AUGUS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C5" i="3" l="1"/>
  <c r="CC6" i="3"/>
  <c r="CC7" i="3"/>
  <c r="CC8" i="3"/>
  <c r="CC10" i="3"/>
  <c r="CC4" i="3"/>
  <c r="CB5" i="3"/>
  <c r="CB6" i="3"/>
  <c r="CB7" i="3"/>
  <c r="CB8" i="3"/>
  <c r="CB9" i="3"/>
  <c r="CB10" i="3"/>
  <c r="CA5" i="3"/>
  <c r="CA6" i="3"/>
  <c r="CA7" i="3"/>
  <c r="CA8" i="3"/>
  <c r="CA9" i="3"/>
  <c r="CA10" i="3"/>
  <c r="CB4" i="3"/>
  <c r="CA4" i="3"/>
  <c r="BQ4" i="3" l="1"/>
  <c r="BW11" i="3"/>
  <c r="BU11" i="3"/>
  <c r="BS11" i="3"/>
  <c r="BM11" i="3"/>
  <c r="BK11" i="3"/>
  <c r="AX11" i="3"/>
  <c r="AV11" i="3"/>
  <c r="AT11" i="3"/>
  <c r="AR11" i="3"/>
  <c r="BW5" i="3"/>
  <c r="BW6" i="3"/>
  <c r="BW7" i="3"/>
  <c r="BW8" i="3"/>
  <c r="BW9" i="3"/>
  <c r="BW10" i="3"/>
  <c r="BW4" i="3"/>
  <c r="BV9" i="3"/>
  <c r="BV7" i="3"/>
  <c r="BV6" i="3"/>
  <c r="BU5" i="3"/>
  <c r="BU6" i="3"/>
  <c r="BU7" i="3"/>
  <c r="BU8" i="3"/>
  <c r="BU9" i="3"/>
  <c r="BU10" i="3"/>
  <c r="BU4" i="3"/>
  <c r="BS5" i="3"/>
  <c r="BS6" i="3"/>
  <c r="BS7" i="3"/>
  <c r="BS8" i="3"/>
  <c r="BS9" i="3"/>
  <c r="BS4" i="3"/>
  <c r="BQ5" i="3"/>
  <c r="BQ6" i="3"/>
  <c r="BQ7" i="3"/>
  <c r="BQ11" i="3" s="1"/>
  <c r="BQ8" i="3"/>
  <c r="BQ9" i="3"/>
  <c r="BQ10" i="3"/>
  <c r="BO5" i="3"/>
  <c r="BO6" i="3"/>
  <c r="BO7" i="3"/>
  <c r="BO8" i="3"/>
  <c r="BO9" i="3"/>
  <c r="BO10" i="3"/>
  <c r="BO4" i="3"/>
  <c r="BO11" i="3" s="1"/>
  <c r="BM5" i="3"/>
  <c r="BM6" i="3"/>
  <c r="BM7" i="3"/>
  <c r="BM8" i="3"/>
  <c r="BM9" i="3"/>
  <c r="BM10" i="3"/>
  <c r="BM4" i="3"/>
  <c r="BK5" i="3"/>
  <c r="BK6" i="3"/>
  <c r="BK7" i="3"/>
  <c r="BK8" i="3"/>
  <c r="BK9" i="3"/>
  <c r="BK10" i="3"/>
  <c r="BK4" i="3"/>
  <c r="AX5" i="3"/>
  <c r="AX6" i="3"/>
  <c r="AX7" i="3"/>
  <c r="AX8" i="3"/>
  <c r="AX9" i="3"/>
  <c r="AX10" i="3"/>
  <c r="AX4" i="3"/>
  <c r="AV5" i="3"/>
  <c r="AV6" i="3"/>
  <c r="AV7" i="3"/>
  <c r="AV8" i="3"/>
  <c r="AV9" i="3"/>
  <c r="AV10" i="3"/>
  <c r="AV4" i="3"/>
  <c r="AT5" i="3"/>
  <c r="AT6" i="3"/>
  <c r="AT7" i="3"/>
  <c r="AT8" i="3"/>
  <c r="AT9" i="3"/>
  <c r="AT10" i="3"/>
  <c r="AT4" i="3"/>
  <c r="AR5" i="3"/>
  <c r="AR6" i="3"/>
  <c r="AR7" i="3"/>
  <c r="AR8" i="3"/>
  <c r="AR9" i="3"/>
  <c r="AR10" i="3"/>
  <c r="AR4" i="3"/>
  <c r="BT9" i="3" l="1"/>
  <c r="BR9" i="3"/>
  <c r="BP9" i="3"/>
  <c r="BN9" i="3"/>
  <c r="BL9" i="3"/>
  <c r="BJ9" i="3"/>
  <c r="BT8" i="3"/>
  <c r="BT6" i="3"/>
  <c r="BT7" i="3"/>
  <c r="BR7" i="3"/>
  <c r="BR6" i="3"/>
  <c r="BR4" i="3"/>
  <c r="BN6" i="3"/>
  <c r="BN7" i="3"/>
  <c r="BL7" i="3"/>
  <c r="BL6" i="3"/>
  <c r="BL4" i="3"/>
  <c r="BJ8" i="3"/>
  <c r="BJ7" i="3"/>
  <c r="BJ6" i="3"/>
  <c r="AW7" i="3"/>
  <c r="AW6" i="3"/>
  <c r="AW4" i="3"/>
  <c r="AU6" i="3"/>
  <c r="AU7" i="3"/>
  <c r="AS7" i="3"/>
  <c r="AS6" i="3"/>
  <c r="AQ7" i="3"/>
  <c r="AQ6" i="3"/>
  <c r="AU9" i="3" l="1"/>
  <c r="AS9" i="3"/>
  <c r="AQ9" i="3"/>
  <c r="AP5" i="3" l="1"/>
  <c r="AP8" i="3"/>
  <c r="AN5" i="3"/>
  <c r="AN8" i="3"/>
  <c r="AI5" i="3"/>
  <c r="AI6" i="3"/>
  <c r="AI8" i="3"/>
  <c r="AI4" i="3"/>
  <c r="AG5" i="3"/>
  <c r="AG6" i="3"/>
  <c r="AG7" i="3"/>
  <c r="AG8" i="3"/>
  <c r="AF6" i="3"/>
  <c r="AP7" i="3"/>
  <c r="AO6" i="3"/>
  <c r="AP6" i="3" s="1"/>
  <c r="AO4" i="3"/>
  <c r="AP4" i="3" s="1"/>
  <c r="AM7" i="3"/>
  <c r="AN7" i="3" s="1"/>
  <c r="AM6" i="3"/>
  <c r="AN6" i="3" s="1"/>
  <c r="AM4" i="3"/>
  <c r="AN4" i="3" s="1"/>
  <c r="AH7" i="3"/>
  <c r="AI7" i="3" s="1"/>
  <c r="AH6" i="3"/>
  <c r="AF7" i="3"/>
  <c r="AF4" i="3"/>
  <c r="AG4" i="3" s="1"/>
  <c r="AO10" i="3"/>
  <c r="AM10" i="3"/>
  <c r="AH10" i="3"/>
  <c r="AF10" i="3"/>
  <c r="AO9" i="3"/>
  <c r="AP9" i="3" s="1"/>
  <c r="AM9" i="3"/>
  <c r="AN9" i="3" s="1"/>
  <c r="AH9" i="3"/>
  <c r="AI9" i="3" s="1"/>
  <c r="AF9" i="3"/>
  <c r="AG9" i="3" s="1"/>
  <c r="BY10" i="3" l="1"/>
  <c r="BX10" i="3"/>
  <c r="BZ10" i="3" s="1"/>
  <c r="BA10" i="3"/>
  <c r="BC10" i="3" s="1"/>
  <c r="Z10" i="3"/>
  <c r="V10" i="3"/>
  <c r="Q10" i="3"/>
  <c r="M10" i="3"/>
  <c r="K10" i="3"/>
  <c r="L10" i="3" s="1"/>
  <c r="J10" i="3"/>
  <c r="I10" i="3"/>
  <c r="G10" i="3"/>
  <c r="E10" i="3"/>
  <c r="C10" i="3"/>
  <c r="AE10" i="3" s="1"/>
  <c r="BY9" i="3"/>
  <c r="BX9" i="3"/>
  <c r="BZ9" i="3" s="1"/>
  <c r="BB9" i="3"/>
  <c r="BA9" i="3"/>
  <c r="BC9" i="3" s="1"/>
  <c r="AD9" i="3"/>
  <c r="AE9" i="3" s="1"/>
  <c r="AB9" i="3"/>
  <c r="AC9" i="3" s="1"/>
  <c r="Z9" i="3"/>
  <c r="AA9" i="3" s="1"/>
  <c r="X9" i="3"/>
  <c r="Y9" i="3" s="1"/>
  <c r="V9" i="3"/>
  <c r="Q9" i="3"/>
  <c r="R9" i="3" s="1"/>
  <c r="O9" i="3"/>
  <c r="P9" i="3" s="1"/>
  <c r="M9" i="3"/>
  <c r="N9" i="3" s="1"/>
  <c r="K9" i="3"/>
  <c r="L9" i="3" s="1"/>
  <c r="I9" i="3"/>
  <c r="J9" i="3" s="1"/>
  <c r="G9" i="3"/>
  <c r="H9" i="3" s="1"/>
  <c r="E9" i="3"/>
  <c r="F9" i="3" s="1"/>
  <c r="D9" i="3"/>
  <c r="CC9" i="3" s="1"/>
  <c r="BY8" i="3"/>
  <c r="BX8" i="3"/>
  <c r="BZ8" i="3" s="1"/>
  <c r="BB8" i="3"/>
  <c r="BA8" i="3"/>
  <c r="BC8" i="3" s="1"/>
  <c r="AD8" i="3"/>
  <c r="AJ8" i="3" s="1"/>
  <c r="AL8" i="3" s="1"/>
  <c r="AC8" i="3"/>
  <c r="AA8" i="3"/>
  <c r="Y8" i="3"/>
  <c r="W8" i="3"/>
  <c r="R8" i="3"/>
  <c r="O8" i="3"/>
  <c r="S8" i="3" s="1"/>
  <c r="U8" i="3" s="1"/>
  <c r="M8" i="3"/>
  <c r="N8" i="3" s="1"/>
  <c r="L8" i="3"/>
  <c r="J8" i="3"/>
  <c r="H8" i="3"/>
  <c r="F8" i="3"/>
  <c r="D8" i="3"/>
  <c r="BY7" i="3"/>
  <c r="BX7" i="3"/>
  <c r="BZ7" i="3" s="1"/>
  <c r="BB7" i="3"/>
  <c r="BA7" i="3"/>
  <c r="BC7" i="3" s="1"/>
  <c r="AD7" i="3"/>
  <c r="AE7" i="3" s="1"/>
  <c r="AB7" i="3"/>
  <c r="AC7" i="3" s="1"/>
  <c r="Z7" i="3"/>
  <c r="AA7" i="3" s="1"/>
  <c r="X7" i="3"/>
  <c r="Y7" i="3" s="1"/>
  <c r="V7" i="3"/>
  <c r="W7" i="3" s="1"/>
  <c r="Q7" i="3"/>
  <c r="R7" i="3" s="1"/>
  <c r="O7" i="3"/>
  <c r="P7" i="3" s="1"/>
  <c r="M7" i="3"/>
  <c r="N7" i="3" s="1"/>
  <c r="K7" i="3"/>
  <c r="L7" i="3" s="1"/>
  <c r="I7" i="3"/>
  <c r="J7" i="3" s="1"/>
  <c r="G7" i="3"/>
  <c r="H7" i="3" s="1"/>
  <c r="E7" i="3"/>
  <c r="F7" i="3" s="1"/>
  <c r="D7" i="3"/>
  <c r="BY6" i="3"/>
  <c r="BX6" i="3"/>
  <c r="BZ6" i="3" s="1"/>
  <c r="BB6" i="3"/>
  <c r="BA6" i="3"/>
  <c r="BC6" i="3" s="1"/>
  <c r="AD6" i="3"/>
  <c r="AE6" i="3" s="1"/>
  <c r="AB6" i="3"/>
  <c r="AC6" i="3" s="1"/>
  <c r="Z6" i="3"/>
  <c r="AA6" i="3" s="1"/>
  <c r="X6" i="3"/>
  <c r="Y6" i="3" s="1"/>
  <c r="V6" i="3"/>
  <c r="W6" i="3" s="1"/>
  <c r="Q6" i="3"/>
  <c r="O6" i="3"/>
  <c r="P6" i="3" s="1"/>
  <c r="M6" i="3"/>
  <c r="N6" i="3" s="1"/>
  <c r="K6" i="3"/>
  <c r="L6" i="3" s="1"/>
  <c r="I6" i="3"/>
  <c r="J6" i="3" s="1"/>
  <c r="G6" i="3"/>
  <c r="H6" i="3" s="1"/>
  <c r="E6" i="3"/>
  <c r="F6" i="3" s="1"/>
  <c r="D6" i="3"/>
  <c r="BY5" i="3"/>
  <c r="BX5" i="3"/>
  <c r="BZ5" i="3" s="1"/>
  <c r="BB5" i="3"/>
  <c r="BA5" i="3"/>
  <c r="BC5" i="3" s="1"/>
  <c r="AJ5" i="3"/>
  <c r="AL5" i="3" s="1"/>
  <c r="AE5" i="3"/>
  <c r="AC5" i="3"/>
  <c r="AA5" i="3"/>
  <c r="Y5" i="3"/>
  <c r="W5" i="3"/>
  <c r="S5" i="3"/>
  <c r="U5" i="3" s="1"/>
  <c r="R5" i="3"/>
  <c r="P5" i="3"/>
  <c r="N5" i="3"/>
  <c r="L5" i="3"/>
  <c r="J5" i="3"/>
  <c r="H5" i="3"/>
  <c r="F5" i="3"/>
  <c r="D5" i="3"/>
  <c r="BY4" i="3"/>
  <c r="BX4" i="3"/>
  <c r="BZ4" i="3" s="1"/>
  <c r="BB4" i="3"/>
  <c r="BA4" i="3"/>
  <c r="BC4" i="3" s="1"/>
  <c r="AJ4" i="3"/>
  <c r="AL4" i="3" s="1"/>
  <c r="AE4" i="3"/>
  <c r="AC4" i="3"/>
  <c r="AA4" i="3"/>
  <c r="Y4" i="3"/>
  <c r="W4" i="3"/>
  <c r="S4" i="3"/>
  <c r="U4" i="3" s="1"/>
  <c r="R4" i="3"/>
  <c r="P4" i="3"/>
  <c r="N4" i="3"/>
  <c r="L4" i="3"/>
  <c r="J4" i="3"/>
  <c r="H4" i="3"/>
  <c r="F4" i="3"/>
  <c r="D4" i="3"/>
  <c r="T4" i="3" l="1"/>
  <c r="T9" i="3"/>
  <c r="P8" i="3"/>
  <c r="AE8" i="3"/>
  <c r="AA10" i="3"/>
  <c r="AC10" i="3"/>
  <c r="AC11" i="3" s="1"/>
  <c r="AG10" i="3"/>
  <c r="AG11" i="3" s="1"/>
  <c r="S6" i="3"/>
  <c r="U6" i="3" s="1"/>
  <c r="AJ9" i="3"/>
  <c r="AL9" i="3" s="1"/>
  <c r="AJ10" i="3"/>
  <c r="AL10" i="3" s="1"/>
  <c r="D10" i="3"/>
  <c r="D11" i="3" s="1"/>
  <c r="P10" i="3"/>
  <c r="AK4" i="3"/>
  <c r="T8" i="3"/>
  <c r="F10" i="3"/>
  <c r="F11" i="3" s="1"/>
  <c r="S10" i="3"/>
  <c r="U10" i="3" s="1"/>
  <c r="T5" i="3"/>
  <c r="N10" i="3"/>
  <c r="N11" i="3" s="1"/>
  <c r="AN10" i="3"/>
  <c r="AI10" i="3"/>
  <c r="AI11" i="3" s="1"/>
  <c r="H10" i="3"/>
  <c r="H11" i="3" s="1"/>
  <c r="W10" i="3"/>
  <c r="AK5" i="3"/>
  <c r="AK8" i="3"/>
  <c r="Y10" i="3"/>
  <c r="Y11" i="3" s="1"/>
  <c r="AP10" i="3"/>
  <c r="AP11" i="3" s="1"/>
  <c r="L11" i="3"/>
  <c r="AK6" i="3"/>
  <c r="T7" i="3"/>
  <c r="AE11" i="3"/>
  <c r="AK7" i="3"/>
  <c r="P11" i="3"/>
  <c r="J11" i="3"/>
  <c r="AJ6" i="3"/>
  <c r="AL6" i="3" s="1"/>
  <c r="S7" i="3"/>
  <c r="U7" i="3" s="1"/>
  <c r="S9" i="3"/>
  <c r="U9" i="3" s="1"/>
  <c r="R6" i="3"/>
  <c r="AA11" i="3"/>
  <c r="AJ7" i="3"/>
  <c r="AL7" i="3" s="1"/>
  <c r="W9" i="3"/>
  <c r="AK9" i="3" s="1"/>
  <c r="R10" i="3"/>
  <c r="BW7" i="2"/>
  <c r="BW6" i="2"/>
  <c r="BU6" i="2"/>
  <c r="BU7" i="2"/>
  <c r="BW9" i="2"/>
  <c r="BU9" i="2"/>
  <c r="AK10" i="3" l="1"/>
  <c r="T10" i="3"/>
  <c r="AN11" i="3"/>
  <c r="BB11" i="3" s="1"/>
  <c r="BB10" i="3"/>
  <c r="T6" i="3"/>
  <c r="R11" i="3"/>
  <c r="W11" i="3"/>
  <c r="AK11" i="3" s="1"/>
  <c r="BS9" i="2"/>
  <c r="Y9" i="2"/>
  <c r="AT9" i="2"/>
  <c r="T11" i="3" l="1"/>
  <c r="BQ8" i="2"/>
  <c r="BQ7" i="2"/>
  <c r="BQ6" i="2"/>
  <c r="BO8" i="2"/>
  <c r="BO7" i="2"/>
  <c r="BO6" i="2"/>
  <c r="BM7" i="2"/>
  <c r="BM6" i="2"/>
  <c r="BK7" i="2"/>
  <c r="BK6" i="2"/>
  <c r="AZ7" i="2"/>
  <c r="AZ6" i="2"/>
  <c r="AZ4" i="2"/>
  <c r="AX7" i="2"/>
  <c r="AX6" i="2"/>
  <c r="AV7" i="2"/>
  <c r="AV6" i="2"/>
  <c r="AT7" i="2"/>
  <c r="AT6" i="2"/>
  <c r="AT4" i="2"/>
  <c r="AR7" i="2"/>
  <c r="AR6" i="2"/>
  <c r="AP7" i="2"/>
  <c r="AP6" i="2"/>
  <c r="AN6" i="2"/>
  <c r="AN7" i="2"/>
  <c r="AI7" i="2"/>
  <c r="AI6" i="2"/>
  <c r="AG7" i="2"/>
  <c r="AG6" i="2"/>
  <c r="AE7" i="2"/>
  <c r="AE6" i="2"/>
  <c r="AC7" i="2"/>
  <c r="AC6" i="2"/>
  <c r="BQ9" i="2"/>
  <c r="BO9" i="2"/>
  <c r="BM9" i="2"/>
  <c r="BK9" i="2"/>
  <c r="AZ9" i="2"/>
  <c r="AX9" i="2"/>
  <c r="AV9" i="2"/>
  <c r="AR9" i="2"/>
  <c r="AP9" i="2"/>
  <c r="AN9" i="2"/>
  <c r="AI9" i="2"/>
  <c r="AG9" i="2"/>
  <c r="AE9" i="2"/>
  <c r="AC9" i="2"/>
  <c r="AA9" i="2"/>
  <c r="AA7" i="2"/>
  <c r="AA6" i="2"/>
  <c r="Y7" i="2"/>
  <c r="Y6" i="2"/>
  <c r="R8" i="2"/>
  <c r="R7" i="2"/>
  <c r="R6" i="2"/>
  <c r="R9" i="2"/>
  <c r="P9" i="2"/>
  <c r="P7" i="2"/>
  <c r="P6" i="2"/>
  <c r="S11" i="2" l="1"/>
  <c r="Q11" i="2"/>
  <c r="O11" i="2"/>
  <c r="M11" i="2"/>
  <c r="K11" i="2"/>
  <c r="I11" i="2"/>
  <c r="G11" i="2"/>
  <c r="E11" i="2"/>
  <c r="O5" i="2" l="1"/>
  <c r="O6" i="2"/>
  <c r="O7" i="2"/>
  <c r="O8" i="2"/>
  <c r="O9" i="2"/>
  <c r="O10" i="2"/>
  <c r="O4" i="2"/>
  <c r="M5" i="2"/>
  <c r="M6" i="2"/>
  <c r="M7" i="2"/>
  <c r="M8" i="2"/>
  <c r="M9" i="2"/>
  <c r="M10" i="2"/>
  <c r="M4" i="2"/>
  <c r="K5" i="2"/>
  <c r="K6" i="2"/>
  <c r="K7" i="2"/>
  <c r="K8" i="2"/>
  <c r="K9" i="2"/>
  <c r="K10" i="2"/>
  <c r="K4" i="2"/>
  <c r="N8" i="2" l="1"/>
  <c r="N7" i="2"/>
  <c r="N6" i="2"/>
  <c r="L7" i="2"/>
  <c r="L6" i="2"/>
  <c r="L8" i="2"/>
  <c r="N9" i="2"/>
  <c r="L9" i="2"/>
  <c r="J9" i="2"/>
  <c r="CB6" i="1" l="1"/>
  <c r="CB7" i="1"/>
  <c r="CB8" i="1"/>
  <c r="CB9" i="1"/>
  <c r="CB10" i="1"/>
  <c r="CB5" i="1" l="1"/>
  <c r="CB4" i="1"/>
  <c r="I5" i="2"/>
  <c r="I6" i="2"/>
  <c r="I7" i="2"/>
  <c r="I8" i="2"/>
  <c r="I9" i="2"/>
  <c r="I10" i="2"/>
  <c r="I4" i="2"/>
  <c r="G5" i="2"/>
  <c r="G6" i="2"/>
  <c r="G7" i="2"/>
  <c r="G8" i="2"/>
  <c r="G9" i="2"/>
  <c r="G10" i="2"/>
  <c r="G4" i="2"/>
  <c r="BZ5" i="1"/>
  <c r="BZ6" i="1"/>
  <c r="BZ7" i="1"/>
  <c r="BZ8" i="1"/>
  <c r="BZ9" i="1"/>
  <c r="BZ10" i="1"/>
  <c r="BZ4" i="1"/>
  <c r="CA4" i="1"/>
  <c r="CA5" i="1"/>
  <c r="CA6" i="1"/>
  <c r="CA7" i="1"/>
  <c r="CA8" i="1"/>
  <c r="CA10" i="1"/>
  <c r="CA9" i="1"/>
  <c r="BV5" i="1"/>
  <c r="BV6" i="1"/>
  <c r="BV7" i="1"/>
  <c r="BV8" i="1"/>
  <c r="BV9" i="1"/>
  <c r="BV10" i="1"/>
  <c r="BV4" i="1"/>
  <c r="H6" i="2" l="1"/>
  <c r="H7" i="2"/>
  <c r="H9" i="2"/>
  <c r="F9" i="2"/>
  <c r="F7" i="2"/>
  <c r="F6" i="2"/>
  <c r="BU9" i="1"/>
  <c r="BU8" i="1"/>
  <c r="BU7" i="1"/>
  <c r="BU6" i="1"/>
  <c r="BW5" i="1" l="1"/>
  <c r="BX5" i="1"/>
  <c r="BW6" i="1"/>
  <c r="BX6" i="1"/>
  <c r="BW7" i="1"/>
  <c r="BX7" i="1"/>
  <c r="BW8" i="1"/>
  <c r="BX8" i="1"/>
  <c r="BW9" i="1"/>
  <c r="BX9" i="1"/>
  <c r="BW10" i="1"/>
  <c r="BX10" i="1"/>
  <c r="BX4" i="1"/>
  <c r="BW4" i="1"/>
  <c r="BY10" i="2"/>
  <c r="CA10" i="2" s="1"/>
  <c r="BB10" i="2"/>
  <c r="BD10" i="2" s="1"/>
  <c r="AK10" i="2"/>
  <c r="AM10" i="2" s="1"/>
  <c r="T10" i="2"/>
  <c r="V10" i="2" s="1"/>
  <c r="D10" i="2"/>
  <c r="BY9" i="2"/>
  <c r="CA9" i="2" s="1"/>
  <c r="BB9" i="2"/>
  <c r="BD9" i="2" s="1"/>
  <c r="AL9" i="2"/>
  <c r="T9" i="2"/>
  <c r="V9" i="2" s="1"/>
  <c r="E9" i="2"/>
  <c r="BY8" i="2"/>
  <c r="CA8" i="2" s="1"/>
  <c r="BC8" i="2"/>
  <c r="AK8" i="2"/>
  <c r="AM8" i="2" s="1"/>
  <c r="AL8" i="2"/>
  <c r="U8" i="2"/>
  <c r="T8" i="2"/>
  <c r="V8" i="2" s="1"/>
  <c r="E8" i="2"/>
  <c r="BY7" i="2"/>
  <c r="CA7" i="2" s="1"/>
  <c r="BC7" i="2"/>
  <c r="AL7" i="2"/>
  <c r="AK7" i="2"/>
  <c r="AM7" i="2" s="1"/>
  <c r="E7" i="2"/>
  <c r="BZ6" i="2"/>
  <c r="T6" i="2"/>
  <c r="V6" i="2" s="1"/>
  <c r="E6" i="2"/>
  <c r="BY5" i="2"/>
  <c r="CA5" i="2" s="1"/>
  <c r="BB5" i="2"/>
  <c r="BD5" i="2" s="1"/>
  <c r="BC5" i="2"/>
  <c r="AK5" i="2"/>
  <c r="AM5" i="2" s="1"/>
  <c r="AL5" i="2"/>
  <c r="T5" i="2"/>
  <c r="V5" i="2" s="1"/>
  <c r="E5" i="2"/>
  <c r="BY4" i="2"/>
  <c r="CA4" i="2" s="1"/>
  <c r="BZ4" i="2"/>
  <c r="BC4" i="2"/>
  <c r="BB4" i="2"/>
  <c r="BD4" i="2" s="1"/>
  <c r="AK4" i="2"/>
  <c r="AM4" i="2" s="1"/>
  <c r="AL4" i="2"/>
  <c r="T4" i="2"/>
  <c r="V4" i="2" s="1"/>
  <c r="U4" i="2"/>
  <c r="E4" i="2"/>
  <c r="AL6" i="2" l="1"/>
  <c r="BZ5" i="2"/>
  <c r="AK6" i="2"/>
  <c r="AM6" i="2" s="1"/>
  <c r="U7" i="2"/>
  <c r="U6" i="2"/>
  <c r="BZ9" i="2"/>
  <c r="AK9" i="2"/>
  <c r="AM9" i="2" s="1"/>
  <c r="BB6" i="2"/>
  <c r="BD6" i="2" s="1"/>
  <c r="BC6" i="2"/>
  <c r="BZ7" i="2"/>
  <c r="U9" i="2"/>
  <c r="BZ8" i="2"/>
  <c r="BZ10" i="2"/>
  <c r="U5" i="2"/>
  <c r="BY6" i="2"/>
  <c r="CA6" i="2" s="1"/>
  <c r="T7" i="2"/>
  <c r="V7" i="2" s="1"/>
  <c r="BB7" i="2"/>
  <c r="BD7" i="2" s="1"/>
  <c r="BB8" i="2"/>
  <c r="BD8" i="2" s="1"/>
  <c r="E10" i="2"/>
  <c r="BC9" i="2"/>
  <c r="BC10" i="2"/>
  <c r="BT5" i="1"/>
  <c r="BT6" i="1"/>
  <c r="BT7" i="1"/>
  <c r="BT8" i="1"/>
  <c r="BT9" i="1"/>
  <c r="BT10" i="1"/>
  <c r="BT4" i="1"/>
  <c r="BP5" i="1"/>
  <c r="BP6" i="1"/>
  <c r="BP7" i="1"/>
  <c r="BP8" i="1"/>
  <c r="BP9" i="1"/>
  <c r="BP10" i="1"/>
  <c r="BP4" i="1"/>
  <c r="BS9" i="1"/>
  <c r="BS7" i="1"/>
  <c r="BS6" i="1"/>
  <c r="BO9" i="1"/>
  <c r="BO6" i="1"/>
  <c r="BO7" i="1"/>
  <c r="U11" i="2" l="1"/>
  <c r="U10" i="2"/>
  <c r="AL10" i="2"/>
  <c r="BY6" i="1"/>
  <c r="BY7" i="1"/>
  <c r="BY8" i="1"/>
  <c r="BY9" i="1"/>
  <c r="BY10" i="1"/>
  <c r="BY4" i="1"/>
  <c r="BY5" i="1"/>
  <c r="BD5" i="1"/>
  <c r="BD6" i="1"/>
  <c r="BD7" i="1"/>
  <c r="BD8" i="1"/>
  <c r="BD9" i="1"/>
  <c r="BD10" i="1"/>
  <c r="BD4" i="1"/>
  <c r="AM5" i="1"/>
  <c r="AM6" i="1"/>
  <c r="AM7" i="1"/>
  <c r="AM8" i="1"/>
  <c r="AM9" i="1"/>
  <c r="AM10" i="1"/>
  <c r="AM4" i="1"/>
  <c r="AR9" i="1"/>
  <c r="BB10" i="1"/>
  <c r="BB5" i="1"/>
  <c r="BB4" i="1"/>
  <c r="AK5" i="1"/>
  <c r="AK8" i="1"/>
  <c r="AK10" i="1"/>
  <c r="T6" i="1" l="1"/>
  <c r="V6" i="1" s="1"/>
  <c r="T8" i="1"/>
  <c r="T9" i="1"/>
  <c r="V9" i="1" s="1"/>
  <c r="T10" i="1"/>
  <c r="V8" i="1" l="1"/>
  <c r="V10" i="1"/>
  <c r="BM9" i="1"/>
  <c r="BN5" i="1" l="1"/>
  <c r="BN6" i="1"/>
  <c r="BN7" i="1"/>
  <c r="BN8" i="1"/>
  <c r="BN9" i="1"/>
  <c r="BN4" i="1"/>
  <c r="BL5" i="1"/>
  <c r="BL9" i="1"/>
  <c r="BL4" i="1"/>
  <c r="BJ5" i="1"/>
  <c r="BJ6" i="1"/>
  <c r="BJ4" i="1"/>
  <c r="BH5" i="1"/>
  <c r="BH8" i="1"/>
  <c r="BH4" i="1"/>
  <c r="BF5" i="1"/>
  <c r="BF8" i="1"/>
  <c r="BF4" i="1"/>
  <c r="BA5" i="1"/>
  <c r="BA8" i="1"/>
  <c r="BA4" i="1"/>
  <c r="AY5" i="1"/>
  <c r="AY4" i="1"/>
  <c r="AW5" i="1"/>
  <c r="AW6" i="1"/>
  <c r="AW7" i="1"/>
  <c r="AW8" i="1"/>
  <c r="AW4" i="1"/>
  <c r="BK9" i="1"/>
  <c r="AU5" i="1"/>
  <c r="AU6" i="1"/>
  <c r="AU7" i="1"/>
  <c r="AU8" i="1"/>
  <c r="AU4" i="1"/>
  <c r="AS5" i="1"/>
  <c r="AS6" i="1"/>
  <c r="AS7" i="1"/>
  <c r="AS8" i="1"/>
  <c r="AS4" i="1"/>
  <c r="AQ4" i="1"/>
  <c r="BK6" i="1" l="1"/>
  <c r="BK8" i="1"/>
  <c r="BL8" i="1" s="1"/>
  <c r="BK7" i="1"/>
  <c r="BL7" i="1" s="1"/>
  <c r="BL6" i="1" l="1"/>
  <c r="BI8" i="1"/>
  <c r="BI7" i="1"/>
  <c r="BI9" i="1"/>
  <c r="BG7" i="1"/>
  <c r="BH7" i="1" s="1"/>
  <c r="BG6" i="1"/>
  <c r="BH6" i="1" s="1"/>
  <c r="BG9" i="1"/>
  <c r="BH9" i="1" s="1"/>
  <c r="BJ7" i="1" l="1"/>
  <c r="BJ9" i="1"/>
  <c r="BJ8" i="1"/>
  <c r="BE7" i="1"/>
  <c r="BF7" i="1" s="1"/>
  <c r="BE6" i="1"/>
  <c r="BF6" i="1" s="1"/>
  <c r="AZ7" i="1"/>
  <c r="BA7" i="1" s="1"/>
  <c r="AZ6" i="1"/>
  <c r="BA6" i="1" s="1"/>
  <c r="AX7" i="1"/>
  <c r="AX6" i="1"/>
  <c r="AX8" i="1"/>
  <c r="BE9" i="1"/>
  <c r="BF9" i="1" s="1"/>
  <c r="AZ9" i="1"/>
  <c r="BA9" i="1" s="1"/>
  <c r="AX9" i="1"/>
  <c r="AY9" i="1" s="1"/>
  <c r="BB7" i="1" l="1"/>
  <c r="AY7" i="1"/>
  <c r="BB8" i="1"/>
  <c r="AY8" i="1"/>
  <c r="BB6" i="1"/>
  <c r="AY6" i="1"/>
  <c r="AV9" i="1"/>
  <c r="AW9" i="1" s="1"/>
  <c r="AT9" i="1"/>
  <c r="AU9" i="1" s="1"/>
  <c r="AS9" i="1"/>
  <c r="AQ5" i="1" l="1"/>
  <c r="AQ6" i="1"/>
  <c r="AQ7" i="1"/>
  <c r="AQ8" i="1"/>
  <c r="AO5" i="1"/>
  <c r="BC5" i="1" s="1"/>
  <c r="AO6" i="1"/>
  <c r="BC6" i="1" s="1"/>
  <c r="AO7" i="1"/>
  <c r="BC7" i="1" s="1"/>
  <c r="AO8" i="1"/>
  <c r="BC8" i="1" s="1"/>
  <c r="AO4" i="1"/>
  <c r="BC4" i="1" s="1"/>
  <c r="AJ5" i="1"/>
  <c r="AJ7" i="1"/>
  <c r="AJ8" i="1"/>
  <c r="AJ4" i="1"/>
  <c r="AH5" i="1"/>
  <c r="AH7" i="1"/>
  <c r="AH8" i="1"/>
  <c r="AP9" i="1" l="1"/>
  <c r="AQ9" i="1" s="1"/>
  <c r="AN9" i="1"/>
  <c r="AI9" i="1"/>
  <c r="AJ9" i="1" s="1"/>
  <c r="AI6" i="1"/>
  <c r="AJ6" i="1" s="1"/>
  <c r="AG9" i="1"/>
  <c r="AH9" i="1" s="1"/>
  <c r="BB9" i="1" l="1"/>
  <c r="AO9" i="1"/>
  <c r="BC9" i="1" s="1"/>
  <c r="AG6" i="1"/>
  <c r="AH6" i="1" s="1"/>
  <c r="AG4" i="1"/>
  <c r="AH4" i="1" s="1"/>
  <c r="AF5" i="1" l="1"/>
  <c r="AF6" i="1"/>
  <c r="AF7" i="1"/>
  <c r="AF8" i="1"/>
  <c r="AF4" i="1"/>
  <c r="AD5" i="1"/>
  <c r="AD6" i="1"/>
  <c r="AD7" i="1"/>
  <c r="AD8" i="1"/>
  <c r="AD4" i="1"/>
  <c r="AB5" i="1"/>
  <c r="AB7" i="1"/>
  <c r="AB8" i="1"/>
  <c r="Z5" i="1"/>
  <c r="Z6" i="1"/>
  <c r="Z8" i="1"/>
  <c r="AE9" i="1" l="1"/>
  <c r="AF9" i="1" s="1"/>
  <c r="AC9" i="1" l="1"/>
  <c r="AD9" i="1" s="1"/>
  <c r="AA9" i="1"/>
  <c r="AB9" i="1" s="1"/>
  <c r="AA6" i="1"/>
  <c r="AA4" i="1"/>
  <c r="AB4" i="1" s="1"/>
  <c r="Y9" i="1"/>
  <c r="Z9" i="1" s="1"/>
  <c r="Y7" i="1"/>
  <c r="Z7" i="1" s="1"/>
  <c r="Y4" i="1"/>
  <c r="Z4" i="1" s="1"/>
  <c r="AK6" i="1" l="1"/>
  <c r="AB6" i="1"/>
  <c r="X5" i="1"/>
  <c r="AL5" i="1" s="1"/>
  <c r="X6" i="1"/>
  <c r="AL6" i="1" s="1"/>
  <c r="X8" i="1"/>
  <c r="AL8" i="1" s="1"/>
  <c r="S5" i="1"/>
  <c r="S6" i="1"/>
  <c r="S7" i="1"/>
  <c r="S8" i="1"/>
  <c r="S9" i="1"/>
  <c r="Q5" i="1"/>
  <c r="Q6" i="1"/>
  <c r="Q8" i="1"/>
  <c r="Q9" i="1"/>
  <c r="O6" i="1"/>
  <c r="O7" i="1"/>
  <c r="O8" i="1"/>
  <c r="O9" i="1"/>
  <c r="O4" i="1"/>
  <c r="W9" i="1" l="1"/>
  <c r="W7" i="1"/>
  <c r="W4" i="1"/>
  <c r="R4" i="1"/>
  <c r="P4" i="1"/>
  <c r="Q4" i="1" s="1"/>
  <c r="P7" i="1"/>
  <c r="N5" i="1"/>
  <c r="T4" i="1" l="1"/>
  <c r="V4" i="1" s="1"/>
  <c r="S4" i="1"/>
  <c r="AK7" i="1"/>
  <c r="X7" i="1"/>
  <c r="AL7" i="1" s="1"/>
  <c r="O5" i="1"/>
  <c r="AK4" i="1"/>
  <c r="X4" i="1"/>
  <c r="AL4" i="1" s="1"/>
  <c r="AK9" i="1"/>
  <c r="X9" i="1"/>
  <c r="AL9" i="1" s="1"/>
  <c r="T7" i="1"/>
  <c r="V7" i="1" s="1"/>
  <c r="Q7" i="1"/>
  <c r="M6" i="1"/>
  <c r="M7" i="1"/>
  <c r="M8" i="1"/>
  <c r="M9" i="1"/>
  <c r="M4" i="1"/>
  <c r="K5" i="1"/>
  <c r="K6" i="1"/>
  <c r="K7" i="1"/>
  <c r="K8" i="1"/>
  <c r="K9" i="1"/>
  <c r="K4" i="1"/>
  <c r="L5" i="1" l="1"/>
  <c r="M5" i="1" l="1"/>
  <c r="T5" i="1"/>
  <c r="I9" i="1"/>
  <c r="I5" i="1"/>
  <c r="I6" i="1"/>
  <c r="I7" i="1"/>
  <c r="I8" i="1"/>
  <c r="I4" i="1"/>
  <c r="U9" i="1" l="1"/>
  <c r="U4" i="1"/>
  <c r="V5" i="1"/>
  <c r="G5" i="1"/>
  <c r="U5" i="1" s="1"/>
  <c r="G6" i="1"/>
  <c r="U6" i="1" s="1"/>
  <c r="G7" i="1"/>
  <c r="U7" i="1" s="1"/>
  <c r="G8" i="1"/>
  <c r="U8" i="1" s="1"/>
  <c r="G9" i="1"/>
  <c r="G4" i="1"/>
  <c r="D10" i="1" l="1"/>
  <c r="E9" i="1"/>
  <c r="E8" i="1"/>
  <c r="E7" i="1"/>
  <c r="E6" i="1"/>
  <c r="E5" i="1"/>
  <c r="E4" i="1"/>
  <c r="E10" i="1" l="1"/>
  <c r="BL10" i="1"/>
  <c r="BJ10" i="1"/>
  <c r="BF10" i="1"/>
  <c r="AS10" i="1"/>
  <c r="BH10" i="1"/>
  <c r="AU10" i="1"/>
  <c r="BA10" i="1"/>
  <c r="BN10" i="1"/>
  <c r="AW10" i="1"/>
  <c r="AY10" i="1"/>
  <c r="AO10" i="1"/>
  <c r="BC10" i="1" s="1"/>
  <c r="AH10" i="1"/>
  <c r="AJ10" i="1"/>
  <c r="AQ10" i="1"/>
  <c r="AF10" i="1"/>
  <c r="AB10" i="1"/>
  <c r="AD10" i="1"/>
  <c r="Z10" i="1"/>
  <c r="S10" i="1"/>
  <c r="O10" i="1"/>
  <c r="X10" i="1"/>
  <c r="AL10" i="1" s="1"/>
  <c r="Q10" i="1"/>
  <c r="M10" i="1"/>
  <c r="K10" i="1"/>
  <c r="I10" i="1"/>
  <c r="G10" i="1"/>
  <c r="U10" i="1" l="1"/>
</calcChain>
</file>

<file path=xl/sharedStrings.xml><?xml version="1.0" encoding="utf-8"?>
<sst xmlns="http://schemas.openxmlformats.org/spreadsheetml/2006/main" count="295" uniqueCount="27">
  <si>
    <t>Make-up</t>
  </si>
  <si>
    <t>Capacity/day</t>
  </si>
  <si>
    <t>Units</t>
  </si>
  <si>
    <t>Unit wt(indicxative)</t>
  </si>
  <si>
    <t>Kg</t>
  </si>
  <si>
    <t>6 INCH Y-CONE BF</t>
  </si>
  <si>
    <t>4 INCH Y-CONE BF</t>
  </si>
  <si>
    <t>4 INCH Y-CONE MF</t>
  </si>
  <si>
    <t>3.25 INCH Y-CONE SF</t>
  </si>
  <si>
    <t>2 INCH Y-CONE</t>
  </si>
  <si>
    <t>4 INCH V-CONE</t>
  </si>
  <si>
    <t>2 INCH PAPER TUBE</t>
  </si>
  <si>
    <t>note-</t>
  </si>
  <si>
    <t>11.06.26-power cut</t>
  </si>
  <si>
    <t>Week total</t>
  </si>
  <si>
    <t>U%</t>
  </si>
  <si>
    <t>U% CAPACITY</t>
  </si>
  <si>
    <t>29 working days</t>
  </si>
  <si>
    <t>28.06.2026-off</t>
  </si>
  <si>
    <t>MONTHLY U% CAPACITY</t>
  </si>
  <si>
    <t>Unit wt(indicative)</t>
  </si>
  <si>
    <t>Total-kg</t>
  </si>
  <si>
    <t>winding production data</t>
  </si>
  <si>
    <t>NIGHT CLOSE</t>
  </si>
  <si>
    <t>DATE-20/08/2026-24/08/2026</t>
  </si>
  <si>
    <t>DEPARTMENT CLOSE</t>
  </si>
  <si>
    <t>Month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</si>
</sst>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name val="Calibri"/>
      <family val="2"/>
    </font>
    <font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3" borderId="1" xfId="0" applyFill="1" applyBorder="1" applyAlignment="1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B16"/>
  <sheetViews>
    <sheetView workbookViewId="0">
      <pane xSplit="9" ySplit="9" topLeftCell="BM10" activePane="bottomRight" state="frozen"/>
      <selection pane="topRight" activeCell="J1" sqref="J1"/>
      <selection pane="bottomLeft" activeCell="A10" sqref="A10"/>
      <selection pane="bottomRight" activeCell="I22" sqref="I22"/>
    </sheetView>
  </sheetViews>
  <sheetFormatPr defaultRowHeight="15" x14ac:dyDescent="0.25"/>
  <cols>
    <col min="1" max="1" width="9.140625" style="5"/>
    <col min="2" max="2" width="22.85546875" style="5" customWidth="1"/>
    <col min="3" max="4" width="9.140625" style="5"/>
    <col min="5" max="5" width="7.7109375" style="5" customWidth="1"/>
    <col min="6" max="6" width="5.5703125" style="5" bestFit="1" customWidth="1"/>
    <col min="7" max="7" width="8" style="5" bestFit="1" customWidth="1"/>
    <col min="8" max="8" width="9.140625" style="5"/>
    <col min="9" max="9" width="8" style="5" bestFit="1" customWidth="1"/>
    <col min="10" max="19" width="9.140625" style="5"/>
    <col min="20" max="22" width="9.140625" style="19"/>
    <col min="23" max="36" width="9.140625" style="5"/>
    <col min="37" max="39" width="9.140625" style="20"/>
    <col min="40" max="53" width="9.140625" style="5"/>
    <col min="54" max="56" width="9.140625" style="20"/>
    <col min="57" max="74" width="9.140625" style="5"/>
    <col min="75" max="80" width="9.140625" style="20"/>
    <col min="81" max="16384" width="9.140625" style="5"/>
  </cols>
  <sheetData>
    <row r="1" spans="2:80" x14ac:dyDescent="0.25">
      <c r="F1" s="57"/>
      <c r="G1" s="58"/>
      <c r="H1" s="57"/>
      <c r="I1" s="58"/>
    </row>
    <row r="2" spans="2:80" ht="18.75" customHeight="1" x14ac:dyDescent="0.25">
      <c r="B2" s="6" t="s">
        <v>0</v>
      </c>
      <c r="C2" s="59" t="s">
        <v>1</v>
      </c>
      <c r="D2" s="59"/>
      <c r="E2" s="59"/>
      <c r="F2" s="55">
        <v>46174</v>
      </c>
      <c r="G2" s="56"/>
      <c r="H2" s="55">
        <v>46175</v>
      </c>
      <c r="I2" s="56"/>
      <c r="J2" s="55">
        <v>46176</v>
      </c>
      <c r="K2" s="56"/>
      <c r="L2" s="55">
        <v>46177</v>
      </c>
      <c r="M2" s="56"/>
      <c r="N2" s="55">
        <v>46178</v>
      </c>
      <c r="O2" s="56"/>
      <c r="P2" s="55">
        <v>46179</v>
      </c>
      <c r="Q2" s="56"/>
      <c r="R2" s="55">
        <v>46180</v>
      </c>
      <c r="S2" s="56"/>
      <c r="T2" s="52" t="s">
        <v>14</v>
      </c>
      <c r="U2" s="53"/>
      <c r="V2" s="54"/>
      <c r="W2" s="55">
        <v>46181</v>
      </c>
      <c r="X2" s="56"/>
      <c r="Y2" s="55">
        <v>46182</v>
      </c>
      <c r="Z2" s="56"/>
      <c r="AA2" s="55">
        <v>46183</v>
      </c>
      <c r="AB2" s="56"/>
      <c r="AC2" s="55">
        <v>46184</v>
      </c>
      <c r="AD2" s="56"/>
      <c r="AE2" s="55">
        <v>46185</v>
      </c>
      <c r="AF2" s="56"/>
      <c r="AG2" s="55">
        <v>46186</v>
      </c>
      <c r="AH2" s="56"/>
      <c r="AI2" s="55">
        <v>46187</v>
      </c>
      <c r="AJ2" s="56"/>
      <c r="AK2" s="52" t="s">
        <v>14</v>
      </c>
      <c r="AL2" s="53"/>
      <c r="AM2" s="54"/>
      <c r="AN2" s="55">
        <v>46188</v>
      </c>
      <c r="AO2" s="56"/>
      <c r="AP2" s="55">
        <v>46189</v>
      </c>
      <c r="AQ2" s="56"/>
      <c r="AR2" s="55">
        <v>46190</v>
      </c>
      <c r="AS2" s="56"/>
      <c r="AT2" s="55">
        <v>46191</v>
      </c>
      <c r="AU2" s="56"/>
      <c r="AV2" s="55">
        <v>46192</v>
      </c>
      <c r="AW2" s="56"/>
      <c r="AX2" s="55">
        <v>46193</v>
      </c>
      <c r="AY2" s="56"/>
      <c r="AZ2" s="55">
        <v>46194</v>
      </c>
      <c r="BA2" s="56"/>
      <c r="BB2" s="52" t="s">
        <v>14</v>
      </c>
      <c r="BC2" s="53"/>
      <c r="BD2" s="54"/>
      <c r="BE2" s="55">
        <v>46195</v>
      </c>
      <c r="BF2" s="56"/>
      <c r="BG2" s="55">
        <v>46196</v>
      </c>
      <c r="BH2" s="56"/>
      <c r="BI2" s="55">
        <v>46197</v>
      </c>
      <c r="BJ2" s="56"/>
      <c r="BK2" s="55">
        <v>46198</v>
      </c>
      <c r="BL2" s="56"/>
      <c r="BM2" s="55">
        <v>46199</v>
      </c>
      <c r="BN2" s="56"/>
      <c r="BO2" s="55">
        <v>46200</v>
      </c>
      <c r="BP2" s="56"/>
      <c r="BQ2" s="55">
        <v>46201</v>
      </c>
      <c r="BR2" s="56"/>
      <c r="BS2" s="55">
        <v>46202</v>
      </c>
      <c r="BT2" s="56"/>
      <c r="BU2" s="55">
        <v>46203</v>
      </c>
      <c r="BV2" s="56"/>
      <c r="BW2" s="52" t="s">
        <v>14</v>
      </c>
      <c r="BX2" s="53"/>
      <c r="BY2" s="54"/>
      <c r="BZ2" s="52" t="s">
        <v>19</v>
      </c>
      <c r="CA2" s="53"/>
      <c r="CB2" s="54"/>
    </row>
    <row r="3" spans="2:80" ht="45" x14ac:dyDescent="0.25">
      <c r="B3" s="6"/>
      <c r="C3" s="1" t="s">
        <v>2</v>
      </c>
      <c r="D3" s="2" t="s">
        <v>3</v>
      </c>
      <c r="E3" s="1" t="s">
        <v>4</v>
      </c>
      <c r="F3" s="3" t="s">
        <v>2</v>
      </c>
      <c r="G3" s="3" t="s">
        <v>4</v>
      </c>
      <c r="H3" s="3" t="s">
        <v>2</v>
      </c>
      <c r="I3" s="3" t="s">
        <v>4</v>
      </c>
      <c r="J3" s="3" t="s">
        <v>2</v>
      </c>
      <c r="K3" s="3" t="s">
        <v>4</v>
      </c>
      <c r="L3" s="3" t="s">
        <v>2</v>
      </c>
      <c r="M3" s="3" t="s">
        <v>4</v>
      </c>
      <c r="N3" s="3" t="s">
        <v>2</v>
      </c>
      <c r="O3" s="3" t="s">
        <v>4</v>
      </c>
      <c r="P3" s="3" t="s">
        <v>2</v>
      </c>
      <c r="Q3" s="3" t="s">
        <v>4</v>
      </c>
      <c r="R3" s="3" t="s">
        <v>2</v>
      </c>
      <c r="S3" s="3" t="s">
        <v>4</v>
      </c>
      <c r="T3" s="15" t="s">
        <v>2</v>
      </c>
      <c r="U3" s="15" t="s">
        <v>4</v>
      </c>
      <c r="V3" s="15" t="s">
        <v>15</v>
      </c>
      <c r="W3" s="3" t="s">
        <v>2</v>
      </c>
      <c r="X3" s="3" t="s">
        <v>4</v>
      </c>
      <c r="Y3" s="3" t="s">
        <v>2</v>
      </c>
      <c r="Z3" s="3" t="s">
        <v>4</v>
      </c>
      <c r="AA3" s="3" t="s">
        <v>2</v>
      </c>
      <c r="AB3" s="3" t="s">
        <v>4</v>
      </c>
      <c r="AC3" s="3" t="s">
        <v>2</v>
      </c>
      <c r="AD3" s="3" t="s">
        <v>4</v>
      </c>
      <c r="AE3" s="3" t="s">
        <v>2</v>
      </c>
      <c r="AF3" s="3" t="s">
        <v>4</v>
      </c>
      <c r="AG3" s="3" t="s">
        <v>2</v>
      </c>
      <c r="AH3" s="3" t="s">
        <v>4</v>
      </c>
      <c r="AI3" s="3" t="s">
        <v>2</v>
      </c>
      <c r="AJ3" s="3" t="s">
        <v>4</v>
      </c>
      <c r="AK3" s="15" t="s">
        <v>2</v>
      </c>
      <c r="AL3" s="15" t="s">
        <v>4</v>
      </c>
      <c r="AM3" s="15" t="s">
        <v>15</v>
      </c>
      <c r="AN3" s="3" t="s">
        <v>2</v>
      </c>
      <c r="AO3" s="3" t="s">
        <v>4</v>
      </c>
      <c r="AP3" s="3" t="s">
        <v>2</v>
      </c>
      <c r="AQ3" s="3" t="s">
        <v>4</v>
      </c>
      <c r="AR3" s="3" t="s">
        <v>2</v>
      </c>
      <c r="AS3" s="3" t="s">
        <v>4</v>
      </c>
      <c r="AT3" s="3" t="s">
        <v>2</v>
      </c>
      <c r="AU3" s="3" t="s">
        <v>4</v>
      </c>
      <c r="AV3" s="3" t="s">
        <v>2</v>
      </c>
      <c r="AW3" s="3" t="s">
        <v>4</v>
      </c>
      <c r="AX3" s="3" t="s">
        <v>2</v>
      </c>
      <c r="AY3" s="3" t="s">
        <v>4</v>
      </c>
      <c r="AZ3" s="3" t="s">
        <v>2</v>
      </c>
      <c r="BA3" s="3" t="s">
        <v>4</v>
      </c>
      <c r="BB3" s="15" t="s">
        <v>2</v>
      </c>
      <c r="BC3" s="15" t="s">
        <v>4</v>
      </c>
      <c r="BD3" s="15" t="s">
        <v>15</v>
      </c>
      <c r="BE3" s="3" t="s">
        <v>2</v>
      </c>
      <c r="BF3" s="3" t="s">
        <v>4</v>
      </c>
      <c r="BG3" s="3" t="s">
        <v>2</v>
      </c>
      <c r="BH3" s="3" t="s">
        <v>4</v>
      </c>
      <c r="BI3" s="3" t="s">
        <v>2</v>
      </c>
      <c r="BJ3" s="3" t="s">
        <v>4</v>
      </c>
      <c r="BK3" s="3" t="s">
        <v>2</v>
      </c>
      <c r="BL3" s="3" t="s">
        <v>4</v>
      </c>
      <c r="BM3" s="3" t="s">
        <v>2</v>
      </c>
      <c r="BN3" s="3" t="s">
        <v>4</v>
      </c>
      <c r="BO3" s="3" t="s">
        <v>2</v>
      </c>
      <c r="BP3" s="3" t="s">
        <v>4</v>
      </c>
      <c r="BQ3" s="3" t="s">
        <v>2</v>
      </c>
      <c r="BR3" s="3" t="s">
        <v>4</v>
      </c>
      <c r="BS3" s="3" t="s">
        <v>2</v>
      </c>
      <c r="BT3" s="3" t="s">
        <v>4</v>
      </c>
      <c r="BU3" s="3" t="s">
        <v>2</v>
      </c>
      <c r="BV3" s="3" t="s">
        <v>4</v>
      </c>
      <c r="BW3" s="15" t="s">
        <v>2</v>
      </c>
      <c r="BX3" s="15" t="s">
        <v>4</v>
      </c>
      <c r="BY3" s="15" t="s">
        <v>15</v>
      </c>
      <c r="BZ3" s="15" t="s">
        <v>2</v>
      </c>
      <c r="CA3" s="15" t="s">
        <v>4</v>
      </c>
      <c r="CB3" s="15" t="s">
        <v>15</v>
      </c>
    </row>
    <row r="4" spans="2:80" x14ac:dyDescent="0.25">
      <c r="B4" s="7" t="s">
        <v>5</v>
      </c>
      <c r="C4" s="1">
        <v>330</v>
      </c>
      <c r="D4" s="1">
        <v>0.9</v>
      </c>
      <c r="E4" s="1">
        <f>C4*D4</f>
        <v>297</v>
      </c>
      <c r="F4" s="3">
        <v>74</v>
      </c>
      <c r="G4" s="3">
        <f>F4*D4</f>
        <v>66.600000000000009</v>
      </c>
      <c r="H4" s="3">
        <v>190</v>
      </c>
      <c r="I4" s="9">
        <f>H4*D4</f>
        <v>171</v>
      </c>
      <c r="J4" s="3">
        <v>50</v>
      </c>
      <c r="K4" s="3">
        <f>J4*D4</f>
        <v>45</v>
      </c>
      <c r="L4" s="3">
        <v>0</v>
      </c>
      <c r="M4" s="3">
        <f>L4*D4</f>
        <v>0</v>
      </c>
      <c r="N4" s="3">
        <v>0</v>
      </c>
      <c r="O4" s="12">
        <f>N4*D4</f>
        <v>0</v>
      </c>
      <c r="P4" s="3">
        <f>39+95</f>
        <v>134</v>
      </c>
      <c r="Q4" s="3">
        <f>P4*D4</f>
        <v>120.60000000000001</v>
      </c>
      <c r="R4" s="3">
        <f>110+90</f>
        <v>200</v>
      </c>
      <c r="S4" s="3">
        <f>R4*D4</f>
        <v>180</v>
      </c>
      <c r="T4" s="15">
        <f>R4+P4+N4+H4+F4+J4+L4</f>
        <v>648</v>
      </c>
      <c r="U4" s="15">
        <f>S4+Q4+O4+I4+G4+K4+M4</f>
        <v>583.20000000000005</v>
      </c>
      <c r="V4" s="21">
        <f>T4/(C4*7)*100</f>
        <v>28.051948051948049</v>
      </c>
      <c r="W4" s="3">
        <f>120+110</f>
        <v>230</v>
      </c>
      <c r="X4" s="3">
        <f>W4*D4</f>
        <v>207</v>
      </c>
      <c r="Y4" s="3">
        <f>128+113</f>
        <v>241</v>
      </c>
      <c r="Z4" s="3">
        <f>Y4*D4</f>
        <v>216.9</v>
      </c>
      <c r="AA4" s="3">
        <f>132+114</f>
        <v>246</v>
      </c>
      <c r="AB4" s="3">
        <f>AA4*D4</f>
        <v>221.4</v>
      </c>
      <c r="AC4" s="3">
        <v>107</v>
      </c>
      <c r="AD4" s="3">
        <f>AC4*D4</f>
        <v>96.3</v>
      </c>
      <c r="AE4" s="3">
        <v>108</v>
      </c>
      <c r="AF4" s="3">
        <f>AE4*D4</f>
        <v>97.2</v>
      </c>
      <c r="AG4" s="3">
        <f>71+79</f>
        <v>150</v>
      </c>
      <c r="AH4" s="3">
        <f>AG4*D4</f>
        <v>135</v>
      </c>
      <c r="AI4" s="3">
        <v>100</v>
      </c>
      <c r="AJ4" s="3">
        <f>AI4*D4</f>
        <v>90</v>
      </c>
      <c r="AK4" s="15">
        <f>W4+Y4+AA4+AC4+AE4+AG4+AI4</f>
        <v>1182</v>
      </c>
      <c r="AL4" s="15">
        <f>X4+Z4+AB4+AD4+AF4+AH4+AJ4</f>
        <v>1063.8</v>
      </c>
      <c r="AM4" s="21">
        <f>AK4/(C4*7)*100</f>
        <v>51.168831168831161</v>
      </c>
      <c r="AN4" s="3">
        <v>108</v>
      </c>
      <c r="AO4" s="3">
        <f>AN4*D4</f>
        <v>97.2</v>
      </c>
      <c r="AP4" s="3">
        <v>108</v>
      </c>
      <c r="AQ4" s="3">
        <f>AP4*D4</f>
        <v>97.2</v>
      </c>
      <c r="AR4" s="3">
        <v>65</v>
      </c>
      <c r="AS4" s="18">
        <f>AR4*D4</f>
        <v>58.5</v>
      </c>
      <c r="AT4" s="3">
        <v>0</v>
      </c>
      <c r="AU4" s="18">
        <f>AT4*D4</f>
        <v>0</v>
      </c>
      <c r="AV4" s="3">
        <v>120</v>
      </c>
      <c r="AW4" s="3">
        <f>AV4*D4</f>
        <v>108</v>
      </c>
      <c r="AX4" s="3">
        <v>53</v>
      </c>
      <c r="AY4" s="3">
        <f>AX4*D4</f>
        <v>47.7</v>
      </c>
      <c r="AZ4" s="3">
        <v>33</v>
      </c>
      <c r="BA4" s="3">
        <f>AZ4*D4</f>
        <v>29.7</v>
      </c>
      <c r="BB4" s="15">
        <f>AN4+AP4+AR4+AT4+AV4+AX4+AZ4</f>
        <v>487</v>
      </c>
      <c r="BC4" s="15">
        <f>AO4+AQ4+AS4+AU4+AW4+AY4+BA4</f>
        <v>438.29999999999995</v>
      </c>
      <c r="BD4" s="21">
        <f>BB4/(C4*7)*100</f>
        <v>21.082251082251084</v>
      </c>
      <c r="BE4" s="3">
        <v>47</v>
      </c>
      <c r="BF4" s="3">
        <f>BE4*D4</f>
        <v>42.300000000000004</v>
      </c>
      <c r="BG4" s="3">
        <v>0</v>
      </c>
      <c r="BH4" s="3">
        <f>BG4*D4</f>
        <v>0</v>
      </c>
      <c r="BI4" s="3">
        <v>80</v>
      </c>
      <c r="BJ4" s="3">
        <f>BI4*D4</f>
        <v>72</v>
      </c>
      <c r="BK4" s="3">
        <v>95</v>
      </c>
      <c r="BL4" s="17">
        <f>BK4*D4</f>
        <v>85.5</v>
      </c>
      <c r="BM4" s="3">
        <v>0</v>
      </c>
      <c r="BN4" s="3">
        <f>BM4*D4</f>
        <v>0</v>
      </c>
      <c r="BO4" s="3">
        <v>110</v>
      </c>
      <c r="BP4" s="3">
        <f>BO4*D4</f>
        <v>99</v>
      </c>
      <c r="BQ4" s="23">
        <v>0</v>
      </c>
      <c r="BR4" s="23">
        <v>0</v>
      </c>
      <c r="BS4" s="3">
        <v>0</v>
      </c>
      <c r="BT4" s="3">
        <f t="shared" ref="BT4:BT10" si="0">BS4*D4</f>
        <v>0</v>
      </c>
      <c r="BU4" s="3">
        <v>0</v>
      </c>
      <c r="BV4" s="3">
        <f>BU4*D4</f>
        <v>0</v>
      </c>
      <c r="BW4" s="15">
        <f>BE4+BG4+BI4+BK4+BM4+BO4+BS4+BQ4+BU4</f>
        <v>332</v>
      </c>
      <c r="BX4" s="15">
        <f>BF4+BH4+BJ4+BL4+BN4+BP4+BT4+BR4+BV4</f>
        <v>298.8</v>
      </c>
      <c r="BY4" s="21">
        <f>BW4/(C4*7)*100</f>
        <v>14.372294372294373</v>
      </c>
      <c r="BZ4" s="15">
        <f t="shared" ref="BZ4:CA10" si="1">T4+AK4+BB4+BW4</f>
        <v>2649</v>
      </c>
      <c r="CA4" s="15">
        <f t="shared" si="1"/>
        <v>2384.1000000000004</v>
      </c>
      <c r="CB4" s="21">
        <f>BZ4/(C4*29)*100</f>
        <v>27.680250783699062</v>
      </c>
    </row>
    <row r="5" spans="2:80" x14ac:dyDescent="0.25">
      <c r="B5" s="7" t="s">
        <v>6</v>
      </c>
      <c r="C5" s="1">
        <v>124</v>
      </c>
      <c r="D5" s="1">
        <v>0.5</v>
      </c>
      <c r="E5" s="4">
        <f t="shared" ref="E5:E10" si="2">C5*D5</f>
        <v>62</v>
      </c>
      <c r="F5" s="3">
        <v>0</v>
      </c>
      <c r="G5" s="8">
        <f t="shared" ref="G5:G10" si="3">F5*D5</f>
        <v>0</v>
      </c>
      <c r="H5" s="3">
        <v>0</v>
      </c>
      <c r="I5" s="9">
        <f t="shared" ref="I5:I10" si="4">H5*D5</f>
        <v>0</v>
      </c>
      <c r="J5" s="3">
        <v>87</v>
      </c>
      <c r="K5" s="10">
        <f t="shared" ref="K5:K10" si="5">J5*D5</f>
        <v>43.5</v>
      </c>
      <c r="L5" s="3">
        <f>56+152</f>
        <v>208</v>
      </c>
      <c r="M5" s="10">
        <f t="shared" ref="M5:M10" si="6">L5*D5</f>
        <v>104</v>
      </c>
      <c r="N5" s="3">
        <f>318+43</f>
        <v>361</v>
      </c>
      <c r="O5" s="12">
        <f t="shared" ref="O5:O10" si="7">N5*D5</f>
        <v>180.5</v>
      </c>
      <c r="P5" s="3">
        <v>44</v>
      </c>
      <c r="Q5" s="12">
        <f t="shared" ref="Q5:Q10" si="8">P5*D5</f>
        <v>22</v>
      </c>
      <c r="R5" s="3">
        <v>0</v>
      </c>
      <c r="S5" s="12">
        <f t="shared" ref="S5:S10" si="9">R5*D5</f>
        <v>0</v>
      </c>
      <c r="T5" s="15">
        <f t="shared" ref="T5:T10" si="10">R5+P5+N5+H5+F5+J5+L5</f>
        <v>700</v>
      </c>
      <c r="U5" s="15">
        <f t="shared" ref="U5:U10" si="11">S5+Q5+O5+I5+G5+K5+M5</f>
        <v>350</v>
      </c>
      <c r="V5" s="21">
        <f t="shared" ref="V5:V10" si="12">T5/(C5*7)*100</f>
        <v>80.645161290322577</v>
      </c>
      <c r="W5" s="3">
        <v>0</v>
      </c>
      <c r="X5" s="12">
        <f t="shared" ref="X5:X10" si="13">W5*D5</f>
        <v>0</v>
      </c>
      <c r="Y5" s="3">
        <v>0</v>
      </c>
      <c r="Z5" s="13">
        <f t="shared" ref="Z5:Z10" si="14">Y5*D5</f>
        <v>0</v>
      </c>
      <c r="AA5" s="3">
        <v>0</v>
      </c>
      <c r="AB5" s="13">
        <f t="shared" ref="AB5:AB10" si="15">AA5*D5</f>
        <v>0</v>
      </c>
      <c r="AC5" s="3">
        <v>0</v>
      </c>
      <c r="AD5" s="13">
        <f t="shared" ref="AD5:AD10" si="16">AC5*D5</f>
        <v>0</v>
      </c>
      <c r="AE5" s="3">
        <v>0</v>
      </c>
      <c r="AF5" s="13">
        <f t="shared" ref="AF5:AF10" si="17">AE5*D5</f>
        <v>0</v>
      </c>
      <c r="AG5" s="3">
        <v>0</v>
      </c>
      <c r="AH5" s="14">
        <f t="shared" ref="AH5:AH10" si="18">AG5*D5</f>
        <v>0</v>
      </c>
      <c r="AI5" s="3">
        <v>0</v>
      </c>
      <c r="AJ5" s="14">
        <f t="shared" ref="AJ5:AJ10" si="19">AI5*D5</f>
        <v>0</v>
      </c>
      <c r="AK5" s="15">
        <f t="shared" ref="AK5:AK10" si="20">W5+Y5+AA5+AC5+AE5+AG5+AI5</f>
        <v>0</v>
      </c>
      <c r="AL5" s="15">
        <f t="shared" ref="AL5:AL10" si="21">X5+Z5+AB5+AD5+AF5+AH5+AJ5</f>
        <v>0</v>
      </c>
      <c r="AM5" s="21">
        <f t="shared" ref="AM5:AM10" si="22">AK5/(C5*7)*100</f>
        <v>0</v>
      </c>
      <c r="AN5" s="3">
        <v>0</v>
      </c>
      <c r="AO5" s="14">
        <f t="shared" ref="AO5:AO10" si="23">AN5*D5</f>
        <v>0</v>
      </c>
      <c r="AP5" s="3">
        <v>0</v>
      </c>
      <c r="AQ5" s="14">
        <f t="shared" ref="AQ5:AQ10" si="24">AP5*D5</f>
        <v>0</v>
      </c>
      <c r="AR5" s="3">
        <v>0</v>
      </c>
      <c r="AS5" s="18">
        <f t="shared" ref="AS5:AS10" si="25">AR5*D5</f>
        <v>0</v>
      </c>
      <c r="AT5" s="3">
        <v>0</v>
      </c>
      <c r="AU5" s="18">
        <f t="shared" ref="AU5:AU10" si="26">AT5*D5</f>
        <v>0</v>
      </c>
      <c r="AV5" s="3">
        <v>0</v>
      </c>
      <c r="AW5" s="17">
        <f t="shared" ref="AW5:AW10" si="27">AV5*D5</f>
        <v>0</v>
      </c>
      <c r="AX5" s="3">
        <v>0</v>
      </c>
      <c r="AY5" s="17">
        <f t="shared" ref="AY5:AY10" si="28">AX5*D5</f>
        <v>0</v>
      </c>
      <c r="AZ5" s="3">
        <v>0</v>
      </c>
      <c r="BA5" s="17">
        <f t="shared" ref="BA5:BA10" si="29">AZ5*D5</f>
        <v>0</v>
      </c>
      <c r="BB5" s="15">
        <f t="shared" ref="BB5:BB10" si="30">AN5+AP5+AR5+AT5+AV5+AX5+AZ5</f>
        <v>0</v>
      </c>
      <c r="BC5" s="15">
        <f t="shared" ref="BC5:BC10" si="31">AO5+AQ5+AS5+AU5+AW5+AY5+BA5</f>
        <v>0</v>
      </c>
      <c r="BD5" s="21">
        <f t="shared" ref="BD5:BD10" si="32">BB5/(C5*7)*100</f>
        <v>0</v>
      </c>
      <c r="BE5" s="3">
        <v>0</v>
      </c>
      <c r="BF5" s="17">
        <f t="shared" ref="BF5:BF10" si="33">BE5*D5</f>
        <v>0</v>
      </c>
      <c r="BG5" s="3">
        <v>0</v>
      </c>
      <c r="BH5" s="17">
        <f t="shared" ref="BH5:BH10" si="34">BG5*D5</f>
        <v>0</v>
      </c>
      <c r="BI5" s="3">
        <v>0</v>
      </c>
      <c r="BJ5" s="17">
        <f t="shared" ref="BJ5:BJ10" si="35">BI5*D5</f>
        <v>0</v>
      </c>
      <c r="BK5" s="3">
        <v>0</v>
      </c>
      <c r="BL5" s="17">
        <f t="shared" ref="BL5:BL10" si="36">BK5*D5</f>
        <v>0</v>
      </c>
      <c r="BM5" s="3">
        <v>0</v>
      </c>
      <c r="BN5" s="17">
        <f t="shared" ref="BN5:BN10" si="37">BM5*D5</f>
        <v>0</v>
      </c>
      <c r="BO5" s="3"/>
      <c r="BP5" s="22">
        <f t="shared" ref="BP5:BP10" si="38">BO5*D5</f>
        <v>0</v>
      </c>
      <c r="BQ5" s="23">
        <v>0</v>
      </c>
      <c r="BR5" s="23">
        <v>0</v>
      </c>
      <c r="BS5" s="3">
        <v>0</v>
      </c>
      <c r="BT5" s="22">
        <f t="shared" si="0"/>
        <v>0</v>
      </c>
      <c r="BU5" s="3">
        <v>0</v>
      </c>
      <c r="BV5" s="26">
        <f t="shared" ref="BV5:BV10" si="39">BU5*D5</f>
        <v>0</v>
      </c>
      <c r="BW5" s="15">
        <f t="shared" ref="BW5:BW10" si="40">BE5+BG5+BI5+BK5+BM5+BO5+BS5+BQ5+BU5</f>
        <v>0</v>
      </c>
      <c r="BX5" s="15">
        <f t="shared" ref="BX5:BX10" si="41">BF5+BH5+BJ5+BL5+BN5+BP5+BT5+BR5+BV5</f>
        <v>0</v>
      </c>
      <c r="BY5" s="21">
        <f t="shared" ref="BY5:BY10" si="42">BW5/(C5*7)*100</f>
        <v>0</v>
      </c>
      <c r="BZ5" s="15">
        <f t="shared" si="1"/>
        <v>700</v>
      </c>
      <c r="CA5" s="15">
        <f t="shared" si="1"/>
        <v>350</v>
      </c>
      <c r="CB5" s="21">
        <f t="shared" ref="CB5:CB10" si="43">BZ5/(C5*29)*100</f>
        <v>19.466073414905448</v>
      </c>
    </row>
    <row r="6" spans="2:80" x14ac:dyDescent="0.25">
      <c r="B6" s="7" t="s">
        <v>7</v>
      </c>
      <c r="C6" s="15">
        <v>628</v>
      </c>
      <c r="D6" s="15">
        <v>0.24</v>
      </c>
      <c r="E6" s="16">
        <f t="shared" si="2"/>
        <v>150.72</v>
      </c>
      <c r="F6" s="3">
        <v>151</v>
      </c>
      <c r="G6" s="8">
        <f t="shared" si="3"/>
        <v>36.24</v>
      </c>
      <c r="H6" s="3">
        <v>0</v>
      </c>
      <c r="I6" s="9">
        <f t="shared" si="4"/>
        <v>0</v>
      </c>
      <c r="J6" s="3">
        <v>122</v>
      </c>
      <c r="K6" s="10">
        <f t="shared" si="5"/>
        <v>29.279999999999998</v>
      </c>
      <c r="L6" s="3">
        <v>211</v>
      </c>
      <c r="M6" s="10">
        <f t="shared" si="6"/>
        <v>50.64</v>
      </c>
      <c r="N6" s="3">
        <v>0</v>
      </c>
      <c r="O6" s="12">
        <f t="shared" si="7"/>
        <v>0</v>
      </c>
      <c r="P6" s="3">
        <v>110</v>
      </c>
      <c r="Q6" s="12">
        <f t="shared" si="8"/>
        <v>26.4</v>
      </c>
      <c r="R6" s="3">
        <v>115</v>
      </c>
      <c r="S6" s="12">
        <f t="shared" si="9"/>
        <v>27.599999999999998</v>
      </c>
      <c r="T6" s="15">
        <f t="shared" si="10"/>
        <v>709</v>
      </c>
      <c r="U6" s="15">
        <f t="shared" si="11"/>
        <v>170.16000000000003</v>
      </c>
      <c r="V6" s="21">
        <f t="shared" si="12"/>
        <v>16.128298453139216</v>
      </c>
      <c r="W6" s="3">
        <v>132</v>
      </c>
      <c r="X6" s="12">
        <f t="shared" si="13"/>
        <v>31.68</v>
      </c>
      <c r="Y6" s="3">
        <v>60</v>
      </c>
      <c r="Z6" s="13">
        <f t="shared" si="14"/>
        <v>14.399999999999999</v>
      </c>
      <c r="AA6" s="3">
        <f>17</f>
        <v>17</v>
      </c>
      <c r="AB6" s="13">
        <f t="shared" si="15"/>
        <v>4.08</v>
      </c>
      <c r="AC6" s="3">
        <v>0</v>
      </c>
      <c r="AD6" s="13">
        <f t="shared" si="16"/>
        <v>0</v>
      </c>
      <c r="AE6" s="3">
        <v>0</v>
      </c>
      <c r="AF6" s="13">
        <f t="shared" si="17"/>
        <v>0</v>
      </c>
      <c r="AG6" s="3">
        <f>60+120</f>
        <v>180</v>
      </c>
      <c r="AH6" s="14">
        <f t="shared" si="18"/>
        <v>43.199999999999996</v>
      </c>
      <c r="AI6" s="3">
        <f>50+60</f>
        <v>110</v>
      </c>
      <c r="AJ6" s="14">
        <f t="shared" si="19"/>
        <v>26.4</v>
      </c>
      <c r="AK6" s="15">
        <f t="shared" si="20"/>
        <v>499</v>
      </c>
      <c r="AL6" s="15">
        <f t="shared" si="21"/>
        <v>119.75999999999999</v>
      </c>
      <c r="AM6" s="21">
        <f t="shared" si="22"/>
        <v>11.35122838944495</v>
      </c>
      <c r="AN6" s="3">
        <v>0</v>
      </c>
      <c r="AO6" s="14">
        <f t="shared" si="23"/>
        <v>0</v>
      </c>
      <c r="AP6" s="3">
        <v>195</v>
      </c>
      <c r="AQ6" s="14">
        <f t="shared" si="24"/>
        <v>46.8</v>
      </c>
      <c r="AR6" s="3">
        <v>42</v>
      </c>
      <c r="AS6" s="18">
        <f t="shared" si="25"/>
        <v>10.08</v>
      </c>
      <c r="AT6" s="3">
        <v>0</v>
      </c>
      <c r="AU6" s="18">
        <f t="shared" si="26"/>
        <v>0</v>
      </c>
      <c r="AV6" s="3">
        <v>0</v>
      </c>
      <c r="AW6" s="17">
        <f t="shared" si="27"/>
        <v>0</v>
      </c>
      <c r="AX6" s="3">
        <f>104+11</f>
        <v>115</v>
      </c>
      <c r="AY6" s="17">
        <f t="shared" si="28"/>
        <v>27.599999999999998</v>
      </c>
      <c r="AZ6" s="3">
        <f>72+60+35+28+33+77</f>
        <v>305</v>
      </c>
      <c r="BA6" s="17">
        <f t="shared" si="29"/>
        <v>73.2</v>
      </c>
      <c r="BB6" s="15">
        <f t="shared" si="30"/>
        <v>657</v>
      </c>
      <c r="BC6" s="15">
        <f t="shared" si="31"/>
        <v>157.68</v>
      </c>
      <c r="BD6" s="21">
        <f t="shared" si="32"/>
        <v>14.94540491355778</v>
      </c>
      <c r="BE6" s="3">
        <f>60+35+48+36+15+25</f>
        <v>219</v>
      </c>
      <c r="BF6" s="17">
        <f t="shared" si="33"/>
        <v>52.559999999999995</v>
      </c>
      <c r="BG6" s="3">
        <f>50+59+50+70+39</f>
        <v>268</v>
      </c>
      <c r="BH6" s="17">
        <f t="shared" si="34"/>
        <v>64.319999999999993</v>
      </c>
      <c r="BI6" s="3">
        <v>48</v>
      </c>
      <c r="BJ6" s="17">
        <f t="shared" si="35"/>
        <v>11.52</v>
      </c>
      <c r="BK6" s="3">
        <f>124+40+60</f>
        <v>224</v>
      </c>
      <c r="BL6" s="17">
        <f t="shared" si="36"/>
        <v>53.76</v>
      </c>
      <c r="BM6" s="3">
        <v>420</v>
      </c>
      <c r="BN6" s="17">
        <f t="shared" si="37"/>
        <v>100.8</v>
      </c>
      <c r="BO6" s="3">
        <f>117+45+41+28+90+31</f>
        <v>352</v>
      </c>
      <c r="BP6" s="22">
        <f t="shared" si="38"/>
        <v>84.47999999999999</v>
      </c>
      <c r="BQ6" s="23">
        <v>0</v>
      </c>
      <c r="BR6" s="23">
        <v>0</v>
      </c>
      <c r="BS6" s="3">
        <f>210</f>
        <v>210</v>
      </c>
      <c r="BT6" s="22">
        <f t="shared" si="0"/>
        <v>50.4</v>
      </c>
      <c r="BU6" s="3">
        <f>150+80+28</f>
        <v>258</v>
      </c>
      <c r="BV6" s="26">
        <f t="shared" si="39"/>
        <v>61.919999999999995</v>
      </c>
      <c r="BW6" s="15">
        <f t="shared" si="40"/>
        <v>1999</v>
      </c>
      <c r="BX6" s="15">
        <f t="shared" si="41"/>
        <v>479.75999999999993</v>
      </c>
      <c r="BY6" s="21">
        <f t="shared" si="42"/>
        <v>45.473157415832574</v>
      </c>
      <c r="BZ6" s="15">
        <f t="shared" si="1"/>
        <v>3864</v>
      </c>
      <c r="CA6" s="15">
        <f t="shared" si="1"/>
        <v>927.3599999999999</v>
      </c>
      <c r="CB6" s="21">
        <f t="shared" si="43"/>
        <v>21.216780144959369</v>
      </c>
    </row>
    <row r="7" spans="2:80" x14ac:dyDescent="0.25">
      <c r="B7" s="7" t="s">
        <v>8</v>
      </c>
      <c r="C7" s="15">
        <v>1729</v>
      </c>
      <c r="D7" s="15">
        <v>0.11</v>
      </c>
      <c r="E7" s="16">
        <f t="shared" si="2"/>
        <v>190.19</v>
      </c>
      <c r="F7" s="3">
        <v>118</v>
      </c>
      <c r="G7" s="8">
        <f t="shared" si="3"/>
        <v>12.98</v>
      </c>
      <c r="H7" s="3">
        <v>630</v>
      </c>
      <c r="I7" s="9">
        <f t="shared" si="4"/>
        <v>69.3</v>
      </c>
      <c r="J7" s="3">
        <v>376</v>
      </c>
      <c r="K7" s="10">
        <f t="shared" si="5"/>
        <v>41.36</v>
      </c>
      <c r="L7" s="3">
        <v>160</v>
      </c>
      <c r="M7" s="10">
        <f t="shared" si="6"/>
        <v>17.600000000000001</v>
      </c>
      <c r="N7" s="3">
        <v>360</v>
      </c>
      <c r="O7" s="12">
        <f t="shared" si="7"/>
        <v>39.6</v>
      </c>
      <c r="P7" s="3">
        <f>140+30</f>
        <v>170</v>
      </c>
      <c r="Q7" s="12">
        <f t="shared" si="8"/>
        <v>18.7</v>
      </c>
      <c r="R7" s="3">
        <v>240</v>
      </c>
      <c r="S7" s="12">
        <f t="shared" si="9"/>
        <v>26.4</v>
      </c>
      <c r="T7" s="15">
        <f t="shared" si="10"/>
        <v>2054</v>
      </c>
      <c r="U7" s="15">
        <f t="shared" si="11"/>
        <v>225.93999999999997</v>
      </c>
      <c r="V7" s="21">
        <f t="shared" si="12"/>
        <v>16.970998925886143</v>
      </c>
      <c r="W7" s="3">
        <f>160+30</f>
        <v>190</v>
      </c>
      <c r="X7" s="12">
        <f t="shared" si="13"/>
        <v>20.9</v>
      </c>
      <c r="Y7" s="3">
        <f>202+102+60</f>
        <v>364</v>
      </c>
      <c r="Z7" s="13">
        <f t="shared" si="14"/>
        <v>40.04</v>
      </c>
      <c r="AA7" s="3">
        <v>21</v>
      </c>
      <c r="AB7" s="13">
        <f t="shared" si="15"/>
        <v>2.31</v>
      </c>
      <c r="AC7" s="3">
        <v>0</v>
      </c>
      <c r="AD7" s="13">
        <f t="shared" si="16"/>
        <v>0</v>
      </c>
      <c r="AE7" s="3">
        <v>503</v>
      </c>
      <c r="AF7" s="13">
        <f t="shared" si="17"/>
        <v>55.33</v>
      </c>
      <c r="AG7" s="3">
        <v>0</v>
      </c>
      <c r="AH7" s="14">
        <f t="shared" si="18"/>
        <v>0</v>
      </c>
      <c r="AI7" s="3">
        <v>70</v>
      </c>
      <c r="AJ7" s="14">
        <f t="shared" si="19"/>
        <v>7.7</v>
      </c>
      <c r="AK7" s="15">
        <f t="shared" si="20"/>
        <v>1148</v>
      </c>
      <c r="AL7" s="15">
        <f t="shared" si="21"/>
        <v>126.28</v>
      </c>
      <c r="AM7" s="21">
        <f t="shared" si="22"/>
        <v>9.4852515905147481</v>
      </c>
      <c r="AN7" s="3">
        <v>180</v>
      </c>
      <c r="AO7" s="14">
        <f t="shared" si="23"/>
        <v>19.8</v>
      </c>
      <c r="AP7" s="3">
        <v>30</v>
      </c>
      <c r="AQ7" s="14">
        <f t="shared" si="24"/>
        <v>3.3</v>
      </c>
      <c r="AR7" s="3">
        <v>28</v>
      </c>
      <c r="AS7" s="18">
        <f t="shared" si="25"/>
        <v>3.08</v>
      </c>
      <c r="AT7" s="3">
        <v>0</v>
      </c>
      <c r="AU7" s="18">
        <f t="shared" si="26"/>
        <v>0</v>
      </c>
      <c r="AV7" s="3">
        <v>230</v>
      </c>
      <c r="AW7" s="17">
        <f t="shared" si="27"/>
        <v>25.3</v>
      </c>
      <c r="AX7" s="3">
        <f>240+60</f>
        <v>300</v>
      </c>
      <c r="AY7" s="17">
        <f t="shared" si="28"/>
        <v>33</v>
      </c>
      <c r="AZ7" s="3">
        <f>210+220</f>
        <v>430</v>
      </c>
      <c r="BA7" s="17">
        <f t="shared" si="29"/>
        <v>47.3</v>
      </c>
      <c r="BB7" s="15">
        <f t="shared" si="30"/>
        <v>1198</v>
      </c>
      <c r="BC7" s="15">
        <f t="shared" si="31"/>
        <v>131.78</v>
      </c>
      <c r="BD7" s="21">
        <f t="shared" si="32"/>
        <v>9.8983723043873422</v>
      </c>
      <c r="BE7" s="3">
        <f>60+19+14+70+160</f>
        <v>323</v>
      </c>
      <c r="BF7" s="17">
        <f t="shared" si="33"/>
        <v>35.53</v>
      </c>
      <c r="BG7" s="3">
        <f>195+80+160+15+70+30</f>
        <v>550</v>
      </c>
      <c r="BH7" s="17">
        <f t="shared" si="34"/>
        <v>60.5</v>
      </c>
      <c r="BI7" s="3">
        <f>100+102+50+90</f>
        <v>342</v>
      </c>
      <c r="BJ7" s="17">
        <f t="shared" si="35"/>
        <v>37.619999999999997</v>
      </c>
      <c r="BK7" s="3">
        <f>110+80+67+49+19</f>
        <v>325</v>
      </c>
      <c r="BL7" s="17">
        <f t="shared" si="36"/>
        <v>35.75</v>
      </c>
      <c r="BM7" s="3">
        <v>126</v>
      </c>
      <c r="BN7" s="17">
        <f t="shared" si="37"/>
        <v>13.86</v>
      </c>
      <c r="BO7" s="3">
        <f>15+40+16+165+47+48+20</f>
        <v>351</v>
      </c>
      <c r="BP7" s="22">
        <f t="shared" si="38"/>
        <v>38.61</v>
      </c>
      <c r="BQ7" s="23">
        <v>0</v>
      </c>
      <c r="BR7" s="23">
        <v>0</v>
      </c>
      <c r="BS7" s="3">
        <f>120+12+32+100+60+100</f>
        <v>424</v>
      </c>
      <c r="BT7" s="22">
        <f t="shared" si="0"/>
        <v>46.64</v>
      </c>
      <c r="BU7" s="3">
        <f>44+80+220+20+40+175</f>
        <v>579</v>
      </c>
      <c r="BV7" s="26">
        <f t="shared" si="39"/>
        <v>63.69</v>
      </c>
      <c r="BW7" s="15">
        <f t="shared" si="40"/>
        <v>3020</v>
      </c>
      <c r="BX7" s="15">
        <f t="shared" si="41"/>
        <v>332.2</v>
      </c>
      <c r="BY7" s="21">
        <f t="shared" si="42"/>
        <v>24.95249111790465</v>
      </c>
      <c r="BZ7" s="15">
        <f t="shared" si="1"/>
        <v>7420</v>
      </c>
      <c r="CA7" s="15">
        <f t="shared" si="1"/>
        <v>816.2</v>
      </c>
      <c r="CB7" s="21">
        <f t="shared" si="43"/>
        <v>14.798268881753454</v>
      </c>
    </row>
    <row r="8" spans="2:80" x14ac:dyDescent="0.25">
      <c r="B8" s="7" t="s">
        <v>9</v>
      </c>
      <c r="C8" s="1">
        <v>1696</v>
      </c>
      <c r="D8" s="1">
        <v>3.5999999999999997E-2</v>
      </c>
      <c r="E8" s="4">
        <f t="shared" si="2"/>
        <v>61.055999999999997</v>
      </c>
      <c r="F8" s="3">
        <v>0</v>
      </c>
      <c r="G8" s="8">
        <f t="shared" si="3"/>
        <v>0</v>
      </c>
      <c r="H8" s="3">
        <v>0</v>
      </c>
      <c r="I8" s="9">
        <f t="shared" si="4"/>
        <v>0</v>
      </c>
      <c r="J8" s="3">
        <v>0</v>
      </c>
      <c r="K8" s="10">
        <f t="shared" si="5"/>
        <v>0</v>
      </c>
      <c r="L8" s="3">
        <v>0</v>
      </c>
      <c r="M8" s="10">
        <f t="shared" si="6"/>
        <v>0</v>
      </c>
      <c r="N8" s="3">
        <v>0</v>
      </c>
      <c r="O8" s="12">
        <f t="shared" si="7"/>
        <v>0</v>
      </c>
      <c r="P8" s="3"/>
      <c r="Q8" s="12">
        <f t="shared" si="8"/>
        <v>0</v>
      </c>
      <c r="R8" s="3">
        <v>0</v>
      </c>
      <c r="S8" s="12">
        <f t="shared" si="9"/>
        <v>0</v>
      </c>
      <c r="T8" s="15">
        <f t="shared" si="10"/>
        <v>0</v>
      </c>
      <c r="U8" s="15">
        <f t="shared" si="11"/>
        <v>0</v>
      </c>
      <c r="V8" s="21">
        <f t="shared" si="12"/>
        <v>0</v>
      </c>
      <c r="W8" s="3">
        <v>0</v>
      </c>
      <c r="X8" s="12">
        <f t="shared" si="13"/>
        <v>0</v>
      </c>
      <c r="Y8" s="3">
        <v>0</v>
      </c>
      <c r="Z8" s="13">
        <f t="shared" si="14"/>
        <v>0</v>
      </c>
      <c r="AA8" s="3">
        <v>0</v>
      </c>
      <c r="AB8" s="13">
        <f t="shared" si="15"/>
        <v>0</v>
      </c>
      <c r="AC8" s="3">
        <v>0</v>
      </c>
      <c r="AD8" s="13">
        <f t="shared" si="16"/>
        <v>0</v>
      </c>
      <c r="AE8" s="3">
        <v>0</v>
      </c>
      <c r="AF8" s="13">
        <f t="shared" si="17"/>
        <v>0</v>
      </c>
      <c r="AG8" s="3">
        <v>0</v>
      </c>
      <c r="AH8" s="14">
        <f t="shared" si="18"/>
        <v>0</v>
      </c>
      <c r="AI8" s="3">
        <v>0</v>
      </c>
      <c r="AJ8" s="14">
        <f t="shared" si="19"/>
        <v>0</v>
      </c>
      <c r="AK8" s="15">
        <f t="shared" si="20"/>
        <v>0</v>
      </c>
      <c r="AL8" s="15">
        <f t="shared" si="21"/>
        <v>0</v>
      </c>
      <c r="AM8" s="21">
        <f t="shared" si="22"/>
        <v>0</v>
      </c>
      <c r="AN8" s="3">
        <v>0</v>
      </c>
      <c r="AO8" s="14">
        <f t="shared" si="23"/>
        <v>0</v>
      </c>
      <c r="AP8" s="3">
        <v>0</v>
      </c>
      <c r="AQ8" s="14">
        <f t="shared" si="24"/>
        <v>0</v>
      </c>
      <c r="AR8" s="3">
        <v>0</v>
      </c>
      <c r="AS8" s="18">
        <f t="shared" si="25"/>
        <v>0</v>
      </c>
      <c r="AT8" s="3">
        <v>280</v>
      </c>
      <c r="AU8" s="18">
        <f t="shared" si="26"/>
        <v>10.08</v>
      </c>
      <c r="AV8" s="3">
        <v>60</v>
      </c>
      <c r="AW8" s="17">
        <f t="shared" si="27"/>
        <v>2.1599999999999997</v>
      </c>
      <c r="AX8" s="3">
        <f>140+100+16+27+27</f>
        <v>310</v>
      </c>
      <c r="AY8" s="17">
        <f t="shared" si="28"/>
        <v>11.159999999999998</v>
      </c>
      <c r="AZ8" s="3">
        <v>0</v>
      </c>
      <c r="BA8" s="17">
        <f t="shared" si="29"/>
        <v>0</v>
      </c>
      <c r="BB8" s="15">
        <f t="shared" si="30"/>
        <v>650</v>
      </c>
      <c r="BC8" s="15">
        <f t="shared" si="31"/>
        <v>23.4</v>
      </c>
      <c r="BD8" s="21">
        <f t="shared" si="32"/>
        <v>5.4750673854447438</v>
      </c>
      <c r="BE8" s="3">
        <v>0</v>
      </c>
      <c r="BF8" s="17">
        <f t="shared" si="33"/>
        <v>0</v>
      </c>
      <c r="BG8" s="3"/>
      <c r="BH8" s="17">
        <f t="shared" si="34"/>
        <v>0</v>
      </c>
      <c r="BI8" s="3">
        <f>57+40</f>
        <v>97</v>
      </c>
      <c r="BJ8" s="17">
        <f t="shared" si="35"/>
        <v>3.4919999999999995</v>
      </c>
      <c r="BK8" s="3">
        <f>40</f>
        <v>40</v>
      </c>
      <c r="BL8" s="17">
        <f t="shared" si="36"/>
        <v>1.44</v>
      </c>
      <c r="BM8" s="3">
        <v>27</v>
      </c>
      <c r="BN8" s="17">
        <f t="shared" si="37"/>
        <v>0.97199999999999998</v>
      </c>
      <c r="BO8" s="3">
        <v>172</v>
      </c>
      <c r="BP8" s="22">
        <f t="shared" si="38"/>
        <v>6.1919999999999993</v>
      </c>
      <c r="BQ8" s="23">
        <v>0</v>
      </c>
      <c r="BR8" s="23">
        <v>0</v>
      </c>
      <c r="BS8" s="3">
        <v>350</v>
      </c>
      <c r="BT8" s="22">
        <f t="shared" si="0"/>
        <v>12.6</v>
      </c>
      <c r="BU8" s="3">
        <f>250</f>
        <v>250</v>
      </c>
      <c r="BV8" s="26">
        <f t="shared" si="39"/>
        <v>9</v>
      </c>
      <c r="BW8" s="15">
        <f t="shared" si="40"/>
        <v>936</v>
      </c>
      <c r="BX8" s="15">
        <f t="shared" si="41"/>
        <v>33.695999999999998</v>
      </c>
      <c r="BY8" s="21">
        <f t="shared" si="42"/>
        <v>7.8840970350404316</v>
      </c>
      <c r="BZ8" s="15">
        <f t="shared" si="1"/>
        <v>1586</v>
      </c>
      <c r="CA8" s="15">
        <f t="shared" si="1"/>
        <v>57.095999999999997</v>
      </c>
      <c r="CB8" s="21">
        <f t="shared" si="43"/>
        <v>3.2246258945998694</v>
      </c>
    </row>
    <row r="9" spans="2:80" x14ac:dyDescent="0.25">
      <c r="B9" s="7" t="s">
        <v>10</v>
      </c>
      <c r="C9" s="15">
        <v>3315</v>
      </c>
      <c r="D9" s="15">
        <v>0.20399999999999999</v>
      </c>
      <c r="E9" s="16">
        <f t="shared" si="2"/>
        <v>676.26</v>
      </c>
      <c r="F9" s="3">
        <v>2371</v>
      </c>
      <c r="G9" s="8">
        <f t="shared" si="3"/>
        <v>483.68399999999997</v>
      </c>
      <c r="H9" s="3">
        <v>2359</v>
      </c>
      <c r="I9" s="9">
        <f>H9*D9</f>
        <v>481.23599999999999</v>
      </c>
      <c r="J9" s="3">
        <v>2116</v>
      </c>
      <c r="K9" s="10">
        <f t="shared" si="5"/>
        <v>431.66399999999999</v>
      </c>
      <c r="L9" s="3">
        <v>2315</v>
      </c>
      <c r="M9" s="10">
        <f t="shared" si="6"/>
        <v>472.26</v>
      </c>
      <c r="N9" s="3">
        <v>2181</v>
      </c>
      <c r="O9" s="12">
        <f t="shared" si="7"/>
        <v>444.92399999999998</v>
      </c>
      <c r="P9" s="3">
        <v>2331</v>
      </c>
      <c r="Q9" s="12">
        <f t="shared" si="8"/>
        <v>475.52399999999994</v>
      </c>
      <c r="R9" s="3">
        <v>2304</v>
      </c>
      <c r="S9" s="12">
        <f t="shared" si="9"/>
        <v>470.01599999999996</v>
      </c>
      <c r="T9" s="15">
        <f t="shared" si="10"/>
        <v>15977</v>
      </c>
      <c r="U9" s="15">
        <f t="shared" si="11"/>
        <v>3259.308</v>
      </c>
      <c r="V9" s="21">
        <f t="shared" si="12"/>
        <v>68.851540616246496</v>
      </c>
      <c r="W9" s="3">
        <f>413+177+643+714+440+416</f>
        <v>2803</v>
      </c>
      <c r="X9" s="12">
        <f t="shared" si="13"/>
        <v>571.81200000000001</v>
      </c>
      <c r="Y9" s="3">
        <f>799+380+300+720+404+438</f>
        <v>3041</v>
      </c>
      <c r="Z9" s="13">
        <f t="shared" si="14"/>
        <v>620.36399999999992</v>
      </c>
      <c r="AA9" s="3">
        <f>425+410+740+520+701+498+130</f>
        <v>3424</v>
      </c>
      <c r="AB9" s="13">
        <f t="shared" si="15"/>
        <v>698.49599999999998</v>
      </c>
      <c r="AC9" s="3">
        <f>240+138+714+450</f>
        <v>1542</v>
      </c>
      <c r="AD9" s="13">
        <f t="shared" si="16"/>
        <v>314.56799999999998</v>
      </c>
      <c r="AE9" s="3">
        <f>430+776+468+460+900</f>
        <v>3034</v>
      </c>
      <c r="AF9" s="13">
        <f t="shared" si="17"/>
        <v>618.93599999999992</v>
      </c>
      <c r="AG9" s="3">
        <f>830+532+630+619+580+343</f>
        <v>3534</v>
      </c>
      <c r="AH9" s="14">
        <f t="shared" si="18"/>
        <v>720.93599999999992</v>
      </c>
      <c r="AI9" s="3">
        <f>620+464+450+700+405+543</f>
        <v>3182</v>
      </c>
      <c r="AJ9" s="14">
        <f t="shared" si="19"/>
        <v>649.12799999999993</v>
      </c>
      <c r="AK9" s="15">
        <f t="shared" si="20"/>
        <v>20560</v>
      </c>
      <c r="AL9" s="15">
        <f t="shared" si="21"/>
        <v>4194.2399999999989</v>
      </c>
      <c r="AM9" s="21">
        <f t="shared" si="22"/>
        <v>88.601594483947423</v>
      </c>
      <c r="AN9" s="3">
        <f>647+700+270+707+543+370</f>
        <v>3237</v>
      </c>
      <c r="AO9" s="14">
        <f t="shared" si="23"/>
        <v>660.34799999999996</v>
      </c>
      <c r="AP9" s="3">
        <f>660+590+220+690+380+555</f>
        <v>3095</v>
      </c>
      <c r="AQ9" s="14">
        <f t="shared" si="24"/>
        <v>631.38</v>
      </c>
      <c r="AR9" s="3">
        <f>734+800+380+718+782+229</f>
        <v>3643</v>
      </c>
      <c r="AS9" s="18">
        <f t="shared" si="25"/>
        <v>743.17199999999991</v>
      </c>
      <c r="AT9" s="3">
        <f>850+300+240+288+825+295+745</f>
        <v>3543</v>
      </c>
      <c r="AU9" s="18">
        <f t="shared" si="26"/>
        <v>722.77199999999993</v>
      </c>
      <c r="AV9" s="3">
        <f>740+840+180+275+840+715+393</f>
        <v>3983</v>
      </c>
      <c r="AW9" s="17">
        <f t="shared" si="27"/>
        <v>812.53199999999993</v>
      </c>
      <c r="AX9" s="3">
        <f>623+672+313+862+374+710</f>
        <v>3554</v>
      </c>
      <c r="AY9" s="17">
        <f t="shared" si="28"/>
        <v>725.01599999999996</v>
      </c>
      <c r="AZ9" s="3">
        <f>796+228+232+280+797+685+397</f>
        <v>3415</v>
      </c>
      <c r="BA9" s="17">
        <f t="shared" si="29"/>
        <v>696.66</v>
      </c>
      <c r="BB9" s="15">
        <f t="shared" si="30"/>
        <v>24470</v>
      </c>
      <c r="BC9" s="15">
        <f t="shared" si="31"/>
        <v>4991.8799999999992</v>
      </c>
      <c r="BD9" s="21">
        <f t="shared" si="32"/>
        <v>105.45141133376428</v>
      </c>
      <c r="BE9" s="3">
        <f>297+624+250+870+450+700</f>
        <v>3191</v>
      </c>
      <c r="BF9" s="17">
        <f t="shared" si="33"/>
        <v>650.96399999999994</v>
      </c>
      <c r="BG9" s="3">
        <f>1934+1996</f>
        <v>3930</v>
      </c>
      <c r="BH9" s="17">
        <f t="shared" si="34"/>
        <v>801.71999999999991</v>
      </c>
      <c r="BI9" s="3">
        <f>752+785+505+785+766+445</f>
        <v>4038</v>
      </c>
      <c r="BJ9" s="17">
        <f t="shared" si="35"/>
        <v>823.75199999999995</v>
      </c>
      <c r="BK9" s="3">
        <f>500+811+750+850+845+439</f>
        <v>4195</v>
      </c>
      <c r="BL9" s="17">
        <f t="shared" si="36"/>
        <v>855.78</v>
      </c>
      <c r="BM9" s="3">
        <f>762+675+340+275+833+422+800</f>
        <v>4107</v>
      </c>
      <c r="BN9" s="17">
        <f t="shared" si="37"/>
        <v>837.82799999999997</v>
      </c>
      <c r="BO9" s="3">
        <f>761+175+635+770+700+803+443</f>
        <v>4287</v>
      </c>
      <c r="BP9" s="22">
        <f t="shared" si="38"/>
        <v>874.54799999999989</v>
      </c>
      <c r="BQ9" s="23">
        <v>0</v>
      </c>
      <c r="BR9" s="23">
        <v>0</v>
      </c>
      <c r="BS9" s="3">
        <f>761+470+720+764+805+435</f>
        <v>3955</v>
      </c>
      <c r="BT9" s="22">
        <f t="shared" si="0"/>
        <v>806.81999999999994</v>
      </c>
      <c r="BU9" s="3">
        <f>750+474+730+399+780+724</f>
        <v>3857</v>
      </c>
      <c r="BV9" s="26">
        <f t="shared" si="39"/>
        <v>786.82799999999997</v>
      </c>
      <c r="BW9" s="15">
        <f t="shared" si="40"/>
        <v>31560</v>
      </c>
      <c r="BX9" s="15">
        <f t="shared" si="41"/>
        <v>6438.24</v>
      </c>
      <c r="BY9" s="21">
        <f t="shared" si="42"/>
        <v>136.00517129928895</v>
      </c>
      <c r="BZ9" s="15">
        <f t="shared" si="1"/>
        <v>92567</v>
      </c>
      <c r="CA9" s="15">
        <f>U9+AL9+BC9+BX9</f>
        <v>18883.667999999998</v>
      </c>
      <c r="CB9" s="21">
        <f t="shared" si="43"/>
        <v>96.288552556301028</v>
      </c>
    </row>
    <row r="10" spans="2:80" x14ac:dyDescent="0.25">
      <c r="B10" s="7" t="s">
        <v>11</v>
      </c>
      <c r="C10" s="1">
        <v>18274</v>
      </c>
      <c r="D10" s="1">
        <f>8/1000</f>
        <v>8.0000000000000002E-3</v>
      </c>
      <c r="E10" s="4">
        <f t="shared" si="2"/>
        <v>146.19200000000001</v>
      </c>
      <c r="F10" s="3">
        <v>6602</v>
      </c>
      <c r="G10" s="8">
        <f t="shared" si="3"/>
        <v>52.816000000000003</v>
      </c>
      <c r="H10" s="3">
        <v>7664</v>
      </c>
      <c r="I10" s="9">
        <f t="shared" si="4"/>
        <v>61.312000000000005</v>
      </c>
      <c r="J10" s="3">
        <v>8444</v>
      </c>
      <c r="K10" s="10">
        <f t="shared" si="5"/>
        <v>67.552000000000007</v>
      </c>
      <c r="L10" s="3">
        <v>7997</v>
      </c>
      <c r="M10" s="11">
        <f t="shared" si="6"/>
        <v>63.975999999999999</v>
      </c>
      <c r="N10" s="3">
        <v>7997</v>
      </c>
      <c r="O10" s="12">
        <f t="shared" si="7"/>
        <v>63.975999999999999</v>
      </c>
      <c r="P10" s="3">
        <v>7735</v>
      </c>
      <c r="Q10" s="12">
        <f t="shared" si="8"/>
        <v>61.88</v>
      </c>
      <c r="R10" s="3">
        <v>7621</v>
      </c>
      <c r="S10" s="12">
        <f t="shared" si="9"/>
        <v>60.968000000000004</v>
      </c>
      <c r="T10" s="15">
        <f t="shared" si="10"/>
        <v>54060</v>
      </c>
      <c r="U10" s="15">
        <f t="shared" si="11"/>
        <v>432.48</v>
      </c>
      <c r="V10" s="21">
        <f t="shared" si="12"/>
        <v>42.261448740599441</v>
      </c>
      <c r="W10" s="3">
        <v>6404</v>
      </c>
      <c r="X10" s="12">
        <f t="shared" si="13"/>
        <v>51.231999999999999</v>
      </c>
      <c r="Y10" s="3">
        <v>6813</v>
      </c>
      <c r="Z10" s="13">
        <f t="shared" si="14"/>
        <v>54.503999999999998</v>
      </c>
      <c r="AA10" s="3">
        <v>5879</v>
      </c>
      <c r="AB10" s="13">
        <f t="shared" si="15"/>
        <v>47.032000000000004</v>
      </c>
      <c r="AC10" s="3">
        <v>0</v>
      </c>
      <c r="AD10" s="13">
        <f t="shared" si="16"/>
        <v>0</v>
      </c>
      <c r="AE10" s="3">
        <v>4268</v>
      </c>
      <c r="AF10" s="13">
        <f t="shared" si="17"/>
        <v>34.143999999999998</v>
      </c>
      <c r="AG10" s="3">
        <v>6259</v>
      </c>
      <c r="AH10" s="14">
        <f t="shared" si="18"/>
        <v>50.072000000000003</v>
      </c>
      <c r="AI10" s="3">
        <v>5952</v>
      </c>
      <c r="AJ10" s="14">
        <f t="shared" si="19"/>
        <v>47.616</v>
      </c>
      <c r="AK10" s="15">
        <f t="shared" si="20"/>
        <v>35575</v>
      </c>
      <c r="AL10" s="15">
        <f t="shared" si="21"/>
        <v>284.60000000000002</v>
      </c>
      <c r="AM10" s="21">
        <f t="shared" si="22"/>
        <v>27.81078503416251</v>
      </c>
      <c r="AN10" s="3">
        <v>4991</v>
      </c>
      <c r="AO10" s="14">
        <f t="shared" si="23"/>
        <v>39.928000000000004</v>
      </c>
      <c r="AP10" s="3">
        <v>5070</v>
      </c>
      <c r="AQ10" s="14">
        <f t="shared" si="24"/>
        <v>40.56</v>
      </c>
      <c r="AR10" s="3">
        <v>3139</v>
      </c>
      <c r="AS10" s="18">
        <f t="shared" si="25"/>
        <v>25.112000000000002</v>
      </c>
      <c r="AT10" s="3">
        <v>2914</v>
      </c>
      <c r="AU10" s="18">
        <f t="shared" si="26"/>
        <v>23.312000000000001</v>
      </c>
      <c r="AV10" s="3">
        <v>3055</v>
      </c>
      <c r="AW10" s="17">
        <f t="shared" si="27"/>
        <v>24.44</v>
      </c>
      <c r="AX10" s="3">
        <v>1576</v>
      </c>
      <c r="AY10" s="17">
        <f t="shared" si="28"/>
        <v>12.608000000000001</v>
      </c>
      <c r="AZ10" s="3">
        <v>4171</v>
      </c>
      <c r="BA10" s="17">
        <f t="shared" si="29"/>
        <v>33.368000000000002</v>
      </c>
      <c r="BB10" s="15">
        <f t="shared" si="30"/>
        <v>24916</v>
      </c>
      <c r="BC10" s="15">
        <f t="shared" si="31"/>
        <v>199.328</v>
      </c>
      <c r="BD10" s="21">
        <f t="shared" si="32"/>
        <v>19.47810315983677</v>
      </c>
      <c r="BE10" s="3">
        <v>6416</v>
      </c>
      <c r="BF10" s="17">
        <f t="shared" si="33"/>
        <v>51.328000000000003</v>
      </c>
      <c r="BG10" s="3">
        <v>4034</v>
      </c>
      <c r="BH10" s="17">
        <f t="shared" si="34"/>
        <v>32.271999999999998</v>
      </c>
      <c r="BI10" s="3">
        <v>4840</v>
      </c>
      <c r="BJ10" s="17">
        <f t="shared" si="35"/>
        <v>38.72</v>
      </c>
      <c r="BK10" s="3">
        <v>8612</v>
      </c>
      <c r="BL10" s="17">
        <f t="shared" si="36"/>
        <v>68.896000000000001</v>
      </c>
      <c r="BM10" s="3">
        <v>7240</v>
      </c>
      <c r="BN10" s="17">
        <f t="shared" si="37"/>
        <v>57.92</v>
      </c>
      <c r="BO10" s="3">
        <v>8606</v>
      </c>
      <c r="BP10" s="22">
        <f t="shared" si="38"/>
        <v>68.847999999999999</v>
      </c>
      <c r="BQ10" s="23">
        <v>0</v>
      </c>
      <c r="BR10" s="23">
        <v>0</v>
      </c>
      <c r="BS10" s="3">
        <v>6824</v>
      </c>
      <c r="BT10" s="22">
        <f t="shared" si="0"/>
        <v>54.591999999999999</v>
      </c>
      <c r="BU10" s="3">
        <v>7634</v>
      </c>
      <c r="BV10" s="26">
        <f t="shared" si="39"/>
        <v>61.072000000000003</v>
      </c>
      <c r="BW10" s="15">
        <f t="shared" si="40"/>
        <v>54206</v>
      </c>
      <c r="BX10" s="15">
        <f t="shared" si="41"/>
        <v>433.64800000000002</v>
      </c>
      <c r="BY10" s="21">
        <f t="shared" si="42"/>
        <v>42.37558435872981</v>
      </c>
      <c r="BZ10" s="15">
        <f t="shared" si="1"/>
        <v>168757</v>
      </c>
      <c r="CA10" s="15">
        <f>U10+AL10+BC10+BX10</f>
        <v>1350.056</v>
      </c>
      <c r="CB10" s="21">
        <f t="shared" si="43"/>
        <v>31.844187898389649</v>
      </c>
    </row>
    <row r="13" spans="2:80" x14ac:dyDescent="0.25">
      <c r="B13" s="5" t="s">
        <v>12</v>
      </c>
    </row>
    <row r="14" spans="2:80" x14ac:dyDescent="0.25">
      <c r="B14" s="27" t="s">
        <v>13</v>
      </c>
    </row>
    <row r="15" spans="2:80" x14ac:dyDescent="0.25">
      <c r="B15" s="27" t="s">
        <v>17</v>
      </c>
    </row>
    <row r="16" spans="2:80" x14ac:dyDescent="0.25">
      <c r="B16" s="27" t="s">
        <v>18</v>
      </c>
    </row>
  </sheetData>
  <mergeCells count="38">
    <mergeCell ref="BW2:BY2"/>
    <mergeCell ref="BO2:BP2"/>
    <mergeCell ref="BQ2:BR2"/>
    <mergeCell ref="BS2:BT2"/>
    <mergeCell ref="BU2:BV2"/>
    <mergeCell ref="T2:V2"/>
    <mergeCell ref="BM2:BN2"/>
    <mergeCell ref="J2:K2"/>
    <mergeCell ref="P2:Q2"/>
    <mergeCell ref="R2:S2"/>
    <mergeCell ref="W2:X2"/>
    <mergeCell ref="Y2:Z2"/>
    <mergeCell ref="AK2:AM2"/>
    <mergeCell ref="BB2:BD2"/>
    <mergeCell ref="AE2:AF2"/>
    <mergeCell ref="AG2:AH2"/>
    <mergeCell ref="AI2:AJ2"/>
    <mergeCell ref="F1:G1"/>
    <mergeCell ref="H1:I1"/>
    <mergeCell ref="C2:E2"/>
    <mergeCell ref="F2:G2"/>
    <mergeCell ref="H2:I2"/>
    <mergeCell ref="BZ2:CB2"/>
    <mergeCell ref="L2:M2"/>
    <mergeCell ref="N2:O2"/>
    <mergeCell ref="AN2:AO2"/>
    <mergeCell ref="AP2:AQ2"/>
    <mergeCell ref="AR2:AS2"/>
    <mergeCell ref="AT2:AU2"/>
    <mergeCell ref="AV2:AW2"/>
    <mergeCell ref="AX2:AY2"/>
    <mergeCell ref="AZ2:BA2"/>
    <mergeCell ref="BE2:BF2"/>
    <mergeCell ref="BG2:BH2"/>
    <mergeCell ref="BI2:BJ2"/>
    <mergeCell ref="BK2:BL2"/>
    <mergeCell ref="AA2:AB2"/>
    <mergeCell ref="AC2:AD2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D16"/>
  <sheetViews>
    <sheetView workbookViewId="0">
      <pane xSplit="5" ySplit="2" topLeftCell="BR3" activePane="bottomRight" state="frozen"/>
      <selection pane="topRight" activeCell="F1" sqref="F1"/>
      <selection pane="bottomLeft" activeCell="A3" sqref="A3"/>
      <selection pane="bottomRight" activeCell="BT21" sqref="BT21"/>
    </sheetView>
  </sheetViews>
  <sheetFormatPr defaultRowHeight="15" x14ac:dyDescent="0.25"/>
  <cols>
    <col min="1" max="1" width="9.140625" style="24"/>
    <col min="2" max="2" width="22.85546875" style="24" customWidth="1"/>
    <col min="3" max="4" width="9.140625" style="24"/>
    <col min="5" max="5" width="7.7109375" style="24" customWidth="1"/>
    <col min="6" max="6" width="7.85546875" style="24" customWidth="1"/>
    <col min="7" max="7" width="8" style="24" bestFit="1" customWidth="1"/>
    <col min="8" max="8" width="9.140625" style="24"/>
    <col min="9" max="9" width="8" style="24" bestFit="1" customWidth="1"/>
    <col min="10" max="16384" width="9.140625" style="24"/>
  </cols>
  <sheetData>
    <row r="1" spans="2:82" ht="21" customHeight="1" x14ac:dyDescent="0.25">
      <c r="B1" s="60" t="s">
        <v>22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2:82" ht="18.75" customHeight="1" x14ac:dyDescent="0.25">
      <c r="B2" s="6" t="s">
        <v>0</v>
      </c>
      <c r="C2" s="59" t="s">
        <v>1</v>
      </c>
      <c r="D2" s="59"/>
      <c r="E2" s="59"/>
      <c r="F2" s="55">
        <v>46204</v>
      </c>
      <c r="G2" s="56"/>
      <c r="H2" s="55">
        <v>46205</v>
      </c>
      <c r="I2" s="56"/>
      <c r="J2" s="55">
        <v>46206</v>
      </c>
      <c r="K2" s="56"/>
      <c r="L2" s="55">
        <v>46207</v>
      </c>
      <c r="M2" s="56"/>
      <c r="N2" s="55">
        <v>46208</v>
      </c>
      <c r="O2" s="56"/>
      <c r="P2" s="55">
        <v>46209</v>
      </c>
      <c r="Q2" s="56"/>
      <c r="R2" s="55">
        <v>46210</v>
      </c>
      <c r="S2" s="56"/>
      <c r="T2" s="52" t="s">
        <v>14</v>
      </c>
      <c r="U2" s="53"/>
      <c r="V2" s="54"/>
      <c r="W2" s="55">
        <v>46211</v>
      </c>
      <c r="X2" s="56"/>
      <c r="Y2" s="55">
        <v>46212</v>
      </c>
      <c r="Z2" s="56"/>
      <c r="AA2" s="55">
        <v>46213</v>
      </c>
      <c r="AB2" s="56"/>
      <c r="AC2" s="55">
        <v>46214</v>
      </c>
      <c r="AD2" s="56"/>
      <c r="AE2" s="55">
        <v>46215</v>
      </c>
      <c r="AF2" s="56"/>
      <c r="AG2" s="55">
        <v>46216</v>
      </c>
      <c r="AH2" s="56"/>
      <c r="AI2" s="55">
        <v>46217</v>
      </c>
      <c r="AJ2" s="56"/>
      <c r="AK2" s="52" t="s">
        <v>14</v>
      </c>
      <c r="AL2" s="53"/>
      <c r="AM2" s="54"/>
      <c r="AN2" s="55">
        <v>46218</v>
      </c>
      <c r="AO2" s="56"/>
      <c r="AP2" s="55">
        <v>46219</v>
      </c>
      <c r="AQ2" s="56"/>
      <c r="AR2" s="55">
        <v>46220</v>
      </c>
      <c r="AS2" s="56"/>
      <c r="AT2" s="55">
        <v>46221</v>
      </c>
      <c r="AU2" s="56"/>
      <c r="AV2" s="55">
        <v>46222</v>
      </c>
      <c r="AW2" s="56"/>
      <c r="AX2" s="55">
        <v>46223</v>
      </c>
      <c r="AY2" s="56"/>
      <c r="AZ2" s="55">
        <v>46224</v>
      </c>
      <c r="BA2" s="56"/>
      <c r="BB2" s="52" t="s">
        <v>14</v>
      </c>
      <c r="BC2" s="53"/>
      <c r="BD2" s="54"/>
      <c r="BE2" s="55">
        <v>46225</v>
      </c>
      <c r="BF2" s="56"/>
      <c r="BG2" s="55">
        <v>46226</v>
      </c>
      <c r="BH2" s="56"/>
      <c r="BI2" s="55">
        <v>46227</v>
      </c>
      <c r="BJ2" s="56"/>
      <c r="BK2" s="55">
        <v>46228</v>
      </c>
      <c r="BL2" s="56"/>
      <c r="BM2" s="55">
        <v>46229</v>
      </c>
      <c r="BN2" s="56"/>
      <c r="BO2" s="55">
        <v>46230</v>
      </c>
      <c r="BP2" s="56"/>
      <c r="BQ2" s="55">
        <v>46231</v>
      </c>
      <c r="BR2" s="56"/>
      <c r="BS2" s="55">
        <v>46232</v>
      </c>
      <c r="BT2" s="56"/>
      <c r="BU2" s="55">
        <v>46233</v>
      </c>
      <c r="BV2" s="56"/>
      <c r="BW2" s="55">
        <v>46234</v>
      </c>
      <c r="BX2" s="56"/>
      <c r="BY2" s="52" t="s">
        <v>14</v>
      </c>
      <c r="BZ2" s="53"/>
      <c r="CA2" s="54"/>
      <c r="CB2" s="52" t="s">
        <v>16</v>
      </c>
      <c r="CC2" s="53"/>
      <c r="CD2" s="54"/>
    </row>
    <row r="3" spans="2:82" ht="45" x14ac:dyDescent="0.25">
      <c r="B3" s="6"/>
      <c r="C3" s="25" t="s">
        <v>2</v>
      </c>
      <c r="D3" s="2" t="s">
        <v>20</v>
      </c>
      <c r="E3" s="25" t="s">
        <v>4</v>
      </c>
      <c r="F3" s="23" t="s">
        <v>2</v>
      </c>
      <c r="G3" s="23" t="s">
        <v>4</v>
      </c>
      <c r="H3" s="23" t="s">
        <v>2</v>
      </c>
      <c r="I3" s="23" t="s">
        <v>4</v>
      </c>
      <c r="J3" s="23" t="s">
        <v>2</v>
      </c>
      <c r="K3" s="23" t="s">
        <v>4</v>
      </c>
      <c r="L3" s="23" t="s">
        <v>2</v>
      </c>
      <c r="M3" s="23" t="s">
        <v>4</v>
      </c>
      <c r="N3" s="23" t="s">
        <v>2</v>
      </c>
      <c r="O3" s="23" t="s">
        <v>4</v>
      </c>
      <c r="P3" s="23" t="s">
        <v>2</v>
      </c>
      <c r="Q3" s="23" t="s">
        <v>4</v>
      </c>
      <c r="R3" s="23" t="s">
        <v>2</v>
      </c>
      <c r="S3" s="23" t="s">
        <v>4</v>
      </c>
      <c r="T3" s="15" t="s">
        <v>2</v>
      </c>
      <c r="U3" s="15" t="s">
        <v>4</v>
      </c>
      <c r="V3" s="15" t="s">
        <v>15</v>
      </c>
      <c r="W3" s="23" t="s">
        <v>2</v>
      </c>
      <c r="X3" s="23" t="s">
        <v>4</v>
      </c>
      <c r="Y3" s="23" t="s">
        <v>2</v>
      </c>
      <c r="Z3" s="23" t="s">
        <v>4</v>
      </c>
      <c r="AA3" s="23" t="s">
        <v>2</v>
      </c>
      <c r="AB3" s="23" t="s">
        <v>4</v>
      </c>
      <c r="AC3" s="23" t="s">
        <v>2</v>
      </c>
      <c r="AD3" s="23" t="s">
        <v>4</v>
      </c>
      <c r="AE3" s="23" t="s">
        <v>2</v>
      </c>
      <c r="AF3" s="23" t="s">
        <v>4</v>
      </c>
      <c r="AG3" s="23" t="s">
        <v>2</v>
      </c>
      <c r="AH3" s="23" t="s">
        <v>4</v>
      </c>
      <c r="AI3" s="23" t="s">
        <v>2</v>
      </c>
      <c r="AJ3" s="23" t="s">
        <v>4</v>
      </c>
      <c r="AK3" s="15" t="s">
        <v>2</v>
      </c>
      <c r="AL3" s="15" t="s">
        <v>4</v>
      </c>
      <c r="AM3" s="15" t="s">
        <v>15</v>
      </c>
      <c r="AN3" s="23" t="s">
        <v>2</v>
      </c>
      <c r="AO3" s="23" t="s">
        <v>4</v>
      </c>
      <c r="AP3" s="23" t="s">
        <v>2</v>
      </c>
      <c r="AQ3" s="23" t="s">
        <v>4</v>
      </c>
      <c r="AR3" s="23" t="s">
        <v>2</v>
      </c>
      <c r="AS3" s="23" t="s">
        <v>4</v>
      </c>
      <c r="AT3" s="23" t="s">
        <v>2</v>
      </c>
      <c r="AU3" s="23" t="s">
        <v>4</v>
      </c>
      <c r="AV3" s="23" t="s">
        <v>2</v>
      </c>
      <c r="AW3" s="23" t="s">
        <v>4</v>
      </c>
      <c r="AX3" s="23" t="s">
        <v>2</v>
      </c>
      <c r="AY3" s="23" t="s">
        <v>4</v>
      </c>
      <c r="AZ3" s="23" t="s">
        <v>2</v>
      </c>
      <c r="BA3" s="23" t="s">
        <v>4</v>
      </c>
      <c r="BB3" s="15" t="s">
        <v>2</v>
      </c>
      <c r="BC3" s="15" t="s">
        <v>4</v>
      </c>
      <c r="BD3" s="15" t="s">
        <v>15</v>
      </c>
      <c r="BE3" s="23" t="s">
        <v>2</v>
      </c>
      <c r="BF3" s="23" t="s">
        <v>4</v>
      </c>
      <c r="BG3" s="23" t="s">
        <v>2</v>
      </c>
      <c r="BH3" s="23" t="s">
        <v>4</v>
      </c>
      <c r="BI3" s="23" t="s">
        <v>2</v>
      </c>
      <c r="BJ3" s="23" t="s">
        <v>4</v>
      </c>
      <c r="BK3" s="23" t="s">
        <v>2</v>
      </c>
      <c r="BL3" s="23" t="s">
        <v>4</v>
      </c>
      <c r="BM3" s="23" t="s">
        <v>2</v>
      </c>
      <c r="BN3" s="23" t="s">
        <v>4</v>
      </c>
      <c r="BO3" s="23" t="s">
        <v>2</v>
      </c>
      <c r="BP3" s="23" t="s">
        <v>4</v>
      </c>
      <c r="BQ3" s="23" t="s">
        <v>2</v>
      </c>
      <c r="BR3" s="23" t="s">
        <v>4</v>
      </c>
      <c r="BS3" s="23" t="s">
        <v>2</v>
      </c>
      <c r="BT3" s="23" t="s">
        <v>4</v>
      </c>
      <c r="BU3" s="23" t="s">
        <v>2</v>
      </c>
      <c r="BV3" s="23" t="s">
        <v>4</v>
      </c>
      <c r="BW3" s="23" t="s">
        <v>2</v>
      </c>
      <c r="BX3" s="23" t="s">
        <v>4</v>
      </c>
      <c r="BY3" s="15" t="s">
        <v>2</v>
      </c>
      <c r="BZ3" s="15" t="s">
        <v>4</v>
      </c>
      <c r="CA3" s="15" t="s">
        <v>15</v>
      </c>
      <c r="CB3" s="15" t="s">
        <v>2</v>
      </c>
      <c r="CC3" s="15" t="s">
        <v>4</v>
      </c>
      <c r="CD3" s="15" t="s">
        <v>15</v>
      </c>
    </row>
    <row r="4" spans="2:82" x14ac:dyDescent="0.25">
      <c r="B4" s="7" t="s">
        <v>5</v>
      </c>
      <c r="C4" s="25">
        <v>330</v>
      </c>
      <c r="D4" s="25">
        <v>0.9</v>
      </c>
      <c r="E4" s="25">
        <f>C4*D4</f>
        <v>297</v>
      </c>
      <c r="F4" s="23">
        <v>0</v>
      </c>
      <c r="G4" s="23">
        <f>F4*D4</f>
        <v>0</v>
      </c>
      <c r="H4" s="23">
        <v>0</v>
      </c>
      <c r="I4" s="23">
        <f>H4*D4</f>
        <v>0</v>
      </c>
      <c r="J4" s="23">
        <v>0</v>
      </c>
      <c r="K4" s="23">
        <f>J4*D4</f>
        <v>0</v>
      </c>
      <c r="L4" s="23">
        <v>0</v>
      </c>
      <c r="M4" s="23">
        <f>L4*D4</f>
        <v>0</v>
      </c>
      <c r="N4" s="23">
        <v>0</v>
      </c>
      <c r="O4" s="23">
        <f>N4*D4</f>
        <v>0</v>
      </c>
      <c r="P4" s="23">
        <v>0</v>
      </c>
      <c r="Q4" s="23"/>
      <c r="R4" s="23">
        <v>0</v>
      </c>
      <c r="S4" s="23"/>
      <c r="T4" s="15">
        <f>R4+P4+N4+H4+F4+J4+L4</f>
        <v>0</v>
      </c>
      <c r="U4" s="15">
        <f>S4+Q4+O4+I4+G4+K4+M4</f>
        <v>0</v>
      </c>
      <c r="V4" s="21">
        <f>T4/(C4*7)*100</f>
        <v>0</v>
      </c>
      <c r="W4" s="23">
        <v>0</v>
      </c>
      <c r="X4" s="23"/>
      <c r="Y4" s="23">
        <v>0</v>
      </c>
      <c r="Z4" s="23"/>
      <c r="AA4" s="23">
        <v>0</v>
      </c>
      <c r="AB4" s="23"/>
      <c r="AC4" s="23">
        <v>0</v>
      </c>
      <c r="AD4" s="23"/>
      <c r="AE4" s="23">
        <v>0</v>
      </c>
      <c r="AF4" s="23"/>
      <c r="AG4" s="23">
        <v>66</v>
      </c>
      <c r="AH4" s="23"/>
      <c r="AI4" s="23">
        <v>83</v>
      </c>
      <c r="AJ4" s="23"/>
      <c r="AK4" s="15">
        <f>W4+Y4+AA4+AC4+AE4+AG4+AI4</f>
        <v>149</v>
      </c>
      <c r="AL4" s="15">
        <f>X4+Z4+AB4+AD4+AF4+AH4+AJ4</f>
        <v>0</v>
      </c>
      <c r="AM4" s="21">
        <f>AK4/(C4*7)*100</f>
        <v>6.4502164502164501</v>
      </c>
      <c r="AN4" s="23">
        <v>0</v>
      </c>
      <c r="AO4" s="23"/>
      <c r="AP4" s="23">
        <v>57</v>
      </c>
      <c r="AQ4" s="23"/>
      <c r="AR4" s="23">
        <v>89</v>
      </c>
      <c r="AS4" s="18"/>
      <c r="AT4" s="23">
        <f>64+13</f>
        <v>77</v>
      </c>
      <c r="AU4" s="18"/>
      <c r="AV4" s="23">
        <v>55</v>
      </c>
      <c r="AW4" s="23"/>
      <c r="AX4" s="23">
        <v>0</v>
      </c>
      <c r="AY4" s="23"/>
      <c r="AZ4" s="23">
        <f>24</f>
        <v>24</v>
      </c>
      <c r="BA4" s="23"/>
      <c r="BB4" s="15">
        <f>AN4+AP4+AR4+AT4+AV4+AX4+AZ4</f>
        <v>302</v>
      </c>
      <c r="BC4" s="15">
        <f>AO4+AQ4+AS4+AU4+AW4+AY4+BA4</f>
        <v>0</v>
      </c>
      <c r="BD4" s="21">
        <f>BB4/(C4*7)*100</f>
        <v>13.073593073593074</v>
      </c>
      <c r="BE4" s="23"/>
      <c r="BF4" s="23"/>
      <c r="BG4" s="23"/>
      <c r="BH4" s="23"/>
      <c r="BI4" s="23"/>
      <c r="BJ4" s="23"/>
      <c r="BK4" s="23">
        <v>0</v>
      </c>
      <c r="BL4" s="23"/>
      <c r="BM4" s="23">
        <v>80</v>
      </c>
      <c r="BN4" s="23"/>
      <c r="BO4" s="23">
        <v>95</v>
      </c>
      <c r="BP4" s="23"/>
      <c r="BQ4" s="23">
        <v>0</v>
      </c>
      <c r="BR4" s="23"/>
      <c r="BS4" s="23">
        <v>0</v>
      </c>
      <c r="BT4" s="23"/>
      <c r="BU4" s="23">
        <v>0</v>
      </c>
      <c r="BV4" s="23"/>
      <c r="BW4" s="23">
        <v>0</v>
      </c>
      <c r="BX4" s="23"/>
      <c r="BY4" s="15">
        <f>BE4+BG4+BI4+BK4+BM4+BO4+BQ4+BS4+BU4</f>
        <v>175</v>
      </c>
      <c r="BZ4" s="15">
        <f>BJ4+BL4+BN4+BP4+BR4+BT4+BV4</f>
        <v>0</v>
      </c>
      <c r="CA4" s="21">
        <f>BY4/(C4*7)*100</f>
        <v>7.5757575757575761</v>
      </c>
      <c r="CB4" s="15"/>
      <c r="CC4" s="15"/>
      <c r="CD4" s="21"/>
    </row>
    <row r="5" spans="2:82" x14ac:dyDescent="0.25">
      <c r="B5" s="7" t="s">
        <v>6</v>
      </c>
      <c r="C5" s="25">
        <v>124</v>
      </c>
      <c r="D5" s="25">
        <v>0.5</v>
      </c>
      <c r="E5" s="4">
        <f t="shared" ref="E5:E10" si="0">C5*D5</f>
        <v>62</v>
      </c>
      <c r="F5" s="23">
        <v>0</v>
      </c>
      <c r="G5" s="26">
        <f t="shared" ref="G5:G10" si="1">F5*D5</f>
        <v>0</v>
      </c>
      <c r="H5" s="23">
        <v>0</v>
      </c>
      <c r="I5" s="26">
        <f t="shared" ref="I5:I10" si="2">H5*D5</f>
        <v>0</v>
      </c>
      <c r="J5" s="23">
        <v>0</v>
      </c>
      <c r="K5" s="28">
        <f t="shared" ref="K5:K10" si="3">J5*D5</f>
        <v>0</v>
      </c>
      <c r="L5" s="23">
        <v>0</v>
      </c>
      <c r="M5" s="28">
        <f t="shared" ref="M5:M10" si="4">L5*D5</f>
        <v>0</v>
      </c>
      <c r="N5" s="23">
        <v>0</v>
      </c>
      <c r="O5" s="28">
        <f t="shared" ref="O5:O10" si="5">N5*D5</f>
        <v>0</v>
      </c>
      <c r="P5" s="23">
        <v>0</v>
      </c>
      <c r="Q5" s="23"/>
      <c r="R5" s="23">
        <v>0</v>
      </c>
      <c r="S5" s="23"/>
      <c r="T5" s="15">
        <f t="shared" ref="T5:U10" si="6">R5+P5+N5+H5+F5+J5+L5</f>
        <v>0</v>
      </c>
      <c r="U5" s="15">
        <f t="shared" si="6"/>
        <v>0</v>
      </c>
      <c r="V5" s="21">
        <f t="shared" ref="V5:V10" si="7">T5/(C5*7)*100</f>
        <v>0</v>
      </c>
      <c r="W5" s="23">
        <v>0</v>
      </c>
      <c r="X5" s="23"/>
      <c r="Y5" s="23">
        <v>0</v>
      </c>
      <c r="Z5" s="23"/>
      <c r="AA5" s="23">
        <v>0</v>
      </c>
      <c r="AB5" s="23"/>
      <c r="AC5" s="23">
        <v>0</v>
      </c>
      <c r="AD5" s="23"/>
      <c r="AE5" s="23">
        <v>0</v>
      </c>
      <c r="AF5" s="23"/>
      <c r="AG5" s="23">
        <v>0</v>
      </c>
      <c r="AH5" s="23"/>
      <c r="AI5" s="23">
        <v>0</v>
      </c>
      <c r="AJ5" s="23"/>
      <c r="AK5" s="15">
        <f t="shared" ref="AK5:AL10" si="8">W5+Y5+AA5+AC5+AE5+AG5+AI5</f>
        <v>0</v>
      </c>
      <c r="AL5" s="15">
        <f t="shared" si="8"/>
        <v>0</v>
      </c>
      <c r="AM5" s="21">
        <f t="shared" ref="AM5:AM10" si="9">AK5/(C5*7)*100</f>
        <v>0</v>
      </c>
      <c r="AN5" s="23">
        <v>0</v>
      </c>
      <c r="AO5" s="23"/>
      <c r="AP5" s="23">
        <v>0</v>
      </c>
      <c r="AQ5" s="23"/>
      <c r="AR5" s="23">
        <v>0</v>
      </c>
      <c r="AS5" s="18"/>
      <c r="AT5" s="23">
        <v>0</v>
      </c>
      <c r="AU5" s="18"/>
      <c r="AV5" s="23">
        <v>0</v>
      </c>
      <c r="AW5" s="23"/>
      <c r="AX5" s="23">
        <v>0</v>
      </c>
      <c r="AY5" s="23"/>
      <c r="AZ5" s="23">
        <v>0</v>
      </c>
      <c r="BA5" s="23"/>
      <c r="BB5" s="15">
        <f t="shared" ref="BB5:BC10" si="10">AN5+AP5+AR5+AT5+AV5+AX5+AZ5</f>
        <v>0</v>
      </c>
      <c r="BC5" s="15">
        <f t="shared" si="10"/>
        <v>0</v>
      </c>
      <c r="BD5" s="21">
        <f t="shared" ref="BD5:BD10" si="11">BB5/(C5*7)*100</f>
        <v>0</v>
      </c>
      <c r="BE5" s="23"/>
      <c r="BF5" s="23"/>
      <c r="BG5" s="23"/>
      <c r="BH5" s="23"/>
      <c r="BI5" s="23"/>
      <c r="BJ5" s="23"/>
      <c r="BK5" s="23">
        <v>0</v>
      </c>
      <c r="BL5" s="23"/>
      <c r="BM5" s="23">
        <v>0</v>
      </c>
      <c r="BN5" s="23"/>
      <c r="BO5" s="23">
        <v>0</v>
      </c>
      <c r="BP5" s="23"/>
      <c r="BQ5" s="23">
        <v>0</v>
      </c>
      <c r="BR5" s="23"/>
      <c r="BS5" s="23">
        <v>0</v>
      </c>
      <c r="BT5" s="23"/>
      <c r="BU5" s="23">
        <v>0</v>
      </c>
      <c r="BV5" s="23"/>
      <c r="BW5" s="23">
        <v>0</v>
      </c>
      <c r="BX5" s="23"/>
      <c r="BY5" s="15">
        <f t="shared" ref="BY5:BY10" si="12">BE5+BG5+BI5+BK5+BM5+BO5+BQ5+BS5+BU5</f>
        <v>0</v>
      </c>
      <c r="BZ5" s="15">
        <f t="shared" ref="BZ5:BZ10" si="13">BJ5+BL5+BN5+BP5+BR5+BT5+BV5</f>
        <v>0</v>
      </c>
      <c r="CA5" s="21">
        <f t="shared" ref="CA5:CA10" si="14">BY5/(C5*7)*100</f>
        <v>0</v>
      </c>
      <c r="CB5" s="15"/>
      <c r="CC5" s="15"/>
      <c r="CD5" s="21"/>
    </row>
    <row r="6" spans="2:82" x14ac:dyDescent="0.25">
      <c r="B6" s="7" t="s">
        <v>7</v>
      </c>
      <c r="C6" s="15">
        <v>628</v>
      </c>
      <c r="D6" s="15">
        <v>0.24</v>
      </c>
      <c r="E6" s="16">
        <f t="shared" si="0"/>
        <v>150.72</v>
      </c>
      <c r="F6" s="23">
        <f>180+47</f>
        <v>227</v>
      </c>
      <c r="G6" s="26">
        <f t="shared" si="1"/>
        <v>54.48</v>
      </c>
      <c r="H6" s="23">
        <f>222+105+53+52+120</f>
        <v>552</v>
      </c>
      <c r="I6" s="26">
        <f t="shared" si="2"/>
        <v>132.47999999999999</v>
      </c>
      <c r="J6" s="23">
        <v>383</v>
      </c>
      <c r="K6" s="28">
        <f t="shared" si="3"/>
        <v>91.92</v>
      </c>
      <c r="L6" s="23">
        <f>110+90+200+20+40+52+70+20+50+4+140+130+130</f>
        <v>1056</v>
      </c>
      <c r="M6" s="28">
        <f t="shared" si="4"/>
        <v>253.44</v>
      </c>
      <c r="N6" s="23">
        <f>180+170+140+90</f>
        <v>580</v>
      </c>
      <c r="O6" s="28">
        <f t="shared" si="5"/>
        <v>139.19999999999999</v>
      </c>
      <c r="P6" s="23">
        <f>170+150+180+40+50+40+40+40+30</f>
        <v>740</v>
      </c>
      <c r="Q6" s="23"/>
      <c r="R6" s="23">
        <f>90+70+420+53+55+53+125+52+71</f>
        <v>989</v>
      </c>
      <c r="S6" s="23"/>
      <c r="T6" s="15">
        <f t="shared" si="6"/>
        <v>4527</v>
      </c>
      <c r="U6" s="15">
        <f t="shared" si="6"/>
        <v>671.52</v>
      </c>
      <c r="V6" s="21">
        <f t="shared" si="7"/>
        <v>102.97998180163785</v>
      </c>
      <c r="W6" s="23">
        <v>0</v>
      </c>
      <c r="X6" s="23"/>
      <c r="Y6" s="23">
        <f>160+50</f>
        <v>210</v>
      </c>
      <c r="Z6" s="23"/>
      <c r="AA6" s="23">
        <f>53+112+300+54+53+58+80</f>
        <v>710</v>
      </c>
      <c r="AB6" s="23"/>
      <c r="AC6" s="23">
        <f>400+41+27+99+51+57</f>
        <v>675</v>
      </c>
      <c r="AD6" s="23"/>
      <c r="AE6" s="23">
        <f>23+90+30+190+430+104+52+22+260+38+31</f>
        <v>1270</v>
      </c>
      <c r="AF6" s="23"/>
      <c r="AG6" s="23">
        <f>22+35+51+54+156+200+160+320+170+18+50</f>
        <v>1236</v>
      </c>
      <c r="AH6" s="23"/>
      <c r="AI6" s="23">
        <f>47+44+72+112+221+46</f>
        <v>542</v>
      </c>
      <c r="AJ6" s="23"/>
      <c r="AK6" s="15">
        <f t="shared" si="8"/>
        <v>4643</v>
      </c>
      <c r="AL6" s="15">
        <f t="shared" si="8"/>
        <v>0</v>
      </c>
      <c r="AM6" s="21">
        <f t="shared" si="9"/>
        <v>105.61874431301183</v>
      </c>
      <c r="AN6" s="23">
        <f>70+30+99+10+90+20+40</f>
        <v>359</v>
      </c>
      <c r="AO6" s="23"/>
      <c r="AP6" s="23">
        <f>116+42+503+36+46+34+164+42+3</f>
        <v>986</v>
      </c>
      <c r="AQ6" s="23"/>
      <c r="AR6" s="23">
        <f>39+20+39+4+46+32+94+53</f>
        <v>327</v>
      </c>
      <c r="AS6" s="18"/>
      <c r="AT6" s="23">
        <f>400+270+210+70+10+60+70</f>
        <v>1090</v>
      </c>
      <c r="AU6" s="18"/>
      <c r="AV6" s="23">
        <f>550+100+490+30+60+48+160</f>
        <v>1438</v>
      </c>
      <c r="AW6" s="23"/>
      <c r="AX6" s="23">
        <f>140+98+17+18+133+150+230+70+20+106+30</f>
        <v>1012</v>
      </c>
      <c r="AY6" s="23"/>
      <c r="AZ6" s="23">
        <f>40+340+150+100+110+90+170+40+10</f>
        <v>1050</v>
      </c>
      <c r="BA6" s="23"/>
      <c r="BB6" s="15">
        <f t="shared" si="10"/>
        <v>6262</v>
      </c>
      <c r="BC6" s="15">
        <f t="shared" si="10"/>
        <v>0</v>
      </c>
      <c r="BD6" s="21">
        <f t="shared" si="11"/>
        <v>142.4476797088262</v>
      </c>
      <c r="BE6" s="23"/>
      <c r="BF6" s="23"/>
      <c r="BG6" s="23"/>
      <c r="BH6" s="23"/>
      <c r="BI6" s="23"/>
      <c r="BJ6" s="23"/>
      <c r="BK6" s="23">
        <f>300+260+130+3+10</f>
        <v>703</v>
      </c>
      <c r="BL6" s="23"/>
      <c r="BM6" s="23">
        <f>80+108+70+113+50+36+42+130+35+101</f>
        <v>765</v>
      </c>
      <c r="BN6" s="23"/>
      <c r="BO6" s="23">
        <f>15+160+36</f>
        <v>211</v>
      </c>
      <c r="BP6" s="23"/>
      <c r="BQ6" s="23">
        <f>52+110+40+61+175+210</f>
        <v>648</v>
      </c>
      <c r="BR6" s="23"/>
      <c r="BS6" s="23">
        <v>592</v>
      </c>
      <c r="BT6" s="23"/>
      <c r="BU6" s="23">
        <f>54+72+59+109+58+88+40+130</f>
        <v>610</v>
      </c>
      <c r="BV6" s="23"/>
      <c r="BW6" s="23">
        <f>60+45+60+80+63+100+109+360+100+130+32</f>
        <v>1139</v>
      </c>
      <c r="BX6" s="23"/>
      <c r="BY6" s="15">
        <f t="shared" si="12"/>
        <v>3529</v>
      </c>
      <c r="BZ6" s="15">
        <f t="shared" si="13"/>
        <v>0</v>
      </c>
      <c r="CA6" s="21">
        <f t="shared" si="14"/>
        <v>80.277525022747952</v>
      </c>
      <c r="CB6" s="15"/>
      <c r="CC6" s="15"/>
      <c r="CD6" s="21"/>
    </row>
    <row r="7" spans="2:82" x14ac:dyDescent="0.25">
      <c r="B7" s="7" t="s">
        <v>8</v>
      </c>
      <c r="C7" s="15">
        <v>1729</v>
      </c>
      <c r="D7" s="15">
        <v>0.11</v>
      </c>
      <c r="E7" s="16">
        <f t="shared" si="0"/>
        <v>190.19</v>
      </c>
      <c r="F7" s="23">
        <f>220+195+150+80</f>
        <v>645</v>
      </c>
      <c r="G7" s="26">
        <f t="shared" si="1"/>
        <v>70.95</v>
      </c>
      <c r="H7" s="23">
        <f>230+500+70+20+41+10</f>
        <v>871</v>
      </c>
      <c r="I7" s="26">
        <f t="shared" si="2"/>
        <v>95.81</v>
      </c>
      <c r="J7" s="23">
        <v>507</v>
      </c>
      <c r="K7" s="28">
        <f t="shared" si="3"/>
        <v>55.77</v>
      </c>
      <c r="L7" s="23">
        <f>28+150+110+130+100+110+20+350+210</f>
        <v>1208</v>
      </c>
      <c r="M7" s="28">
        <f t="shared" si="4"/>
        <v>132.88</v>
      </c>
      <c r="N7" s="23">
        <f>130+90+40+50+180</f>
        <v>490</v>
      </c>
      <c r="O7" s="28">
        <f t="shared" si="5"/>
        <v>53.9</v>
      </c>
      <c r="P7" s="23">
        <f>70+30+40+140+70+80+50+40+20</f>
        <v>540</v>
      </c>
      <c r="Q7" s="23"/>
      <c r="R7" s="23">
        <f>160+60+210+100+140+58+30+20</f>
        <v>778</v>
      </c>
      <c r="S7" s="23"/>
      <c r="T7" s="15">
        <f t="shared" si="6"/>
        <v>5039</v>
      </c>
      <c r="U7" s="15">
        <f t="shared" si="6"/>
        <v>409.31</v>
      </c>
      <c r="V7" s="21">
        <f t="shared" si="7"/>
        <v>41.634305544079979</v>
      </c>
      <c r="W7" s="23">
        <v>0</v>
      </c>
      <c r="X7" s="23"/>
      <c r="Y7" s="23">
        <f>100+15+60+45</f>
        <v>220</v>
      </c>
      <c r="Z7" s="23"/>
      <c r="AA7" s="23">
        <f>96+30+540+250+220+150+32+15+35+10+29+35+40</f>
        <v>1482</v>
      </c>
      <c r="AB7" s="23"/>
      <c r="AC7" s="23">
        <f>400+250+65+170+130+80+104+20+23</f>
        <v>1242</v>
      </c>
      <c r="AD7" s="23"/>
      <c r="AE7" s="23">
        <f>140+200+110+150+70+12</f>
        <v>682</v>
      </c>
      <c r="AF7" s="23"/>
      <c r="AG7" s="23">
        <f>300+220+200+270+30+96+90</f>
        <v>1206</v>
      </c>
      <c r="AH7" s="23"/>
      <c r="AI7" s="23">
        <f>190+20+8+16+10+150+160+230+50+25+40+10+29+32+44</f>
        <v>1014</v>
      </c>
      <c r="AJ7" s="23"/>
      <c r="AK7" s="15">
        <f t="shared" si="8"/>
        <v>5846</v>
      </c>
      <c r="AL7" s="15">
        <f t="shared" si="8"/>
        <v>0</v>
      </c>
      <c r="AM7" s="21">
        <f t="shared" si="9"/>
        <v>48.302073865983644</v>
      </c>
      <c r="AN7" s="23">
        <f>220+200+9+10+70+36+30+9</f>
        <v>584</v>
      </c>
      <c r="AO7" s="23"/>
      <c r="AP7" s="23">
        <f>90+90+60+20+30</f>
        <v>290</v>
      </c>
      <c r="AQ7" s="23"/>
      <c r="AR7" s="23">
        <f>70+90+24</f>
        <v>184</v>
      </c>
      <c r="AS7" s="18"/>
      <c r="AT7" s="23">
        <f>290+150+250+140+130+30+280</f>
        <v>1270</v>
      </c>
      <c r="AU7" s="18"/>
      <c r="AV7" s="23">
        <f>330+310+130+210</f>
        <v>980</v>
      </c>
      <c r="AW7" s="23"/>
      <c r="AX7" s="23">
        <f>370+260+30+70+30</f>
        <v>760</v>
      </c>
      <c r="AY7" s="23"/>
      <c r="AZ7" s="23">
        <f>170+115+19+160+30+130+80+50</f>
        <v>754</v>
      </c>
      <c r="BA7" s="23"/>
      <c r="BB7" s="15">
        <f t="shared" si="10"/>
        <v>4822</v>
      </c>
      <c r="BC7" s="15">
        <f t="shared" si="10"/>
        <v>0</v>
      </c>
      <c r="BD7" s="21">
        <f t="shared" si="11"/>
        <v>39.841361645872922</v>
      </c>
      <c r="BE7" s="23"/>
      <c r="BF7" s="23"/>
      <c r="BG7" s="23"/>
      <c r="BH7" s="23"/>
      <c r="BI7" s="23"/>
      <c r="BJ7" s="23"/>
      <c r="BK7" s="23">
        <f>360+180+540+340+4+24+160</f>
        <v>1608</v>
      </c>
      <c r="BL7" s="23"/>
      <c r="BM7" s="23">
        <f>140+70+60+190+113+110+39</f>
        <v>722</v>
      </c>
      <c r="BN7" s="23"/>
      <c r="BO7" s="23">
        <f>120+250+450+40+120+160+63+70+60</f>
        <v>1333</v>
      </c>
      <c r="BP7" s="23"/>
      <c r="BQ7" s="23">
        <f>140+120+49+440+110</f>
        <v>859</v>
      </c>
      <c r="BR7" s="23"/>
      <c r="BS7" s="23">
        <v>1298</v>
      </c>
      <c r="BT7" s="23"/>
      <c r="BU7" s="23">
        <f>90+310+30+160+80+150+60+8</f>
        <v>888</v>
      </c>
      <c r="BV7" s="23"/>
      <c r="BW7" s="23">
        <f>40+40+20+170+240+130+80+60+40</f>
        <v>820</v>
      </c>
      <c r="BX7" s="23"/>
      <c r="BY7" s="15">
        <f t="shared" si="12"/>
        <v>6708</v>
      </c>
      <c r="BZ7" s="15">
        <f t="shared" si="13"/>
        <v>0</v>
      </c>
      <c r="CA7" s="21">
        <f t="shared" si="14"/>
        <v>55.424274973147156</v>
      </c>
      <c r="CB7" s="15"/>
      <c r="CC7" s="15"/>
      <c r="CD7" s="21"/>
    </row>
    <row r="8" spans="2:82" x14ac:dyDescent="0.25">
      <c r="B8" s="7" t="s">
        <v>9</v>
      </c>
      <c r="C8" s="25">
        <v>1696</v>
      </c>
      <c r="D8" s="25">
        <v>3.5999999999999997E-2</v>
      </c>
      <c r="E8" s="4">
        <f t="shared" si="0"/>
        <v>61.055999999999997</v>
      </c>
      <c r="F8" s="23">
        <v>0</v>
      </c>
      <c r="G8" s="26">
        <f t="shared" si="1"/>
        <v>0</v>
      </c>
      <c r="H8" s="23">
        <v>0</v>
      </c>
      <c r="I8" s="26">
        <f t="shared" si="2"/>
        <v>0</v>
      </c>
      <c r="J8" s="23">
        <v>90</v>
      </c>
      <c r="K8" s="28">
        <f t="shared" si="3"/>
        <v>3.2399999999999998</v>
      </c>
      <c r="L8" s="23">
        <f>117+250</f>
        <v>367</v>
      </c>
      <c r="M8" s="28">
        <f t="shared" si="4"/>
        <v>13.212</v>
      </c>
      <c r="N8" s="23">
        <f>170</f>
        <v>170</v>
      </c>
      <c r="O8" s="28">
        <f t="shared" si="5"/>
        <v>6.1199999999999992</v>
      </c>
      <c r="P8" s="23">
        <v>0</v>
      </c>
      <c r="Q8" s="23"/>
      <c r="R8" s="23">
        <f>0</f>
        <v>0</v>
      </c>
      <c r="S8" s="23"/>
      <c r="T8" s="15">
        <f t="shared" si="6"/>
        <v>627</v>
      </c>
      <c r="U8" s="15">
        <f t="shared" si="6"/>
        <v>22.571999999999999</v>
      </c>
      <c r="V8" s="21">
        <f t="shared" si="7"/>
        <v>5.2813342318059302</v>
      </c>
      <c r="W8" s="23">
        <v>0</v>
      </c>
      <c r="X8" s="23"/>
      <c r="Y8" s="23">
        <v>270</v>
      </c>
      <c r="Z8" s="23"/>
      <c r="AA8" s="23">
        <v>0</v>
      </c>
      <c r="AB8" s="23"/>
      <c r="AC8" s="23">
        <v>0</v>
      </c>
      <c r="AD8" s="23"/>
      <c r="AE8" s="23">
        <v>0</v>
      </c>
      <c r="AF8" s="23"/>
      <c r="AG8" s="23">
        <v>0</v>
      </c>
      <c r="AH8" s="23"/>
      <c r="AI8" s="23">
        <v>0</v>
      </c>
      <c r="AJ8" s="23"/>
      <c r="AK8" s="15">
        <f t="shared" si="8"/>
        <v>270</v>
      </c>
      <c r="AL8" s="15">
        <f t="shared" si="8"/>
        <v>0</v>
      </c>
      <c r="AM8" s="21">
        <f t="shared" si="9"/>
        <v>2.2742587601078168</v>
      </c>
      <c r="AN8" s="23">
        <v>0</v>
      </c>
      <c r="AO8" s="23"/>
      <c r="AP8" s="23">
        <v>0</v>
      </c>
      <c r="AQ8" s="23"/>
      <c r="AR8" s="23">
        <v>0</v>
      </c>
      <c r="AS8" s="18"/>
      <c r="AT8" s="23">
        <v>0</v>
      </c>
      <c r="AU8" s="18"/>
      <c r="AV8" s="23">
        <v>0</v>
      </c>
      <c r="AW8" s="23"/>
      <c r="AX8" s="23">
        <v>0</v>
      </c>
      <c r="AY8" s="23"/>
      <c r="AZ8" s="23">
        <v>0</v>
      </c>
      <c r="BA8" s="23"/>
      <c r="BB8" s="15">
        <f t="shared" si="10"/>
        <v>0</v>
      </c>
      <c r="BC8" s="15">
        <f t="shared" si="10"/>
        <v>0</v>
      </c>
      <c r="BD8" s="21">
        <f t="shared" si="11"/>
        <v>0</v>
      </c>
      <c r="BE8" s="23"/>
      <c r="BF8" s="23"/>
      <c r="BG8" s="23"/>
      <c r="BH8" s="23"/>
      <c r="BI8" s="23"/>
      <c r="BJ8" s="23"/>
      <c r="BK8" s="23">
        <v>13</v>
      </c>
      <c r="BL8" s="23"/>
      <c r="BM8" s="23">
        <v>0</v>
      </c>
      <c r="BN8" s="23"/>
      <c r="BO8" s="23">
        <f>190+390+260</f>
        <v>840</v>
      </c>
      <c r="BP8" s="23"/>
      <c r="BQ8" s="23">
        <f>530+93+330</f>
        <v>953</v>
      </c>
      <c r="BR8" s="23"/>
      <c r="BS8" s="23">
        <v>218</v>
      </c>
      <c r="BT8" s="23"/>
      <c r="BU8" s="23">
        <v>0</v>
      </c>
      <c r="BV8" s="23"/>
      <c r="BW8" s="23">
        <v>0</v>
      </c>
      <c r="BX8" s="23"/>
      <c r="BY8" s="15">
        <f t="shared" si="12"/>
        <v>2024</v>
      </c>
      <c r="BZ8" s="15">
        <f t="shared" si="13"/>
        <v>0</v>
      </c>
      <c r="CA8" s="21">
        <f t="shared" si="14"/>
        <v>17.048517520215633</v>
      </c>
      <c r="CB8" s="15"/>
      <c r="CC8" s="15"/>
      <c r="CD8" s="21"/>
    </row>
    <row r="9" spans="2:82" x14ac:dyDescent="0.25">
      <c r="B9" s="7" t="s">
        <v>10</v>
      </c>
      <c r="C9" s="15">
        <v>3315</v>
      </c>
      <c r="D9" s="15">
        <v>0.20399999999999999</v>
      </c>
      <c r="E9" s="16">
        <f t="shared" si="0"/>
        <v>676.26</v>
      </c>
      <c r="F9" s="23">
        <f>560+660+418+660+460+710</f>
        <v>3468</v>
      </c>
      <c r="G9" s="26">
        <f t="shared" si="1"/>
        <v>707.47199999999998</v>
      </c>
      <c r="H9" s="23">
        <f>710+730+315+780+402+620</f>
        <v>3557</v>
      </c>
      <c r="I9" s="26">
        <f t="shared" si="2"/>
        <v>725.62799999999993</v>
      </c>
      <c r="J9" s="23">
        <f>702+522+760+800+421+526</f>
        <v>3731</v>
      </c>
      <c r="K9" s="28">
        <f t="shared" si="3"/>
        <v>761.12399999999991</v>
      </c>
      <c r="L9" s="23">
        <f>632+532+775+815+424+543</f>
        <v>3721</v>
      </c>
      <c r="M9" s="28">
        <f t="shared" si="4"/>
        <v>759.08399999999995</v>
      </c>
      <c r="N9" s="23">
        <f>470+760+738+830+463+595</f>
        <v>3856</v>
      </c>
      <c r="O9" s="28">
        <f t="shared" si="5"/>
        <v>786.62399999999991</v>
      </c>
      <c r="P9" s="23">
        <f>570+771+737+767+423+606</f>
        <v>3874</v>
      </c>
      <c r="Q9" s="23"/>
      <c r="R9" s="23">
        <f>400+475+615</f>
        <v>1490</v>
      </c>
      <c r="S9" s="33" t="s">
        <v>23</v>
      </c>
      <c r="T9" s="15">
        <f t="shared" si="6"/>
        <v>23697</v>
      </c>
      <c r="U9" s="15" t="e">
        <f t="shared" si="6"/>
        <v>#VALUE!</v>
      </c>
      <c r="V9" s="21">
        <f t="shared" si="7"/>
        <v>102.120232708468</v>
      </c>
      <c r="W9" s="23">
        <v>0</v>
      </c>
      <c r="X9" s="23"/>
      <c r="Y9" s="23">
        <f>811+381+640</f>
        <v>1832</v>
      </c>
      <c r="Z9" s="23"/>
      <c r="AA9" s="23">
        <f>814+461+521+190+683+927</f>
        <v>3596</v>
      </c>
      <c r="AB9" s="23"/>
      <c r="AC9" s="31">
        <f>824+510+520+210+1248</f>
        <v>3312</v>
      </c>
      <c r="AD9" s="23"/>
      <c r="AE9" s="23">
        <f>767+700+410+788+719+410</f>
        <v>3794</v>
      </c>
      <c r="AF9" s="23"/>
      <c r="AG9" s="23">
        <f>670+442+715+823+817+451</f>
        <v>3918</v>
      </c>
      <c r="AH9" s="23"/>
      <c r="AI9" s="23">
        <f>494+757+522+978+992</f>
        <v>3743</v>
      </c>
      <c r="AJ9" s="23"/>
      <c r="AK9" s="15">
        <f t="shared" si="8"/>
        <v>20195</v>
      </c>
      <c r="AL9" s="15">
        <f t="shared" si="8"/>
        <v>0</v>
      </c>
      <c r="AM9" s="21">
        <f t="shared" si="9"/>
        <v>87.028657616892914</v>
      </c>
      <c r="AN9" s="23">
        <f>790+430+735+424+850+821</f>
        <v>4050</v>
      </c>
      <c r="AO9" s="23"/>
      <c r="AP9" s="23">
        <f>1070+335+396+416+777+812</f>
        <v>3806</v>
      </c>
      <c r="AQ9" s="23"/>
      <c r="AR9" s="23">
        <f>872+450+732+700+415+802</f>
        <v>3971</v>
      </c>
      <c r="AS9" s="18"/>
      <c r="AT9" s="23">
        <f>853+908+462+1420</f>
        <v>3643</v>
      </c>
      <c r="AU9" s="18"/>
      <c r="AV9" s="23">
        <f>800+813+414+929+528+1002</f>
        <v>4486</v>
      </c>
      <c r="AW9" s="23"/>
      <c r="AX9" s="23">
        <f>835+465+871+983+460+1004</f>
        <v>4618</v>
      </c>
      <c r="AY9" s="23"/>
      <c r="AZ9" s="23">
        <f>620+800+490+905+354+915</f>
        <v>4084</v>
      </c>
      <c r="BA9" s="23"/>
      <c r="BB9" s="15">
        <f t="shared" si="10"/>
        <v>28658</v>
      </c>
      <c r="BC9" s="15">
        <f t="shared" si="10"/>
        <v>0</v>
      </c>
      <c r="BD9" s="21">
        <f t="shared" si="11"/>
        <v>123.49924585218703</v>
      </c>
      <c r="BE9" s="23"/>
      <c r="BF9" s="23"/>
      <c r="BG9" s="23"/>
      <c r="BH9" s="23"/>
      <c r="BI9" s="23"/>
      <c r="BJ9" s="23"/>
      <c r="BK9" s="23">
        <f>784+775+375+492+775+845</f>
        <v>4046</v>
      </c>
      <c r="BL9" s="23"/>
      <c r="BM9" s="23">
        <f>876+720+143+450+850+900+511</f>
        <v>4450</v>
      </c>
      <c r="BN9" s="23"/>
      <c r="BO9" s="23">
        <f>858+880+470+865+760+491</f>
        <v>4324</v>
      </c>
      <c r="BP9" s="23"/>
      <c r="BQ9" s="23">
        <f>890+810+470+915+533+795</f>
        <v>4413</v>
      </c>
      <c r="BR9" s="23"/>
      <c r="BS9" s="23">
        <f>817+801+192+670+804+885+192+180</f>
        <v>4541</v>
      </c>
      <c r="BT9" s="23"/>
      <c r="BU9" s="23">
        <f>480+760+760+450+747+532</f>
        <v>3729</v>
      </c>
      <c r="BV9" s="23"/>
      <c r="BW9" s="23">
        <f>850+778+470+769+420+641</f>
        <v>3928</v>
      </c>
      <c r="BX9" s="23"/>
      <c r="BY9" s="15">
        <f t="shared" si="12"/>
        <v>25503</v>
      </c>
      <c r="BZ9" s="15">
        <f t="shared" si="13"/>
        <v>0</v>
      </c>
      <c r="CA9" s="21">
        <f t="shared" si="14"/>
        <v>109.90303813833226</v>
      </c>
      <c r="CB9" s="15"/>
      <c r="CC9" s="15"/>
      <c r="CD9" s="21"/>
    </row>
    <row r="10" spans="2:82" x14ac:dyDescent="0.25">
      <c r="B10" s="7" t="s">
        <v>11</v>
      </c>
      <c r="C10" s="25">
        <v>18274</v>
      </c>
      <c r="D10" s="25">
        <f>8/1000</f>
        <v>8.0000000000000002E-3</v>
      </c>
      <c r="E10" s="4">
        <f t="shared" si="0"/>
        <v>146.19200000000001</v>
      </c>
      <c r="F10" s="23">
        <v>5774</v>
      </c>
      <c r="G10" s="26">
        <f t="shared" si="1"/>
        <v>46.192</v>
      </c>
      <c r="H10" s="23">
        <v>4883</v>
      </c>
      <c r="I10" s="26">
        <f t="shared" si="2"/>
        <v>39.064</v>
      </c>
      <c r="J10" s="23">
        <v>6465</v>
      </c>
      <c r="K10" s="28">
        <f t="shared" si="3"/>
        <v>51.72</v>
      </c>
      <c r="L10" s="23">
        <v>6734</v>
      </c>
      <c r="M10" s="28">
        <f t="shared" si="4"/>
        <v>53.872</v>
      </c>
      <c r="N10" s="23">
        <v>6371</v>
      </c>
      <c r="O10" s="28">
        <f t="shared" si="5"/>
        <v>50.968000000000004</v>
      </c>
      <c r="P10" s="23">
        <v>7020</v>
      </c>
      <c r="Q10" s="23"/>
      <c r="R10" s="23">
        <v>2768</v>
      </c>
      <c r="S10" s="23"/>
      <c r="T10" s="15">
        <f t="shared" si="6"/>
        <v>40015</v>
      </c>
      <c r="U10" s="15">
        <f t="shared" si="6"/>
        <v>241.81600000000003</v>
      </c>
      <c r="V10" s="21">
        <f t="shared" si="7"/>
        <v>31.281758626620178</v>
      </c>
      <c r="W10" s="23">
        <v>0</v>
      </c>
      <c r="X10" s="23"/>
      <c r="Y10" s="23">
        <v>1670</v>
      </c>
      <c r="Z10" s="23"/>
      <c r="AA10" s="23">
        <v>4716</v>
      </c>
      <c r="AB10" s="23"/>
      <c r="AC10" s="23">
        <v>3545</v>
      </c>
      <c r="AD10" s="23"/>
      <c r="AE10" s="23">
        <v>3241</v>
      </c>
      <c r="AF10" s="23"/>
      <c r="AG10" s="23">
        <v>3663</v>
      </c>
      <c r="AH10" s="23"/>
      <c r="AI10" s="23">
        <v>3322</v>
      </c>
      <c r="AJ10" s="23"/>
      <c r="AK10" s="15">
        <f t="shared" si="8"/>
        <v>20157</v>
      </c>
      <c r="AL10" s="15">
        <f t="shared" si="8"/>
        <v>0</v>
      </c>
      <c r="AM10" s="21">
        <f t="shared" si="9"/>
        <v>15.757751059272346</v>
      </c>
      <c r="AN10" s="23">
        <v>2425</v>
      </c>
      <c r="AO10" s="23"/>
      <c r="AP10" s="23">
        <v>2940</v>
      </c>
      <c r="AQ10" s="23"/>
      <c r="AR10" s="23">
        <v>2721</v>
      </c>
      <c r="AS10" s="18"/>
      <c r="AT10" s="23">
        <v>2397</v>
      </c>
      <c r="AU10" s="18"/>
      <c r="AV10" s="23">
        <v>4562</v>
      </c>
      <c r="AW10" s="23"/>
      <c r="AX10" s="23">
        <v>2128</v>
      </c>
      <c r="AY10" s="23"/>
      <c r="AZ10" s="23">
        <v>700</v>
      </c>
      <c r="BA10" s="23"/>
      <c r="BB10" s="15">
        <f t="shared" si="10"/>
        <v>17873</v>
      </c>
      <c r="BC10" s="15">
        <f t="shared" si="10"/>
        <v>0</v>
      </c>
      <c r="BD10" s="21">
        <f t="shared" si="11"/>
        <v>13.972232211260337</v>
      </c>
      <c r="BE10" s="23"/>
      <c r="BF10" s="23"/>
      <c r="BG10" s="23"/>
      <c r="BH10" s="23"/>
      <c r="BI10" s="23"/>
      <c r="BJ10" s="23"/>
      <c r="BK10" s="23">
        <v>4402</v>
      </c>
      <c r="BL10" s="23"/>
      <c r="BM10" s="23">
        <v>4449</v>
      </c>
      <c r="BN10" s="23"/>
      <c r="BO10" s="23">
        <v>4483</v>
      </c>
      <c r="BP10" s="23"/>
      <c r="BQ10" s="23">
        <v>8645</v>
      </c>
      <c r="BR10" s="23"/>
      <c r="BS10" s="23">
        <v>9045</v>
      </c>
      <c r="BT10" s="23"/>
      <c r="BU10" s="23">
        <v>4167</v>
      </c>
      <c r="BV10" s="23"/>
      <c r="BW10" s="23">
        <v>6850</v>
      </c>
      <c r="BX10" s="23"/>
      <c r="BY10" s="15">
        <f t="shared" si="12"/>
        <v>35191</v>
      </c>
      <c r="BZ10" s="15">
        <f t="shared" si="13"/>
        <v>0</v>
      </c>
      <c r="CA10" s="21">
        <f t="shared" si="14"/>
        <v>27.510592723463468</v>
      </c>
      <c r="CB10" s="15"/>
      <c r="CC10" s="15"/>
      <c r="CD10" s="21"/>
    </row>
    <row r="11" spans="2:82" ht="15.75" x14ac:dyDescent="0.25">
      <c r="B11" s="29" t="s">
        <v>21</v>
      </c>
      <c r="E11" s="30">
        <f>SUM(E4:E10)</f>
        <v>1583.4180000000001</v>
      </c>
      <c r="G11" s="30">
        <f>SUM(G4:G10)</f>
        <v>879.09400000000005</v>
      </c>
      <c r="H11" s="30"/>
      <c r="I11" s="30">
        <f>SUM(I4:I10)</f>
        <v>992.98199999999986</v>
      </c>
      <c r="J11" s="30"/>
      <c r="K11" s="30">
        <f>SUM(K4:K10)</f>
        <v>963.77399999999989</v>
      </c>
      <c r="L11" s="30"/>
      <c r="M11" s="30">
        <f>SUM(M4:M10)</f>
        <v>1212.4880000000001</v>
      </c>
      <c r="N11" s="30"/>
      <c r="O11" s="30">
        <f>SUM(O4:O10)</f>
        <v>1036.8119999999999</v>
      </c>
      <c r="P11" s="30"/>
      <c r="Q11" s="30">
        <f>SUM(Q4:Q10)</f>
        <v>0</v>
      </c>
      <c r="R11" s="30"/>
      <c r="S11" s="30">
        <f>SUM(S4:S10)</f>
        <v>0</v>
      </c>
      <c r="T11" s="30"/>
      <c r="U11" s="30" t="e">
        <f>SUM(U4:U10)</f>
        <v>#VALUE!</v>
      </c>
    </row>
    <row r="16" spans="2:82" x14ac:dyDescent="0.25">
      <c r="B16" s="32"/>
    </row>
  </sheetData>
  <mergeCells count="38">
    <mergeCell ref="J2:K2"/>
    <mergeCell ref="C2:E2"/>
    <mergeCell ref="F2:G2"/>
    <mergeCell ref="H2:I2"/>
    <mergeCell ref="B1:O1"/>
    <mergeCell ref="AI2:AJ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E2:AF2"/>
    <mergeCell ref="AG2:AH2"/>
    <mergeCell ref="BI2:BJ2"/>
    <mergeCell ref="AK2:AM2"/>
    <mergeCell ref="AN2:AO2"/>
    <mergeCell ref="AP2:AQ2"/>
    <mergeCell ref="AR2:AS2"/>
    <mergeCell ref="AT2:AU2"/>
    <mergeCell ref="AV2:AW2"/>
    <mergeCell ref="AX2:AY2"/>
    <mergeCell ref="AZ2:BA2"/>
    <mergeCell ref="BB2:BD2"/>
    <mergeCell ref="BE2:BF2"/>
    <mergeCell ref="BG2:BH2"/>
    <mergeCell ref="BY2:CA2"/>
    <mergeCell ref="CB2:CD2"/>
    <mergeCell ref="BW2:BX2"/>
    <mergeCell ref="BK2:BL2"/>
    <mergeCell ref="BM2:BN2"/>
    <mergeCell ref="BO2:BP2"/>
    <mergeCell ref="BQ2:BR2"/>
    <mergeCell ref="BS2:BT2"/>
    <mergeCell ref="BU2:BV2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7"/>
  <sheetViews>
    <sheetView tabSelected="1" workbookViewId="0">
      <pane xSplit="1" topLeftCell="BL1" activePane="topRight" state="frozen"/>
      <selection pane="topRight" activeCell="BW19" sqref="BW19"/>
    </sheetView>
  </sheetViews>
  <sheetFormatPr defaultRowHeight="15" x14ac:dyDescent="0.25"/>
  <cols>
    <col min="1" max="1" width="22.85546875" style="35" customWidth="1"/>
    <col min="2" max="3" width="9.140625" style="35"/>
    <col min="4" max="4" width="7.7109375" style="35" customWidth="1"/>
    <col min="5" max="5" width="7.85546875" style="35" customWidth="1"/>
    <col min="6" max="6" width="8" style="35" bestFit="1" customWidth="1"/>
    <col min="7" max="7" width="9.140625" style="35"/>
    <col min="8" max="8" width="8" style="35" bestFit="1" customWidth="1"/>
    <col min="9" max="73" width="9.140625" style="35"/>
    <col min="74" max="75" width="9.140625" style="43"/>
    <col min="76" max="78" width="9.140625" style="35"/>
    <col min="79" max="79" width="11.28515625" style="45" customWidth="1"/>
    <col min="80" max="80" width="9.28515625" style="45" customWidth="1"/>
    <col min="81" max="81" width="9.140625" style="45"/>
    <col min="82" max="16384" width="9.140625" style="35"/>
  </cols>
  <sheetData>
    <row r="1" spans="1:84" ht="18.75" x14ac:dyDescent="0.25">
      <c r="A1" s="60" t="s">
        <v>22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84" ht="18.75" customHeight="1" x14ac:dyDescent="0.25">
      <c r="A2" s="6" t="s">
        <v>0</v>
      </c>
      <c r="B2" s="59" t="s">
        <v>1</v>
      </c>
      <c r="C2" s="59"/>
      <c r="D2" s="59"/>
      <c r="E2" s="55">
        <v>46235</v>
      </c>
      <c r="F2" s="56"/>
      <c r="G2" s="55">
        <v>46236</v>
      </c>
      <c r="H2" s="56"/>
      <c r="I2" s="55">
        <v>46237</v>
      </c>
      <c r="J2" s="56"/>
      <c r="K2" s="55">
        <v>46238</v>
      </c>
      <c r="L2" s="56"/>
      <c r="M2" s="55">
        <v>46239</v>
      </c>
      <c r="N2" s="56"/>
      <c r="O2" s="55">
        <v>46240</v>
      </c>
      <c r="P2" s="56"/>
      <c r="Q2" s="55">
        <v>46241</v>
      </c>
      <c r="R2" s="56"/>
      <c r="S2" s="52" t="s">
        <v>14</v>
      </c>
      <c r="T2" s="53"/>
      <c r="U2" s="54"/>
      <c r="V2" s="55">
        <v>46242</v>
      </c>
      <c r="W2" s="56"/>
      <c r="X2" s="55">
        <v>46243</v>
      </c>
      <c r="Y2" s="56"/>
      <c r="Z2" s="55">
        <v>46244</v>
      </c>
      <c r="AA2" s="56"/>
      <c r="AB2" s="55">
        <v>46245</v>
      </c>
      <c r="AC2" s="56"/>
      <c r="AD2" s="55">
        <v>46246</v>
      </c>
      <c r="AE2" s="56"/>
      <c r="AF2" s="55">
        <v>46247</v>
      </c>
      <c r="AG2" s="56"/>
      <c r="AH2" s="55">
        <v>46248</v>
      </c>
      <c r="AI2" s="56"/>
      <c r="AJ2" s="52" t="s">
        <v>14</v>
      </c>
      <c r="AK2" s="53"/>
      <c r="AL2" s="54"/>
      <c r="AM2" s="55">
        <v>46249</v>
      </c>
      <c r="AN2" s="56"/>
      <c r="AO2" s="55">
        <v>46250</v>
      </c>
      <c r="AP2" s="56"/>
      <c r="AQ2" s="55">
        <v>46251</v>
      </c>
      <c r="AR2" s="56"/>
      <c r="AS2" s="55">
        <v>46252</v>
      </c>
      <c r="AT2" s="56"/>
      <c r="AU2" s="55">
        <v>46253</v>
      </c>
      <c r="AV2" s="56"/>
      <c r="AW2" s="55">
        <v>46254</v>
      </c>
      <c r="AX2" s="56"/>
      <c r="AY2" s="55">
        <v>46255</v>
      </c>
      <c r="AZ2" s="56"/>
      <c r="BA2" s="52" t="s">
        <v>14</v>
      </c>
      <c r="BB2" s="53"/>
      <c r="BC2" s="54"/>
      <c r="BD2" s="55">
        <v>46256</v>
      </c>
      <c r="BE2" s="56"/>
      <c r="BF2" s="55">
        <v>46257</v>
      </c>
      <c r="BG2" s="56"/>
      <c r="BH2" s="55">
        <v>46258</v>
      </c>
      <c r="BI2" s="56"/>
      <c r="BJ2" s="55">
        <v>46259</v>
      </c>
      <c r="BK2" s="56"/>
      <c r="BL2" s="55">
        <v>46260</v>
      </c>
      <c r="BM2" s="56"/>
      <c r="BN2" s="55">
        <v>46261</v>
      </c>
      <c r="BO2" s="56"/>
      <c r="BP2" s="55">
        <v>46262</v>
      </c>
      <c r="BQ2" s="56"/>
      <c r="BR2" s="55">
        <v>46263</v>
      </c>
      <c r="BS2" s="56"/>
      <c r="BT2" s="55">
        <v>46264</v>
      </c>
      <c r="BU2" s="56"/>
      <c r="BV2" s="55">
        <v>46265</v>
      </c>
      <c r="BW2" s="56"/>
      <c r="BX2" s="52" t="s">
        <v>14</v>
      </c>
      <c r="BY2" s="53"/>
      <c r="BZ2" s="54"/>
      <c r="CA2" s="52" t="s">
        <v>26</v>
      </c>
      <c r="CB2" s="53"/>
      <c r="CC2" s="54"/>
      <c r="CD2" s="52" t="s">
        <v>16</v>
      </c>
      <c r="CE2" s="53"/>
      <c r="CF2" s="54"/>
    </row>
    <row r="3" spans="1:84" ht="45" x14ac:dyDescent="0.25">
      <c r="A3" s="6"/>
      <c r="B3" s="36" t="s">
        <v>2</v>
      </c>
      <c r="C3" s="2" t="s">
        <v>20</v>
      </c>
      <c r="D3" s="36" t="s">
        <v>4</v>
      </c>
      <c r="E3" s="34" t="s">
        <v>2</v>
      </c>
      <c r="F3" s="34" t="s">
        <v>4</v>
      </c>
      <c r="G3" s="34" t="s">
        <v>2</v>
      </c>
      <c r="H3" s="34" t="s">
        <v>4</v>
      </c>
      <c r="I3" s="34" t="s">
        <v>2</v>
      </c>
      <c r="J3" s="34" t="s">
        <v>4</v>
      </c>
      <c r="K3" s="34" t="s">
        <v>2</v>
      </c>
      <c r="L3" s="34" t="s">
        <v>4</v>
      </c>
      <c r="M3" s="34" t="s">
        <v>2</v>
      </c>
      <c r="N3" s="34" t="s">
        <v>4</v>
      </c>
      <c r="O3" s="34" t="s">
        <v>2</v>
      </c>
      <c r="P3" s="34" t="s">
        <v>4</v>
      </c>
      <c r="Q3" s="34" t="s">
        <v>2</v>
      </c>
      <c r="R3" s="34" t="s">
        <v>4</v>
      </c>
      <c r="S3" s="15" t="s">
        <v>2</v>
      </c>
      <c r="T3" s="15" t="s">
        <v>4</v>
      </c>
      <c r="U3" s="15" t="s">
        <v>15</v>
      </c>
      <c r="V3" s="34" t="s">
        <v>2</v>
      </c>
      <c r="W3" s="34" t="s">
        <v>4</v>
      </c>
      <c r="X3" s="34" t="s">
        <v>2</v>
      </c>
      <c r="Y3" s="34" t="s">
        <v>4</v>
      </c>
      <c r="Z3" s="34" t="s">
        <v>2</v>
      </c>
      <c r="AA3" s="34" t="s">
        <v>4</v>
      </c>
      <c r="AB3" s="34" t="s">
        <v>2</v>
      </c>
      <c r="AC3" s="34" t="s">
        <v>4</v>
      </c>
      <c r="AD3" s="34" t="s">
        <v>2</v>
      </c>
      <c r="AE3" s="34" t="s">
        <v>4</v>
      </c>
      <c r="AF3" s="34" t="s">
        <v>2</v>
      </c>
      <c r="AG3" s="34" t="s">
        <v>4</v>
      </c>
      <c r="AH3" s="34" t="s">
        <v>2</v>
      </c>
      <c r="AI3" s="34" t="s">
        <v>4</v>
      </c>
      <c r="AJ3" s="15" t="s">
        <v>2</v>
      </c>
      <c r="AK3" s="15" t="s">
        <v>4</v>
      </c>
      <c r="AL3" s="15" t="s">
        <v>15</v>
      </c>
      <c r="AM3" s="34" t="s">
        <v>2</v>
      </c>
      <c r="AN3" s="34" t="s">
        <v>4</v>
      </c>
      <c r="AO3" s="34" t="s">
        <v>2</v>
      </c>
      <c r="AP3" s="34" t="s">
        <v>4</v>
      </c>
      <c r="AQ3" s="34" t="s">
        <v>2</v>
      </c>
      <c r="AR3" s="34" t="s">
        <v>4</v>
      </c>
      <c r="AS3" s="34" t="s">
        <v>2</v>
      </c>
      <c r="AT3" s="34" t="s">
        <v>4</v>
      </c>
      <c r="AU3" s="34" t="s">
        <v>2</v>
      </c>
      <c r="AV3" s="34" t="s">
        <v>4</v>
      </c>
      <c r="AW3" s="34" t="s">
        <v>2</v>
      </c>
      <c r="AX3" s="34" t="s">
        <v>4</v>
      </c>
      <c r="AY3" s="34" t="s">
        <v>2</v>
      </c>
      <c r="AZ3" s="34" t="s">
        <v>4</v>
      </c>
      <c r="BA3" s="15" t="s">
        <v>2</v>
      </c>
      <c r="BB3" s="15" t="s">
        <v>4</v>
      </c>
      <c r="BC3" s="15" t="s">
        <v>15</v>
      </c>
      <c r="BD3" s="34" t="s">
        <v>2</v>
      </c>
      <c r="BE3" s="34" t="s">
        <v>4</v>
      </c>
      <c r="BF3" s="34" t="s">
        <v>2</v>
      </c>
      <c r="BG3" s="34" t="s">
        <v>4</v>
      </c>
      <c r="BH3" s="34" t="s">
        <v>2</v>
      </c>
      <c r="BI3" s="34" t="s">
        <v>4</v>
      </c>
      <c r="BJ3" s="34" t="s">
        <v>2</v>
      </c>
      <c r="BK3" s="34" t="s">
        <v>4</v>
      </c>
      <c r="BL3" s="34" t="s">
        <v>2</v>
      </c>
      <c r="BM3" s="34" t="s">
        <v>4</v>
      </c>
      <c r="BN3" s="34" t="s">
        <v>2</v>
      </c>
      <c r="BO3" s="34" t="s">
        <v>4</v>
      </c>
      <c r="BP3" s="34" t="s">
        <v>2</v>
      </c>
      <c r="BQ3" s="34" t="s">
        <v>4</v>
      </c>
      <c r="BR3" s="34" t="s">
        <v>2</v>
      </c>
      <c r="BS3" s="34" t="s">
        <v>4</v>
      </c>
      <c r="BT3" s="34" t="s">
        <v>2</v>
      </c>
      <c r="BU3" s="34" t="s">
        <v>4</v>
      </c>
      <c r="BV3" s="42" t="s">
        <v>2</v>
      </c>
      <c r="BW3" s="42" t="s">
        <v>4</v>
      </c>
      <c r="BX3" s="15" t="s">
        <v>2</v>
      </c>
      <c r="BY3" s="15" t="s">
        <v>4</v>
      </c>
      <c r="BZ3" s="15" t="s">
        <v>15</v>
      </c>
      <c r="CA3" s="15" t="s">
        <v>2</v>
      </c>
      <c r="CB3" s="15" t="s">
        <v>4</v>
      </c>
      <c r="CC3" s="15" t="s">
        <v>15</v>
      </c>
      <c r="CD3" s="15" t="s">
        <v>2</v>
      </c>
      <c r="CE3" s="15" t="s">
        <v>4</v>
      </c>
      <c r="CF3" s="15" t="s">
        <v>15</v>
      </c>
    </row>
    <row r="4" spans="1:84" x14ac:dyDescent="0.25">
      <c r="A4" s="7" t="s">
        <v>5</v>
      </c>
      <c r="B4" s="36">
        <v>330</v>
      </c>
      <c r="C4" s="36">
        <v>0.9</v>
      </c>
      <c r="D4" s="36">
        <f>B4*C4</f>
        <v>297</v>
      </c>
      <c r="E4" s="34">
        <v>0</v>
      </c>
      <c r="F4" s="34">
        <f>E4*C4</f>
        <v>0</v>
      </c>
      <c r="G4" s="34">
        <v>0</v>
      </c>
      <c r="H4" s="34">
        <f>G4*C4</f>
        <v>0</v>
      </c>
      <c r="I4" s="34">
        <v>0</v>
      </c>
      <c r="J4" s="34">
        <f>I4*C4</f>
        <v>0</v>
      </c>
      <c r="K4" s="34">
        <v>0</v>
      </c>
      <c r="L4" s="34">
        <f>K4*C4</f>
        <v>0</v>
      </c>
      <c r="M4" s="34">
        <v>0</v>
      </c>
      <c r="N4" s="34">
        <f>M4*C4</f>
        <v>0</v>
      </c>
      <c r="O4" s="34">
        <v>0</v>
      </c>
      <c r="P4" s="34">
        <f>O4*C4</f>
        <v>0</v>
      </c>
      <c r="Q4" s="34">
        <v>0</v>
      </c>
      <c r="R4" s="34">
        <f>Q4*C4</f>
        <v>0</v>
      </c>
      <c r="S4" s="15">
        <f>Q4+O4+M4+G4+E4+I4+K4</f>
        <v>0</v>
      </c>
      <c r="T4" s="15">
        <f>R4+P4+N4+H4+F4+J4+L4</f>
        <v>0</v>
      </c>
      <c r="U4" s="21">
        <f>S4/(B4*7)*100</f>
        <v>0</v>
      </c>
      <c r="V4" s="34">
        <v>77</v>
      </c>
      <c r="W4" s="34">
        <f>V4*C4</f>
        <v>69.3</v>
      </c>
      <c r="X4" s="34">
        <v>77</v>
      </c>
      <c r="Y4" s="34">
        <f>X4*C4</f>
        <v>69.3</v>
      </c>
      <c r="Z4" s="34">
        <v>25</v>
      </c>
      <c r="AA4" s="34">
        <f>Z4*C4</f>
        <v>22.5</v>
      </c>
      <c r="AB4" s="34">
        <v>0</v>
      </c>
      <c r="AC4" s="34">
        <f>AB4*C4</f>
        <v>0</v>
      </c>
      <c r="AD4" s="34">
        <v>0</v>
      </c>
      <c r="AE4" s="34">
        <f>AD4*C4</f>
        <v>0</v>
      </c>
      <c r="AF4" s="34">
        <f>45+58</f>
        <v>103</v>
      </c>
      <c r="AG4" s="37">
        <f>AF4*C4</f>
        <v>92.7</v>
      </c>
      <c r="AH4" s="34">
        <v>101</v>
      </c>
      <c r="AI4" s="34">
        <f>AH4*C4</f>
        <v>90.9</v>
      </c>
      <c r="AJ4" s="15">
        <f>V4+X4+Z4+AB4+AD4+AF4+AH4</f>
        <v>383</v>
      </c>
      <c r="AK4" s="15">
        <f>W4+Y4+AA4+AC4+AE4+AG4+AI4</f>
        <v>344.70000000000005</v>
      </c>
      <c r="AL4" s="21">
        <f>AJ4/(B4*7)*100</f>
        <v>16.580086580086579</v>
      </c>
      <c r="AM4" s="34">
        <f>105+26</f>
        <v>131</v>
      </c>
      <c r="AN4" s="34">
        <f>AM4*C4</f>
        <v>117.9</v>
      </c>
      <c r="AO4" s="34">
        <f>58+30</f>
        <v>88</v>
      </c>
      <c r="AP4" s="34">
        <f>AO4*C4</f>
        <v>79.2</v>
      </c>
      <c r="AQ4" s="34">
        <v>93</v>
      </c>
      <c r="AR4" s="18">
        <f>AQ4*C4</f>
        <v>83.7</v>
      </c>
      <c r="AS4" s="34">
        <v>76</v>
      </c>
      <c r="AT4" s="18">
        <f>AS4*C4</f>
        <v>68.400000000000006</v>
      </c>
      <c r="AU4" s="34">
        <v>100</v>
      </c>
      <c r="AV4" s="34">
        <f>AU4*C4</f>
        <v>90</v>
      </c>
      <c r="AW4" s="34">
        <f>50+22</f>
        <v>72</v>
      </c>
      <c r="AX4" s="34">
        <f>AW4*C4</f>
        <v>64.8</v>
      </c>
      <c r="AY4" s="34"/>
      <c r="AZ4" s="34"/>
      <c r="BA4" s="15">
        <f>AM4+AO4+AQ4+AS4+AU4+AW4+AY4</f>
        <v>560</v>
      </c>
      <c r="BB4" s="15">
        <f>AN4+AP4+AR4+AT4+AV4+AX4+AZ4</f>
        <v>504.00000000000006</v>
      </c>
      <c r="BC4" s="21">
        <f>BA4/(B4*7)*100</f>
        <v>24.242424242424242</v>
      </c>
      <c r="BD4" s="34"/>
      <c r="BE4" s="34"/>
      <c r="BF4" s="34"/>
      <c r="BG4" s="34"/>
      <c r="BH4" s="34"/>
      <c r="BI4" s="34"/>
      <c r="BJ4" s="34">
        <v>85</v>
      </c>
      <c r="BK4" s="34">
        <f>BJ4*C4</f>
        <v>76.5</v>
      </c>
      <c r="BL4" s="34">
        <f>60+53</f>
        <v>113</v>
      </c>
      <c r="BM4" s="34">
        <f>BL4*C4</f>
        <v>101.7</v>
      </c>
      <c r="BN4" s="34">
        <v>90</v>
      </c>
      <c r="BO4" s="34">
        <f>BN4*C4</f>
        <v>81</v>
      </c>
      <c r="BP4" s="34">
        <v>130</v>
      </c>
      <c r="BQ4" s="34">
        <f>BP4*C4</f>
        <v>117</v>
      </c>
      <c r="BR4" s="34">
        <f>80+11+30</f>
        <v>121</v>
      </c>
      <c r="BS4" s="34">
        <f>BR4*C4</f>
        <v>108.9</v>
      </c>
      <c r="BT4" s="34">
        <v>138</v>
      </c>
      <c r="BU4" s="34">
        <f>BT4*C4</f>
        <v>124.2</v>
      </c>
      <c r="BV4" s="42">
        <v>130</v>
      </c>
      <c r="BW4" s="42">
        <f>BV4*C4</f>
        <v>117</v>
      </c>
      <c r="BX4" s="15">
        <f t="shared" ref="BX4:BX10" si="0">BD4+BF4+BH4+BJ4+BL4+BN4+BP4+BR4+BT4</f>
        <v>677</v>
      </c>
      <c r="BY4" s="15">
        <f t="shared" ref="BY4:BY10" si="1">BI4+BK4+BM4+BO4+BQ4+BS4+BU4</f>
        <v>609.30000000000007</v>
      </c>
      <c r="BZ4" s="21">
        <f t="shared" ref="BZ4:BZ10" si="2">BX4/(B4*7)*100</f>
        <v>29.307359307359309</v>
      </c>
      <c r="CA4" s="21">
        <f>BX4+BA4+AJ4+S4</f>
        <v>1620</v>
      </c>
      <c r="CB4" s="21">
        <f>BY4+BB4+AK4+T4</f>
        <v>1458.0000000000002</v>
      </c>
      <c r="CC4" s="21">
        <f>CB4*100/(D4*26)</f>
        <v>18.881118881118883</v>
      </c>
      <c r="CD4" s="15"/>
      <c r="CE4" s="15"/>
      <c r="CF4" s="21"/>
    </row>
    <row r="5" spans="1:84" x14ac:dyDescent="0.25">
      <c r="A5" s="7" t="s">
        <v>6</v>
      </c>
      <c r="B5" s="36">
        <v>124</v>
      </c>
      <c r="C5" s="36">
        <v>0.5</v>
      </c>
      <c r="D5" s="4">
        <f t="shared" ref="D5:D10" si="3">B5*C5</f>
        <v>62</v>
      </c>
      <c r="E5" s="34"/>
      <c r="F5" s="34">
        <f t="shared" ref="F5:F10" si="4">E5*C5</f>
        <v>0</v>
      </c>
      <c r="G5" s="34">
        <v>0</v>
      </c>
      <c r="H5" s="34">
        <f t="shared" ref="H5:H10" si="5">G5*C5</f>
        <v>0</v>
      </c>
      <c r="I5" s="34">
        <v>0</v>
      </c>
      <c r="J5" s="34">
        <f t="shared" ref="J5:J10" si="6">I5*C5</f>
        <v>0</v>
      </c>
      <c r="K5" s="34">
        <v>0</v>
      </c>
      <c r="L5" s="34">
        <f t="shared" ref="L5:L10" si="7">K5*C5</f>
        <v>0</v>
      </c>
      <c r="M5" s="34">
        <v>0</v>
      </c>
      <c r="N5" s="34">
        <f t="shared" ref="N5:N10" si="8">M5*C5</f>
        <v>0</v>
      </c>
      <c r="O5" s="34">
        <v>0</v>
      </c>
      <c r="P5" s="34">
        <f t="shared" ref="P5:P10" si="9">O5*C5</f>
        <v>0</v>
      </c>
      <c r="Q5" s="34">
        <v>0</v>
      </c>
      <c r="R5" s="34">
        <f t="shared" ref="R5:R10" si="10">Q5*C5</f>
        <v>0</v>
      </c>
      <c r="S5" s="15">
        <f t="shared" ref="S5:T10" si="11">Q5+O5+M5+G5+E5+I5+K5</f>
        <v>0</v>
      </c>
      <c r="T5" s="15">
        <f t="shared" si="11"/>
        <v>0</v>
      </c>
      <c r="U5" s="21">
        <f t="shared" ref="U5:U10" si="12">S5/(B5*7)*100</f>
        <v>0</v>
      </c>
      <c r="V5" s="34">
        <v>0</v>
      </c>
      <c r="W5" s="34">
        <f t="shared" ref="W5:W10" si="13">V5*C5</f>
        <v>0</v>
      </c>
      <c r="X5" s="34">
        <v>0</v>
      </c>
      <c r="Y5" s="34">
        <f t="shared" ref="Y5:Y10" si="14">X5*C5</f>
        <v>0</v>
      </c>
      <c r="Z5" s="34">
        <v>0</v>
      </c>
      <c r="AA5" s="34">
        <f t="shared" ref="AA5:AA10" si="15">Z5*C5</f>
        <v>0</v>
      </c>
      <c r="AB5" s="34">
        <v>0</v>
      </c>
      <c r="AC5" s="34">
        <f t="shared" ref="AC5:AC10" si="16">AB5*C5</f>
        <v>0</v>
      </c>
      <c r="AD5" s="34">
        <v>0</v>
      </c>
      <c r="AE5" s="34">
        <f t="shared" ref="AE5:AE10" si="17">AD5*C5</f>
        <v>0</v>
      </c>
      <c r="AF5" s="34">
        <v>0</v>
      </c>
      <c r="AG5" s="37">
        <f t="shared" ref="AG5:AG10" si="18">AF5*C5</f>
        <v>0</v>
      </c>
      <c r="AH5" s="34">
        <v>0</v>
      </c>
      <c r="AI5" s="37">
        <f t="shared" ref="AI5:AI10" si="19">AH5*C5</f>
        <v>0</v>
      </c>
      <c r="AJ5" s="15">
        <f t="shared" ref="AJ5:AK11" si="20">V5+X5+Z5+AB5+AD5+AF5+AH5</f>
        <v>0</v>
      </c>
      <c r="AK5" s="15">
        <f t="shared" si="20"/>
        <v>0</v>
      </c>
      <c r="AL5" s="21">
        <f t="shared" ref="AL5:AL10" si="21">AJ5/(B5*7)*100</f>
        <v>0</v>
      </c>
      <c r="AM5" s="34">
        <v>0</v>
      </c>
      <c r="AN5" s="37">
        <f t="shared" ref="AN5:AN10" si="22">AM5*C5</f>
        <v>0</v>
      </c>
      <c r="AO5" s="34">
        <v>0</v>
      </c>
      <c r="AP5" s="37">
        <f t="shared" ref="AP5:AP10" si="23">AO5*C5</f>
        <v>0</v>
      </c>
      <c r="AQ5" s="34">
        <v>0</v>
      </c>
      <c r="AR5" s="18">
        <f t="shared" ref="AR5:AR10" si="24">AQ5*C5</f>
        <v>0</v>
      </c>
      <c r="AS5" s="34">
        <v>0</v>
      </c>
      <c r="AT5" s="18">
        <f t="shared" ref="AT5:AT10" si="25">AS5*C5</f>
        <v>0</v>
      </c>
      <c r="AU5" s="34">
        <v>0</v>
      </c>
      <c r="AV5" s="42">
        <f t="shared" ref="AV5:AV10" si="26">AU5*C5</f>
        <v>0</v>
      </c>
      <c r="AW5" s="34">
        <v>0</v>
      </c>
      <c r="AX5" s="42">
        <f t="shared" ref="AX5:AX10" si="27">AW5*C5</f>
        <v>0</v>
      </c>
      <c r="AY5" s="34"/>
      <c r="AZ5" s="34"/>
      <c r="BA5" s="15">
        <f t="shared" ref="BA5:BB11" si="28">AM5+AO5+AQ5+AS5+AU5+AW5+AY5</f>
        <v>0</v>
      </c>
      <c r="BB5" s="15">
        <f t="shared" si="28"/>
        <v>0</v>
      </c>
      <c r="BC5" s="21">
        <f t="shared" ref="BC5:BC10" si="29">BA5/(B5*7)*100</f>
        <v>0</v>
      </c>
      <c r="BD5" s="34"/>
      <c r="BE5" s="34"/>
      <c r="BF5" s="34"/>
      <c r="BG5" s="34"/>
      <c r="BH5" s="34"/>
      <c r="BI5" s="34"/>
      <c r="BJ5" s="34">
        <v>0</v>
      </c>
      <c r="BK5" s="42">
        <f t="shared" ref="BK5:BK10" si="30">BJ5*C5</f>
        <v>0</v>
      </c>
      <c r="BL5" s="34">
        <v>0</v>
      </c>
      <c r="BM5" s="42">
        <f t="shared" ref="BM5:BM10" si="31">BL5*C5</f>
        <v>0</v>
      </c>
      <c r="BN5" s="34">
        <v>0</v>
      </c>
      <c r="BO5" s="42">
        <f t="shared" ref="BO5:BO10" si="32">BN5*C5</f>
        <v>0</v>
      </c>
      <c r="BP5" s="34">
        <v>0</v>
      </c>
      <c r="BQ5" s="42">
        <f t="shared" ref="BQ5:BQ10" si="33">BP5*C5</f>
        <v>0</v>
      </c>
      <c r="BR5" s="34">
        <v>0</v>
      </c>
      <c r="BS5" s="42">
        <f t="shared" ref="BS5:BS9" si="34">BR5*C5</f>
        <v>0</v>
      </c>
      <c r="BT5" s="34">
        <v>0</v>
      </c>
      <c r="BU5" s="42">
        <f t="shared" ref="BU5:BU10" si="35">BT5*C5</f>
        <v>0</v>
      </c>
      <c r="BV5" s="42"/>
      <c r="BW5" s="42">
        <f t="shared" ref="BW5:BW10" si="36">BV5*C5</f>
        <v>0</v>
      </c>
      <c r="BX5" s="15">
        <f t="shared" si="0"/>
        <v>0</v>
      </c>
      <c r="BY5" s="15">
        <f t="shared" si="1"/>
        <v>0</v>
      </c>
      <c r="BZ5" s="21">
        <f t="shared" si="2"/>
        <v>0</v>
      </c>
      <c r="CA5" s="21">
        <f t="shared" ref="CA5:CA10" si="37">BX5+BA5+AJ5+S5</f>
        <v>0</v>
      </c>
      <c r="CB5" s="21">
        <f t="shared" ref="CB5:CB10" si="38">BY5+BB5+AK5+T5</f>
        <v>0</v>
      </c>
      <c r="CC5" s="21">
        <f t="shared" ref="CC5:CC10" si="39">CB5*100/(D5*26)</f>
        <v>0</v>
      </c>
      <c r="CD5" s="15"/>
      <c r="CE5" s="15"/>
      <c r="CF5" s="21"/>
    </row>
    <row r="6" spans="1:84" x14ac:dyDescent="0.25">
      <c r="A6" s="7" t="s">
        <v>7</v>
      </c>
      <c r="B6" s="15">
        <v>628</v>
      </c>
      <c r="C6" s="15">
        <v>0.24</v>
      </c>
      <c r="D6" s="16">
        <f t="shared" si="3"/>
        <v>150.72</v>
      </c>
      <c r="E6" s="34">
        <f>124+150+9+13+10+280</f>
        <v>586</v>
      </c>
      <c r="F6" s="34">
        <f t="shared" si="4"/>
        <v>140.63999999999999</v>
      </c>
      <c r="G6" s="34">
        <f>310+310+310+55+62+82+54+17+122</f>
        <v>1322</v>
      </c>
      <c r="H6" s="34">
        <f t="shared" si="5"/>
        <v>317.27999999999997</v>
      </c>
      <c r="I6" s="34">
        <f>280+310+310+310+55+62+82+54+17+122</f>
        <v>1602</v>
      </c>
      <c r="J6" s="34">
        <f t="shared" si="6"/>
        <v>384.47999999999996</v>
      </c>
      <c r="K6" s="34">
        <f>200+40+59+2+52+131+223+200+230+10+140+280</f>
        <v>1567</v>
      </c>
      <c r="L6" s="34">
        <f t="shared" si="7"/>
        <v>376.08</v>
      </c>
      <c r="M6" s="34">
        <f>110+500+120+200+250+74+299+130+70</f>
        <v>1753</v>
      </c>
      <c r="N6" s="34">
        <f t="shared" si="8"/>
        <v>420.71999999999997</v>
      </c>
      <c r="O6" s="34">
        <f>174+120+110+24+190+220</f>
        <v>838</v>
      </c>
      <c r="P6" s="34">
        <f t="shared" si="9"/>
        <v>201.12</v>
      </c>
      <c r="Q6" s="34">
        <f>3+3+93+58+30+21+10+12+41+98+73+162+80+83+122</f>
        <v>889</v>
      </c>
      <c r="R6" s="34">
        <f t="shared" si="10"/>
        <v>213.35999999999999</v>
      </c>
      <c r="S6" s="15">
        <f t="shared" si="11"/>
        <v>8557</v>
      </c>
      <c r="T6" s="15">
        <f t="shared" si="11"/>
        <v>2053.6799999999998</v>
      </c>
      <c r="U6" s="21">
        <f t="shared" si="12"/>
        <v>194.65423111919927</v>
      </c>
      <c r="V6" s="34">
        <f>335+112+58+13+12+120+55+70+7</f>
        <v>782</v>
      </c>
      <c r="W6" s="34">
        <f t="shared" si="13"/>
        <v>187.68</v>
      </c>
      <c r="X6" s="34">
        <f>60+70+85+71+128+264+178+63</f>
        <v>919</v>
      </c>
      <c r="Y6" s="34">
        <f t="shared" si="14"/>
        <v>220.56</v>
      </c>
      <c r="Z6" s="34">
        <f>169+110+110+176+60+10+46</f>
        <v>681</v>
      </c>
      <c r="AA6" s="34">
        <f t="shared" si="15"/>
        <v>163.44</v>
      </c>
      <c r="AB6" s="34">
        <f>57+53+63+100+159+88+47+40+15+50+40+21+88</f>
        <v>821</v>
      </c>
      <c r="AC6" s="34">
        <f t="shared" si="16"/>
        <v>197.04</v>
      </c>
      <c r="AD6" s="34">
        <f>308+92+270</f>
        <v>670</v>
      </c>
      <c r="AE6" s="34">
        <f t="shared" si="17"/>
        <v>160.79999999999998</v>
      </c>
      <c r="AF6" s="34">
        <f>180+180+217+190+100+70</f>
        <v>937</v>
      </c>
      <c r="AG6" s="37">
        <f t="shared" si="18"/>
        <v>224.88</v>
      </c>
      <c r="AH6" s="34">
        <f>88+170+250+310+19+200+93</f>
        <v>1130</v>
      </c>
      <c r="AI6" s="37">
        <f t="shared" si="19"/>
        <v>271.2</v>
      </c>
      <c r="AJ6" s="15">
        <f t="shared" si="20"/>
        <v>5940</v>
      </c>
      <c r="AK6" s="15">
        <f t="shared" si="20"/>
        <v>1425.6000000000001</v>
      </c>
      <c r="AL6" s="21">
        <f t="shared" si="21"/>
        <v>135.12283894449499</v>
      </c>
      <c r="AM6" s="34">
        <f>480+227+244+390</f>
        <v>1341</v>
      </c>
      <c r="AN6" s="37">
        <f t="shared" si="22"/>
        <v>321.83999999999997</v>
      </c>
      <c r="AO6" s="34">
        <f>200+180+33+360+270</f>
        <v>1043</v>
      </c>
      <c r="AP6" s="37">
        <f t="shared" si="23"/>
        <v>250.32</v>
      </c>
      <c r="AQ6" s="34">
        <f>110+166+350+240+210</f>
        <v>1076</v>
      </c>
      <c r="AR6" s="18">
        <f t="shared" si="24"/>
        <v>258.24</v>
      </c>
      <c r="AS6" s="34">
        <f>220+225+20+170+370+200+80+50+80</f>
        <v>1415</v>
      </c>
      <c r="AT6" s="18">
        <f t="shared" si="25"/>
        <v>339.59999999999997</v>
      </c>
      <c r="AU6" s="34">
        <f>325+270+53+80+50+25+25+169+21</f>
        <v>1018</v>
      </c>
      <c r="AV6" s="42">
        <f t="shared" si="26"/>
        <v>244.32</v>
      </c>
      <c r="AW6" s="34">
        <f>106+22+24+23+32+43+32+430+80</f>
        <v>792</v>
      </c>
      <c r="AX6" s="42">
        <f t="shared" si="27"/>
        <v>190.07999999999998</v>
      </c>
      <c r="AY6" s="34"/>
      <c r="AZ6" s="34"/>
      <c r="BA6" s="15">
        <f t="shared" si="28"/>
        <v>6685</v>
      </c>
      <c r="BB6" s="15">
        <f t="shared" si="28"/>
        <v>1604.3999999999999</v>
      </c>
      <c r="BC6" s="21">
        <f t="shared" si="29"/>
        <v>152.07006369426753</v>
      </c>
      <c r="BD6" s="34"/>
      <c r="BE6" s="34"/>
      <c r="BF6" s="34"/>
      <c r="BG6" s="34"/>
      <c r="BH6" s="34"/>
      <c r="BI6" s="34"/>
      <c r="BJ6" s="34">
        <f>100+240+60+190+120+120+40+120+220</f>
        <v>1210</v>
      </c>
      <c r="BK6" s="42">
        <f t="shared" si="30"/>
        <v>290.39999999999998</v>
      </c>
      <c r="BL6" s="34">
        <f>280+340+80+400+330+302</f>
        <v>1732</v>
      </c>
      <c r="BM6" s="42">
        <f t="shared" si="31"/>
        <v>415.68</v>
      </c>
      <c r="BN6" s="34">
        <f>340+230+220+20+48+224+10+70+400</f>
        <v>1562</v>
      </c>
      <c r="BO6" s="42">
        <f t="shared" si="32"/>
        <v>374.88</v>
      </c>
      <c r="BP6" s="34">
        <v>1512</v>
      </c>
      <c r="BQ6" s="42">
        <f t="shared" si="33"/>
        <v>362.88</v>
      </c>
      <c r="BR6" s="34">
        <f>50+18+110+20+420+90+30+130+55</f>
        <v>923</v>
      </c>
      <c r="BS6" s="42">
        <f t="shared" si="34"/>
        <v>221.51999999999998</v>
      </c>
      <c r="BT6" s="34">
        <f>78+29</f>
        <v>107</v>
      </c>
      <c r="BU6" s="42">
        <f t="shared" si="35"/>
        <v>25.68</v>
      </c>
      <c r="BV6" s="42">
        <f>220+53+172</f>
        <v>445</v>
      </c>
      <c r="BW6" s="42">
        <f t="shared" si="36"/>
        <v>106.8</v>
      </c>
      <c r="BX6" s="15">
        <f t="shared" si="0"/>
        <v>7046</v>
      </c>
      <c r="BY6" s="15">
        <f t="shared" si="1"/>
        <v>1691.0400000000002</v>
      </c>
      <c r="BZ6" s="21">
        <f t="shared" si="2"/>
        <v>160.28207461328481</v>
      </c>
      <c r="CA6" s="21">
        <f t="shared" si="37"/>
        <v>28228</v>
      </c>
      <c r="CB6" s="21">
        <f t="shared" si="38"/>
        <v>6774.7199999999993</v>
      </c>
      <c r="CC6" s="21">
        <f t="shared" si="39"/>
        <v>172.88094071533561</v>
      </c>
      <c r="CD6" s="15"/>
      <c r="CE6" s="15"/>
      <c r="CF6" s="21"/>
    </row>
    <row r="7" spans="1:84" x14ac:dyDescent="0.25">
      <c r="A7" s="7" t="s">
        <v>8</v>
      </c>
      <c r="B7" s="15">
        <v>1729</v>
      </c>
      <c r="C7" s="15">
        <v>0.11</v>
      </c>
      <c r="D7" s="16">
        <f t="shared" si="3"/>
        <v>190.19</v>
      </c>
      <c r="E7" s="34">
        <f>220+251+170+450+80+18+260+20+22</f>
        <v>1491</v>
      </c>
      <c r="F7" s="34">
        <f t="shared" si="4"/>
        <v>164.01</v>
      </c>
      <c r="G7" s="34">
        <f>27+28+8+68+7+26+8+240+90+80+70</f>
        <v>652</v>
      </c>
      <c r="H7" s="34">
        <f t="shared" si="5"/>
        <v>71.72</v>
      </c>
      <c r="I7" s="34">
        <f>27+28+8+68+7+26+8+240+90+80+70</f>
        <v>652</v>
      </c>
      <c r="J7" s="34">
        <f t="shared" si="6"/>
        <v>71.72</v>
      </c>
      <c r="K7" s="34">
        <f>310+50+100+200+190+160</f>
        <v>1010</v>
      </c>
      <c r="L7" s="34">
        <f t="shared" si="7"/>
        <v>111.1</v>
      </c>
      <c r="M7" s="34">
        <f>42+42+43+160+30+21+20+10+110+80+140+198+90</f>
        <v>986</v>
      </c>
      <c r="N7" s="34">
        <f t="shared" si="8"/>
        <v>108.46</v>
      </c>
      <c r="O7" s="34">
        <f>60+180+230+170+80+70+150</f>
        <v>940</v>
      </c>
      <c r="P7" s="34">
        <f t="shared" si="9"/>
        <v>103.4</v>
      </c>
      <c r="Q7" s="34">
        <f>173+360+99+70+130+160+41+30+12</f>
        <v>1075</v>
      </c>
      <c r="R7" s="34">
        <f t="shared" si="10"/>
        <v>118.25</v>
      </c>
      <c r="S7" s="15">
        <f t="shared" si="11"/>
        <v>6806</v>
      </c>
      <c r="T7" s="15">
        <f t="shared" si="11"/>
        <v>748.66000000000008</v>
      </c>
      <c r="U7" s="21">
        <f t="shared" si="12"/>
        <v>56.233991572337438</v>
      </c>
      <c r="V7" s="34">
        <f>34+10+110+87+95+90+35+110+156+28</f>
        <v>755</v>
      </c>
      <c r="W7" s="34">
        <f t="shared" si="13"/>
        <v>83.05</v>
      </c>
      <c r="X7" s="34">
        <f>150+260+277+83+79+36+44+80</f>
        <v>1009</v>
      </c>
      <c r="Y7" s="34">
        <f t="shared" si="14"/>
        <v>110.99</v>
      </c>
      <c r="Z7" s="34">
        <f>100+40+110+30+70+270+41+180+170+44</f>
        <v>1055</v>
      </c>
      <c r="AA7" s="34">
        <f t="shared" si="15"/>
        <v>116.05</v>
      </c>
      <c r="AB7" s="34">
        <f>160+40+180+70+64+36+120+180+260</f>
        <v>1110</v>
      </c>
      <c r="AC7" s="34">
        <f t="shared" si="16"/>
        <v>122.1</v>
      </c>
      <c r="AD7" s="34">
        <f>170+210+200+189+44+200+20+27</f>
        <v>1060</v>
      </c>
      <c r="AE7" s="34">
        <f t="shared" si="17"/>
        <v>116.6</v>
      </c>
      <c r="AF7" s="34">
        <f>56+300+240+220+220+200</f>
        <v>1236</v>
      </c>
      <c r="AG7" s="37">
        <f t="shared" si="18"/>
        <v>135.96</v>
      </c>
      <c r="AH7" s="34">
        <f>240+110+230+110+250+210</f>
        <v>1150</v>
      </c>
      <c r="AI7" s="37">
        <f t="shared" si="19"/>
        <v>126.5</v>
      </c>
      <c r="AJ7" s="15">
        <f t="shared" si="20"/>
        <v>7375</v>
      </c>
      <c r="AK7" s="15">
        <f t="shared" si="20"/>
        <v>811.25</v>
      </c>
      <c r="AL7" s="21">
        <f t="shared" si="21"/>
        <v>60.935305296207552</v>
      </c>
      <c r="AM7" s="34">
        <f>180+60+320+170+260+180+170+20+50+190</f>
        <v>1600</v>
      </c>
      <c r="AN7" s="37">
        <f t="shared" si="22"/>
        <v>176</v>
      </c>
      <c r="AO7" s="34">
        <v>1350</v>
      </c>
      <c r="AP7" s="37">
        <f t="shared" si="23"/>
        <v>148.5</v>
      </c>
      <c r="AQ7" s="34">
        <f>124+300+200+50+300+110+100+90+60</f>
        <v>1334</v>
      </c>
      <c r="AR7" s="18">
        <f t="shared" si="24"/>
        <v>146.74</v>
      </c>
      <c r="AS7" s="34">
        <f>160+593+584+240</f>
        <v>1577</v>
      </c>
      <c r="AT7" s="18">
        <f t="shared" si="25"/>
        <v>173.47</v>
      </c>
      <c r="AU7" s="34">
        <f>93+120+180+201+15+120+90+22+270+40+10+41+67+29</f>
        <v>1298</v>
      </c>
      <c r="AV7" s="42">
        <f t="shared" si="26"/>
        <v>142.78</v>
      </c>
      <c r="AW7" s="34">
        <f>240+140+128+230+210+290+280+300</f>
        <v>1818</v>
      </c>
      <c r="AX7" s="42">
        <f t="shared" si="27"/>
        <v>199.98</v>
      </c>
      <c r="AY7" s="34"/>
      <c r="AZ7" s="34"/>
      <c r="BA7" s="15">
        <f t="shared" si="28"/>
        <v>8977</v>
      </c>
      <c r="BB7" s="15">
        <f t="shared" si="28"/>
        <v>987.47</v>
      </c>
      <c r="BC7" s="21">
        <f t="shared" si="29"/>
        <v>74.171692968685448</v>
      </c>
      <c r="BD7" s="34"/>
      <c r="BE7" s="34"/>
      <c r="BF7" s="34"/>
      <c r="BG7" s="34"/>
      <c r="BH7" s="34"/>
      <c r="BI7" s="34"/>
      <c r="BJ7" s="34">
        <f>280+60+260+330+188+188+50+13</f>
        <v>1369</v>
      </c>
      <c r="BK7" s="42">
        <f t="shared" si="30"/>
        <v>150.59</v>
      </c>
      <c r="BL7" s="34">
        <f>240+280+190+220+150+28+14</f>
        <v>1122</v>
      </c>
      <c r="BM7" s="42">
        <f t="shared" si="31"/>
        <v>123.42</v>
      </c>
      <c r="BN7" s="34">
        <f>1150+130</f>
        <v>1280</v>
      </c>
      <c r="BO7" s="42">
        <f t="shared" si="32"/>
        <v>140.80000000000001</v>
      </c>
      <c r="BP7" s="34">
        <v>1458</v>
      </c>
      <c r="BQ7" s="42">
        <f t="shared" si="33"/>
        <v>160.38</v>
      </c>
      <c r="BR7" s="34">
        <f>250+310+140+190+170+110+20+20+13+11+10</f>
        <v>1244</v>
      </c>
      <c r="BS7" s="42">
        <f t="shared" si="34"/>
        <v>136.84</v>
      </c>
      <c r="BT7" s="34">
        <f>220+360+180+210+170+270</f>
        <v>1410</v>
      </c>
      <c r="BU7" s="42">
        <f t="shared" si="35"/>
        <v>155.1</v>
      </c>
      <c r="BV7" s="42">
        <f>119+80+90+210+230+290+24+90+70+12+15</f>
        <v>1230</v>
      </c>
      <c r="BW7" s="42">
        <f t="shared" si="36"/>
        <v>135.30000000000001</v>
      </c>
      <c r="BX7" s="15">
        <f t="shared" si="0"/>
        <v>7883</v>
      </c>
      <c r="BY7" s="15">
        <f t="shared" si="1"/>
        <v>867.13000000000011</v>
      </c>
      <c r="BZ7" s="21">
        <f t="shared" si="2"/>
        <v>65.132611749153099</v>
      </c>
      <c r="CA7" s="21">
        <f t="shared" si="37"/>
        <v>31041</v>
      </c>
      <c r="CB7" s="21">
        <f t="shared" si="38"/>
        <v>3414.51</v>
      </c>
      <c r="CC7" s="21">
        <f t="shared" si="39"/>
        <v>69.050585042487882</v>
      </c>
      <c r="CD7" s="15"/>
      <c r="CE7" s="15"/>
      <c r="CF7" s="21"/>
    </row>
    <row r="8" spans="1:84" x14ac:dyDescent="0.25">
      <c r="A8" s="7" t="s">
        <v>9</v>
      </c>
      <c r="B8" s="36">
        <v>1696</v>
      </c>
      <c r="C8" s="36">
        <v>3.5999999999999997E-2</v>
      </c>
      <c r="D8" s="4">
        <f t="shared" si="3"/>
        <v>61.055999999999997</v>
      </c>
      <c r="E8" s="34">
        <v>0</v>
      </c>
      <c r="F8" s="34">
        <f t="shared" si="4"/>
        <v>0</v>
      </c>
      <c r="G8" s="34">
        <v>0</v>
      </c>
      <c r="H8" s="34">
        <f t="shared" si="5"/>
        <v>0</v>
      </c>
      <c r="I8" s="34">
        <v>0</v>
      </c>
      <c r="J8" s="34">
        <f t="shared" si="6"/>
        <v>0</v>
      </c>
      <c r="K8" s="34">
        <v>0</v>
      </c>
      <c r="L8" s="34">
        <f t="shared" si="7"/>
        <v>0</v>
      </c>
      <c r="M8" s="34">
        <f>448+88</f>
        <v>536</v>
      </c>
      <c r="N8" s="34">
        <f t="shared" si="8"/>
        <v>19.295999999999999</v>
      </c>
      <c r="O8" s="34">
        <f>17+36+21+13+16+40</f>
        <v>143</v>
      </c>
      <c r="P8" s="34">
        <f t="shared" si="9"/>
        <v>5.1479999999999997</v>
      </c>
      <c r="Q8" s="34">
        <v>0</v>
      </c>
      <c r="R8" s="34">
        <f t="shared" si="10"/>
        <v>0</v>
      </c>
      <c r="S8" s="15">
        <f t="shared" si="11"/>
        <v>679</v>
      </c>
      <c r="T8" s="15">
        <f t="shared" si="11"/>
        <v>24.443999999999999</v>
      </c>
      <c r="U8" s="21">
        <f t="shared" si="12"/>
        <v>5.7193396226415096</v>
      </c>
      <c r="V8" s="34">
        <v>0</v>
      </c>
      <c r="W8" s="34">
        <f t="shared" si="13"/>
        <v>0</v>
      </c>
      <c r="X8" s="34">
        <v>0</v>
      </c>
      <c r="Y8" s="34">
        <f t="shared" si="14"/>
        <v>0</v>
      </c>
      <c r="Z8" s="34">
        <v>0</v>
      </c>
      <c r="AA8" s="34">
        <f t="shared" si="15"/>
        <v>0</v>
      </c>
      <c r="AB8" s="34"/>
      <c r="AC8" s="34">
        <f t="shared" si="16"/>
        <v>0</v>
      </c>
      <c r="AD8" s="34">
        <f>10+28</f>
        <v>38</v>
      </c>
      <c r="AE8" s="34">
        <f t="shared" si="17"/>
        <v>1.3679999999999999</v>
      </c>
      <c r="AF8" s="34">
        <v>0</v>
      </c>
      <c r="AG8" s="37">
        <f t="shared" si="18"/>
        <v>0</v>
      </c>
      <c r="AH8" s="34">
        <v>0</v>
      </c>
      <c r="AI8" s="37">
        <f t="shared" si="19"/>
        <v>0</v>
      </c>
      <c r="AJ8" s="15">
        <f t="shared" si="20"/>
        <v>38</v>
      </c>
      <c r="AK8" s="15">
        <f t="shared" si="20"/>
        <v>1.3679999999999999</v>
      </c>
      <c r="AL8" s="21">
        <f t="shared" si="21"/>
        <v>0.32008086253369272</v>
      </c>
      <c r="AM8" s="34">
        <v>0</v>
      </c>
      <c r="AN8" s="37">
        <f t="shared" si="22"/>
        <v>0</v>
      </c>
      <c r="AO8" s="34">
        <v>0</v>
      </c>
      <c r="AP8" s="37">
        <f t="shared" si="23"/>
        <v>0</v>
      </c>
      <c r="AQ8" s="34"/>
      <c r="AR8" s="18">
        <f t="shared" si="24"/>
        <v>0</v>
      </c>
      <c r="AS8" s="34">
        <v>0</v>
      </c>
      <c r="AT8" s="18">
        <f t="shared" si="25"/>
        <v>0</v>
      </c>
      <c r="AU8" s="34">
        <v>0</v>
      </c>
      <c r="AV8" s="42">
        <f t="shared" si="26"/>
        <v>0</v>
      </c>
      <c r="AW8" s="34">
        <v>350</v>
      </c>
      <c r="AX8" s="42">
        <f t="shared" si="27"/>
        <v>12.6</v>
      </c>
      <c r="AY8" s="34"/>
      <c r="AZ8" s="34"/>
      <c r="BA8" s="15">
        <f t="shared" si="28"/>
        <v>350</v>
      </c>
      <c r="BB8" s="15">
        <f t="shared" si="28"/>
        <v>12.6</v>
      </c>
      <c r="BC8" s="21">
        <f t="shared" si="29"/>
        <v>2.9481132075471699</v>
      </c>
      <c r="BD8" s="34"/>
      <c r="BE8" s="34"/>
      <c r="BF8" s="34"/>
      <c r="BG8" s="34"/>
      <c r="BH8" s="34"/>
      <c r="BI8" s="34"/>
      <c r="BJ8" s="34">
        <f>300</f>
        <v>300</v>
      </c>
      <c r="BK8" s="42">
        <f t="shared" si="30"/>
        <v>10.799999999999999</v>
      </c>
      <c r="BL8" s="34">
        <v>530</v>
      </c>
      <c r="BM8" s="42">
        <f t="shared" si="31"/>
        <v>19.079999999999998</v>
      </c>
      <c r="BN8" s="34">
        <v>0</v>
      </c>
      <c r="BO8" s="42">
        <f t="shared" si="32"/>
        <v>0</v>
      </c>
      <c r="BP8" s="34">
        <v>0</v>
      </c>
      <c r="BQ8" s="42">
        <f t="shared" si="33"/>
        <v>0</v>
      </c>
      <c r="BR8" s="34">
        <v>590</v>
      </c>
      <c r="BS8" s="42">
        <f t="shared" si="34"/>
        <v>21.24</v>
      </c>
      <c r="BT8" s="34">
        <f>20+20+375</f>
        <v>415</v>
      </c>
      <c r="BU8" s="42">
        <f t="shared" si="35"/>
        <v>14.94</v>
      </c>
      <c r="BV8" s="42">
        <v>520</v>
      </c>
      <c r="BW8" s="42">
        <f t="shared" si="36"/>
        <v>18.72</v>
      </c>
      <c r="BX8" s="15">
        <f t="shared" si="0"/>
        <v>1835</v>
      </c>
      <c r="BY8" s="15">
        <f t="shared" si="1"/>
        <v>66.059999999999988</v>
      </c>
      <c r="BZ8" s="21">
        <f t="shared" si="2"/>
        <v>15.456536388140163</v>
      </c>
      <c r="CA8" s="21">
        <f t="shared" si="37"/>
        <v>2902</v>
      </c>
      <c r="CB8" s="21">
        <f t="shared" si="38"/>
        <v>104.47199999999998</v>
      </c>
      <c r="CC8" s="21">
        <f t="shared" si="39"/>
        <v>6.5810957910014496</v>
      </c>
      <c r="CD8" s="15"/>
      <c r="CE8" s="15"/>
      <c r="CF8" s="21"/>
    </row>
    <row r="9" spans="1:84" x14ac:dyDescent="0.25">
      <c r="A9" s="7" t="s">
        <v>10</v>
      </c>
      <c r="B9" s="15">
        <v>4600</v>
      </c>
      <c r="C9" s="15">
        <v>0.20399999999999999</v>
      </c>
      <c r="D9" s="16">
        <f t="shared" si="3"/>
        <v>938.4</v>
      </c>
      <c r="E9" s="34">
        <f>420+785+711</f>
        <v>1916</v>
      </c>
      <c r="F9" s="34">
        <f t="shared" si="4"/>
        <v>390.86399999999998</v>
      </c>
      <c r="G9" s="34">
        <f>430+820+750+686+906+405</f>
        <v>3997</v>
      </c>
      <c r="H9" s="34">
        <f t="shared" si="5"/>
        <v>815.38799999999992</v>
      </c>
      <c r="I9" s="34">
        <f>700+460+824+872+485+728</f>
        <v>4069</v>
      </c>
      <c r="J9" s="34">
        <f t="shared" si="6"/>
        <v>830.07599999999991</v>
      </c>
      <c r="K9" s="34">
        <f>760+817+420+733+441+900</f>
        <v>4071</v>
      </c>
      <c r="L9" s="34">
        <f t="shared" si="7"/>
        <v>830.48399999999992</v>
      </c>
      <c r="M9" s="34">
        <f>835+450+750+830+960+454</f>
        <v>4279</v>
      </c>
      <c r="N9" s="34">
        <f t="shared" si="8"/>
        <v>872.91599999999994</v>
      </c>
      <c r="O9" s="34">
        <f>750+450+399+626+575+350</f>
        <v>3150</v>
      </c>
      <c r="P9" s="34">
        <f t="shared" si="9"/>
        <v>642.59999999999991</v>
      </c>
      <c r="Q9" s="34">
        <f>1520+1736</f>
        <v>3256</v>
      </c>
      <c r="R9" s="34">
        <f t="shared" si="10"/>
        <v>664.22399999999993</v>
      </c>
      <c r="S9" s="15">
        <f t="shared" si="11"/>
        <v>24738</v>
      </c>
      <c r="T9" s="15">
        <f t="shared" si="11"/>
        <v>5046.5519999999997</v>
      </c>
      <c r="U9" s="21">
        <f t="shared" si="12"/>
        <v>76.826086956521749</v>
      </c>
      <c r="V9" s="34">
        <f>1497+1640</f>
        <v>3137</v>
      </c>
      <c r="W9" s="34">
        <f t="shared" si="13"/>
        <v>639.94799999999998</v>
      </c>
      <c r="X9" s="34">
        <f>700+414+650+815+785+344</f>
        <v>3708</v>
      </c>
      <c r="Y9" s="34">
        <f t="shared" si="14"/>
        <v>756.4319999999999</v>
      </c>
      <c r="Z9" s="34">
        <f>824+420+740+925+925</f>
        <v>3834</v>
      </c>
      <c r="AA9" s="34">
        <f t="shared" si="15"/>
        <v>782.13599999999997</v>
      </c>
      <c r="AB9" s="34">
        <f>710+720+727+825+518+847+270</f>
        <v>4617</v>
      </c>
      <c r="AC9" s="34">
        <f t="shared" si="16"/>
        <v>941.86799999999994</v>
      </c>
      <c r="AD9" s="34">
        <f>795+509+739+210+718+515+876+400</f>
        <v>4762</v>
      </c>
      <c r="AE9" s="34">
        <f t="shared" si="17"/>
        <v>971.44799999999998</v>
      </c>
      <c r="AF9" s="34">
        <f>560+105+390+90+680+110+327+400+1188+791</f>
        <v>4641</v>
      </c>
      <c r="AG9" s="37">
        <f t="shared" si="18"/>
        <v>946.7639999999999</v>
      </c>
      <c r="AH9" s="34">
        <f>506+322+550+650+840+490+554+882</f>
        <v>4794</v>
      </c>
      <c r="AI9" s="37">
        <f t="shared" si="19"/>
        <v>977.97599999999989</v>
      </c>
      <c r="AJ9" s="15">
        <f t="shared" si="20"/>
        <v>29493</v>
      </c>
      <c r="AK9" s="15">
        <f t="shared" si="20"/>
        <v>6016.5719999999992</v>
      </c>
      <c r="AL9" s="21">
        <f t="shared" si="21"/>
        <v>91.593167701863351</v>
      </c>
      <c r="AM9" s="34">
        <f>579+573+770+667+706+732+863+478</f>
        <v>5368</v>
      </c>
      <c r="AN9" s="37">
        <f t="shared" si="22"/>
        <v>1095.0719999999999</v>
      </c>
      <c r="AO9" s="34">
        <f>729+697+680+298+150+822+808+844+334</f>
        <v>5362</v>
      </c>
      <c r="AP9" s="37">
        <f t="shared" si="23"/>
        <v>1093.848</v>
      </c>
      <c r="AQ9" s="34">
        <f>920+971+492+862+900+850+535</f>
        <v>5530</v>
      </c>
      <c r="AR9" s="18">
        <f t="shared" si="24"/>
        <v>1128.1199999999999</v>
      </c>
      <c r="AS9" s="34">
        <f>730+530+740+478+113+1043+669+834+334</f>
        <v>5471</v>
      </c>
      <c r="AT9" s="18">
        <f t="shared" si="25"/>
        <v>1116.0839999999998</v>
      </c>
      <c r="AU9" s="34">
        <f>780+790+860+453+76+363+884+845+838</f>
        <v>5889</v>
      </c>
      <c r="AV9" s="42">
        <f t="shared" si="26"/>
        <v>1201.356</v>
      </c>
      <c r="AW9" s="34">
        <v>0</v>
      </c>
      <c r="AX9" s="42">
        <f t="shared" si="27"/>
        <v>0</v>
      </c>
      <c r="AY9" s="34"/>
      <c r="AZ9" s="34"/>
      <c r="BA9" s="15">
        <f t="shared" si="28"/>
        <v>27620</v>
      </c>
      <c r="BB9" s="15">
        <f t="shared" si="28"/>
        <v>5634.48</v>
      </c>
      <c r="BC9" s="21">
        <f t="shared" si="29"/>
        <v>85.776397515527947</v>
      </c>
      <c r="BD9" s="34"/>
      <c r="BE9" s="34"/>
      <c r="BF9" s="34"/>
      <c r="BG9" s="34"/>
      <c r="BH9" s="34"/>
      <c r="BI9" s="34"/>
      <c r="BJ9" s="34">
        <f>170+130+150+120+110+15+106+22+124+840+530+560+240</f>
        <v>3117</v>
      </c>
      <c r="BK9" s="42">
        <f t="shared" si="30"/>
        <v>635.86799999999994</v>
      </c>
      <c r="BL9" s="34">
        <f>220+120+130+100+140+22+180+7+8+26+460+200+110+300+100+240+160+210+120+130+57+360+90</f>
        <v>3490</v>
      </c>
      <c r="BM9" s="42">
        <f t="shared" si="31"/>
        <v>711.95999999999992</v>
      </c>
      <c r="BN9" s="34">
        <f>500+27+47+270+240+120+230+183+30+60+66+480+270+320+33+135+61+220+94+33+137+70+129+32</f>
        <v>3787</v>
      </c>
      <c r="BO9" s="42">
        <f t="shared" si="32"/>
        <v>772.548</v>
      </c>
      <c r="BP9" s="34">
        <f>400+130+160+260+24+120+33+13+151+16+1183</f>
        <v>2490</v>
      </c>
      <c r="BQ9" s="42">
        <f t="shared" si="33"/>
        <v>507.96</v>
      </c>
      <c r="BR9" s="34">
        <f>2898+690</f>
        <v>3588</v>
      </c>
      <c r="BS9" s="42">
        <f t="shared" si="34"/>
        <v>731.952</v>
      </c>
      <c r="BT9" s="34">
        <f>2468+900</f>
        <v>3368</v>
      </c>
      <c r="BU9" s="42">
        <f t="shared" si="35"/>
        <v>687.072</v>
      </c>
      <c r="BV9" s="42">
        <f>831+608+849+550+500</f>
        <v>3338</v>
      </c>
      <c r="BW9" s="42">
        <f t="shared" si="36"/>
        <v>680.952</v>
      </c>
      <c r="BX9" s="15">
        <f t="shared" si="0"/>
        <v>19840</v>
      </c>
      <c r="BY9" s="15">
        <f t="shared" si="1"/>
        <v>4047.3600000000006</v>
      </c>
      <c r="BZ9" s="21">
        <f t="shared" si="2"/>
        <v>61.614906832298132</v>
      </c>
      <c r="CA9" s="21">
        <f t="shared" si="37"/>
        <v>101691</v>
      </c>
      <c r="CB9" s="21">
        <f t="shared" si="38"/>
        <v>20744.964</v>
      </c>
      <c r="CC9" s="21">
        <f t="shared" si="39"/>
        <v>85.02591973244148</v>
      </c>
      <c r="CD9" s="15"/>
      <c r="CE9" s="15"/>
      <c r="CF9" s="21"/>
    </row>
    <row r="10" spans="1:84" x14ac:dyDescent="0.25">
      <c r="A10" s="7" t="s">
        <v>11</v>
      </c>
      <c r="B10" s="36">
        <v>18274</v>
      </c>
      <c r="C10" s="36">
        <f>8/1000</f>
        <v>8.0000000000000002E-3</v>
      </c>
      <c r="D10" s="4">
        <f t="shared" si="3"/>
        <v>146.19200000000001</v>
      </c>
      <c r="E10" s="34">
        <f>750+60+730+770+500</f>
        <v>2810</v>
      </c>
      <c r="F10" s="34">
        <f t="shared" si="4"/>
        <v>22.48</v>
      </c>
      <c r="G10" s="34">
        <f>390+150+150+760+720+3160+740+400+800+130+740+770+730+220</f>
        <v>9860</v>
      </c>
      <c r="H10" s="34">
        <f t="shared" si="5"/>
        <v>78.88</v>
      </c>
      <c r="I10" s="34">
        <f>750+60+730+770+500</f>
        <v>2810</v>
      </c>
      <c r="J10" s="34">
        <f t="shared" si="6"/>
        <v>22.48</v>
      </c>
      <c r="K10" s="34">
        <f>9640</f>
        <v>9640</v>
      </c>
      <c r="L10" s="34">
        <f t="shared" si="7"/>
        <v>77.12</v>
      </c>
      <c r="M10" s="34">
        <f>10550</f>
        <v>10550</v>
      </c>
      <c r="N10" s="34">
        <f t="shared" si="8"/>
        <v>84.4</v>
      </c>
      <c r="O10" s="34">
        <v>7510</v>
      </c>
      <c r="P10" s="34">
        <f t="shared" si="9"/>
        <v>60.08</v>
      </c>
      <c r="Q10" s="34">
        <f>2370+2370+840+1200+1640</f>
        <v>8420</v>
      </c>
      <c r="R10" s="34">
        <f t="shared" si="10"/>
        <v>67.36</v>
      </c>
      <c r="S10" s="15">
        <f t="shared" si="11"/>
        <v>51600</v>
      </c>
      <c r="T10" s="15">
        <f t="shared" si="11"/>
        <v>412.80000000000007</v>
      </c>
      <c r="U10" s="21">
        <f t="shared" si="12"/>
        <v>40.338341750183709</v>
      </c>
      <c r="V10" s="34">
        <f>130+760+130+150+140+360+770+1290+950</f>
        <v>4680</v>
      </c>
      <c r="W10" s="34">
        <f t="shared" si="13"/>
        <v>37.44</v>
      </c>
      <c r="X10" s="34">
        <v>8450</v>
      </c>
      <c r="Y10" s="34">
        <f t="shared" si="14"/>
        <v>67.599999999999994</v>
      </c>
      <c r="Z10" s="34">
        <f>7000+4100</f>
        <v>11100</v>
      </c>
      <c r="AA10" s="34">
        <f t="shared" si="15"/>
        <v>88.8</v>
      </c>
      <c r="AB10" s="34">
        <v>11030</v>
      </c>
      <c r="AC10" s="34">
        <f t="shared" si="16"/>
        <v>88.24</v>
      </c>
      <c r="AD10" s="34">
        <v>8420</v>
      </c>
      <c r="AE10" s="34">
        <f t="shared" si="17"/>
        <v>67.36</v>
      </c>
      <c r="AF10" s="34">
        <f>3060+3420</f>
        <v>6480</v>
      </c>
      <c r="AG10" s="37">
        <f t="shared" si="18"/>
        <v>51.84</v>
      </c>
      <c r="AH10" s="34">
        <f>8140</f>
        <v>8140</v>
      </c>
      <c r="AI10" s="37">
        <f t="shared" si="19"/>
        <v>65.12</v>
      </c>
      <c r="AJ10" s="15">
        <f t="shared" si="20"/>
        <v>58300</v>
      </c>
      <c r="AK10" s="15">
        <f t="shared" si="20"/>
        <v>466.4</v>
      </c>
      <c r="AL10" s="39">
        <f t="shared" si="21"/>
        <v>45.576072171234699</v>
      </c>
      <c r="AM10" s="40">
        <f>4160+41+67</f>
        <v>4268</v>
      </c>
      <c r="AN10" s="40">
        <f t="shared" si="22"/>
        <v>34.143999999999998</v>
      </c>
      <c r="AO10" s="40">
        <f>6310+700+300+700+290</f>
        <v>8300</v>
      </c>
      <c r="AP10" s="40">
        <f t="shared" si="23"/>
        <v>66.400000000000006</v>
      </c>
      <c r="AQ10" s="40">
        <v>8120</v>
      </c>
      <c r="AR10" s="18">
        <f t="shared" si="24"/>
        <v>64.960000000000008</v>
      </c>
      <c r="AS10" s="40">
        <v>8150</v>
      </c>
      <c r="AT10" s="18">
        <f t="shared" si="25"/>
        <v>65.2</v>
      </c>
      <c r="AU10" s="40">
        <v>7890</v>
      </c>
      <c r="AV10" s="42">
        <f t="shared" si="26"/>
        <v>63.120000000000005</v>
      </c>
      <c r="AW10" s="40">
        <v>0</v>
      </c>
      <c r="AX10" s="42">
        <f t="shared" si="27"/>
        <v>0</v>
      </c>
      <c r="AY10" s="40"/>
      <c r="AZ10" s="40"/>
      <c r="BA10" s="41">
        <f t="shared" si="28"/>
        <v>36728</v>
      </c>
      <c r="BB10" s="41">
        <f t="shared" si="28"/>
        <v>293.82400000000001</v>
      </c>
      <c r="BC10" s="39">
        <f t="shared" si="29"/>
        <v>28.712143717068749</v>
      </c>
      <c r="BD10" s="40"/>
      <c r="BE10" s="40"/>
      <c r="BF10" s="40"/>
      <c r="BG10" s="40"/>
      <c r="BH10" s="40"/>
      <c r="BI10" s="40"/>
      <c r="BJ10" s="40">
        <v>6760</v>
      </c>
      <c r="BK10" s="42">
        <f t="shared" si="30"/>
        <v>54.08</v>
      </c>
      <c r="BL10" s="40">
        <v>6040</v>
      </c>
      <c r="BM10" s="42">
        <f t="shared" si="31"/>
        <v>48.32</v>
      </c>
      <c r="BN10" s="40">
        <v>3450</v>
      </c>
      <c r="BO10" s="42">
        <f t="shared" si="32"/>
        <v>27.6</v>
      </c>
      <c r="BP10" s="40">
        <v>0</v>
      </c>
      <c r="BQ10" s="42">
        <f t="shared" si="33"/>
        <v>0</v>
      </c>
      <c r="BR10" s="40">
        <v>0</v>
      </c>
      <c r="BS10" s="40"/>
      <c r="BT10" s="40">
        <v>0</v>
      </c>
      <c r="BU10" s="42">
        <f t="shared" si="35"/>
        <v>0</v>
      </c>
      <c r="BV10" s="40">
        <v>0</v>
      </c>
      <c r="BW10" s="42">
        <f t="shared" si="36"/>
        <v>0</v>
      </c>
      <c r="BX10" s="41">
        <f t="shared" si="0"/>
        <v>16250</v>
      </c>
      <c r="BY10" s="41">
        <f t="shared" si="1"/>
        <v>130</v>
      </c>
      <c r="BZ10" s="39">
        <f t="shared" si="2"/>
        <v>12.703450648071421</v>
      </c>
      <c r="CA10" s="21">
        <f t="shared" si="37"/>
        <v>162878</v>
      </c>
      <c r="CB10" s="21">
        <f t="shared" si="38"/>
        <v>1303.0239999999999</v>
      </c>
      <c r="CC10" s="21">
        <f t="shared" si="39"/>
        <v>34.281156077150385</v>
      </c>
      <c r="CD10" s="41"/>
      <c r="CE10" s="41"/>
      <c r="CF10" s="39"/>
    </row>
    <row r="11" spans="1:84" ht="15.75" x14ac:dyDescent="0.25">
      <c r="A11" s="29" t="s">
        <v>21</v>
      </c>
      <c r="D11" s="30">
        <f>SUM(D4:D10)</f>
        <v>1845.558</v>
      </c>
      <c r="F11" s="30">
        <f>SUM(F4:F10)</f>
        <v>717.99399999999991</v>
      </c>
      <c r="G11" s="30"/>
      <c r="H11" s="30">
        <f>SUM(H4:H10)</f>
        <v>1283.268</v>
      </c>
      <c r="I11" s="30"/>
      <c r="J11" s="30">
        <f>SUM(J4:J10)</f>
        <v>1308.7559999999999</v>
      </c>
      <c r="K11" s="30"/>
      <c r="L11" s="30">
        <f>SUM(L4:L10)</f>
        <v>1394.7839999999997</v>
      </c>
      <c r="M11" s="30"/>
      <c r="N11" s="30">
        <f>SUM(N4:N10)</f>
        <v>1505.7919999999999</v>
      </c>
      <c r="O11" s="30"/>
      <c r="P11" s="30">
        <f>SUM(P4:P10)</f>
        <v>1012.348</v>
      </c>
      <c r="Q11" s="30"/>
      <c r="R11" s="30">
        <f>SUM(R4:R10)</f>
        <v>1063.194</v>
      </c>
      <c r="S11" s="30"/>
      <c r="T11" s="30">
        <f>SUM(T4:T10)</f>
        <v>8286.1359999999986</v>
      </c>
      <c r="V11" s="30"/>
      <c r="W11" s="30">
        <f>SUM(W4:W10)</f>
        <v>1017.4180000000001</v>
      </c>
      <c r="X11" s="30"/>
      <c r="Y11" s="30">
        <f>SUM(Y4:Y10)</f>
        <v>1224.8819999999998</v>
      </c>
      <c r="Z11" s="30"/>
      <c r="AA11" s="30">
        <f>SUM(AA4:AA10)</f>
        <v>1172.9259999999999</v>
      </c>
      <c r="AB11" s="30"/>
      <c r="AC11" s="30">
        <f>SUM(AC4:AC10)</f>
        <v>1349.2479999999998</v>
      </c>
      <c r="AD11" s="30"/>
      <c r="AE11" s="30">
        <f>SUM(AE4:AE10)</f>
        <v>1317.5759999999998</v>
      </c>
      <c r="AF11" s="30"/>
      <c r="AG11" s="30">
        <f>SUM(AG4:AG10)</f>
        <v>1452.1439999999998</v>
      </c>
      <c r="AH11" s="30"/>
      <c r="AI11" s="30">
        <f>SUM(AI4:AI10)</f>
        <v>1531.6959999999999</v>
      </c>
      <c r="AJ11" s="30"/>
      <c r="AK11" s="38">
        <f t="shared" si="20"/>
        <v>9065.89</v>
      </c>
      <c r="AL11" s="30"/>
      <c r="AM11" s="37"/>
      <c r="AN11" s="30">
        <f>SUM(AN4:AN10)</f>
        <v>1744.9559999999999</v>
      </c>
      <c r="AO11" s="30"/>
      <c r="AP11" s="30">
        <f>SUM(AP4:AP10)</f>
        <v>1638.268</v>
      </c>
      <c r="AQ11" s="37"/>
      <c r="AR11" s="46">
        <f>SUM(AR4:AR10)</f>
        <v>1681.76</v>
      </c>
      <c r="AS11" s="37"/>
      <c r="AT11" s="46">
        <f>SUM(AT4:AT10)</f>
        <v>1762.7539999999999</v>
      </c>
      <c r="AU11" s="37"/>
      <c r="AV11" s="30">
        <f>SUM(AV4:AV10)</f>
        <v>1741.576</v>
      </c>
      <c r="AW11" s="37"/>
      <c r="AX11" s="30">
        <f>SUM(AX4:AX10)</f>
        <v>467.46000000000004</v>
      </c>
      <c r="AY11" s="37"/>
      <c r="AZ11" s="37"/>
      <c r="BA11" s="37"/>
      <c r="BB11" s="30">
        <f t="shared" si="28"/>
        <v>9036.7740000000013</v>
      </c>
      <c r="BC11" s="37"/>
      <c r="BD11" s="37"/>
      <c r="BE11" s="37"/>
      <c r="BF11" s="37"/>
      <c r="BG11" s="37"/>
      <c r="BH11" s="37"/>
      <c r="BI11" s="37"/>
      <c r="BJ11" s="37"/>
      <c r="BK11" s="30">
        <f>SUM(BK4:BK10)</f>
        <v>1218.2379999999998</v>
      </c>
      <c r="BL11" s="37"/>
      <c r="BM11" s="30">
        <f>SUM(BM4:BM10)</f>
        <v>1420.1599999999999</v>
      </c>
      <c r="BN11" s="37"/>
      <c r="BO11" s="30">
        <f>SUM(BO4:BO10)</f>
        <v>1396.828</v>
      </c>
      <c r="BP11" s="37"/>
      <c r="BQ11" s="30">
        <f>SUM(BQ4:BQ10)</f>
        <v>1148.22</v>
      </c>
      <c r="BR11" s="37"/>
      <c r="BS11" s="30">
        <f>SUM(BS4:BS10)</f>
        <v>1220.452</v>
      </c>
      <c r="BT11" s="37"/>
      <c r="BU11" s="30">
        <f>SUM(BU4:BU10)</f>
        <v>1006.992</v>
      </c>
      <c r="BV11" s="42"/>
      <c r="BW11" s="30">
        <f>SUM(BW4:BW10)</f>
        <v>1058.7719999999999</v>
      </c>
      <c r="BX11" s="37"/>
      <c r="BY11" s="37"/>
      <c r="BZ11" s="37"/>
      <c r="CA11" s="44"/>
      <c r="CB11" s="44"/>
      <c r="CC11" s="44"/>
      <c r="CD11" s="37"/>
      <c r="CE11" s="37"/>
      <c r="CF11" s="37"/>
    </row>
    <row r="15" spans="1:84" x14ac:dyDescent="0.25">
      <c r="B15" s="47"/>
      <c r="C15" s="49" t="s">
        <v>24</v>
      </c>
      <c r="D15" s="49"/>
      <c r="E15" s="49"/>
      <c r="F15" s="50"/>
      <c r="G15" s="48"/>
    </row>
    <row r="16" spans="1:84" x14ac:dyDescent="0.25">
      <c r="A16" s="32"/>
      <c r="B16" s="47"/>
      <c r="C16" s="51" t="s">
        <v>25</v>
      </c>
      <c r="D16" s="51"/>
      <c r="E16" s="51"/>
      <c r="F16" s="15"/>
    </row>
    <row r="17" spans="2:5" x14ac:dyDescent="0.25">
      <c r="B17" s="47"/>
      <c r="C17" s="47"/>
      <c r="D17" s="47"/>
      <c r="E17" s="47"/>
    </row>
  </sheetData>
  <mergeCells count="39">
    <mergeCell ref="Z2:AA2"/>
    <mergeCell ref="A1:N1"/>
    <mergeCell ref="B2:D2"/>
    <mergeCell ref="E2:F2"/>
    <mergeCell ref="G2:H2"/>
    <mergeCell ref="I2:J2"/>
    <mergeCell ref="K2:L2"/>
    <mergeCell ref="M2:N2"/>
    <mergeCell ref="O2:P2"/>
    <mergeCell ref="Q2:R2"/>
    <mergeCell ref="S2:U2"/>
    <mergeCell ref="V2:W2"/>
    <mergeCell ref="X2:Y2"/>
    <mergeCell ref="AY2:AZ2"/>
    <mergeCell ref="AB2:AC2"/>
    <mergeCell ref="AD2:AE2"/>
    <mergeCell ref="AF2:AG2"/>
    <mergeCell ref="AH2:AI2"/>
    <mergeCell ref="AJ2:AL2"/>
    <mergeCell ref="AM2:AN2"/>
    <mergeCell ref="AO2:AP2"/>
    <mergeCell ref="AQ2:AR2"/>
    <mergeCell ref="AS2:AT2"/>
    <mergeCell ref="AU2:AV2"/>
    <mergeCell ref="AW2:AX2"/>
    <mergeCell ref="CD2:CF2"/>
    <mergeCell ref="BA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X2:BZ2"/>
    <mergeCell ref="BV2:BW2"/>
    <mergeCell ref="CA2:CC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JUNE 2026</vt:lpstr>
      <vt:lpstr>JULY 2026</vt:lpstr>
      <vt:lpstr>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2026-06-01T06:41:19Z</dcterms:created>
  <dcterms:modified xsi:type="dcterms:W3CDTF">2026-09-05T10:05:45Z</dcterms:modified>
</cp:coreProperties>
</file>