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mitk\Desktop\ooffice KST\RM_CONE_WEIGHT\"/>
    </mc:Choice>
  </mc:AlternateContent>
  <xr:revisionPtr revIDLastSave="0" documentId="13_ncr:1_{7598B301-1D29-4747-8C21-CD7F013654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ticleMaster (2)" sheetId="1" r:id="rId1"/>
  </sheets>
  <definedNames>
    <definedName name="_xlnm._FilterDatabase" localSheetId="0" hidden="1">'ArticleMaster (2)'!$A$1:$Z$86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N14" i="1"/>
  <c r="Q14" i="1" s="1"/>
  <c r="N11" i="1"/>
  <c r="Q11" i="1" s="1"/>
  <c r="N8" i="1"/>
  <c r="Q8" i="1" s="1"/>
  <c r="N9" i="1"/>
  <c r="Q9" i="1" s="1"/>
  <c r="N10" i="1"/>
  <c r="Q10" i="1" s="1"/>
  <c r="N72" i="1" l="1"/>
  <c r="Q72" i="1" s="1"/>
  <c r="N38" i="1"/>
  <c r="Q38" i="1" s="1"/>
  <c r="N76" i="1"/>
  <c r="Q76" i="1" s="1"/>
  <c r="N24" i="1"/>
  <c r="Q24" i="1" s="1"/>
  <c r="N48" i="1"/>
  <c r="Q48" i="1" s="1"/>
  <c r="N78" i="1"/>
  <c r="Q78" i="1" s="1"/>
  <c r="N36" i="1"/>
  <c r="Q36" i="1" s="1"/>
  <c r="N46" i="1"/>
  <c r="Q46" i="1" s="1"/>
  <c r="N44" i="1"/>
  <c r="Q44" i="1" s="1"/>
  <c r="N53" i="1"/>
  <c r="Q53" i="1" s="1"/>
  <c r="N51" i="1"/>
  <c r="Q51" i="1" s="1"/>
  <c r="N42" i="1"/>
  <c r="Q42" i="1" s="1"/>
  <c r="N40" i="1"/>
  <c r="Q40" i="1" s="1"/>
  <c r="Q20" i="1"/>
  <c r="Q22" i="1"/>
  <c r="N86" i="1"/>
  <c r="Q86" i="1" s="1"/>
  <c r="Q85" i="1"/>
  <c r="N84" i="1"/>
  <c r="Q84" i="1" s="1"/>
  <c r="N83" i="1"/>
  <c r="Q83" i="1" s="1"/>
  <c r="N82" i="1"/>
  <c r="Q82" i="1" s="1"/>
  <c r="N81" i="1"/>
  <c r="Q81" i="1" s="1"/>
  <c r="N80" i="1"/>
  <c r="Q80" i="1" s="1"/>
  <c r="N79" i="1"/>
  <c r="Q79" i="1" s="1"/>
  <c r="N77" i="1"/>
  <c r="Q77" i="1" s="1"/>
  <c r="N75" i="1"/>
  <c r="Q75" i="1" s="1"/>
  <c r="N74" i="1"/>
  <c r="Q74" i="1" s="1"/>
  <c r="N73" i="1"/>
  <c r="Q73" i="1" s="1"/>
  <c r="N71" i="1"/>
  <c r="Q71" i="1" s="1"/>
  <c r="N70" i="1"/>
  <c r="Q70" i="1" s="1"/>
  <c r="N69" i="1"/>
  <c r="Q69" i="1" s="1"/>
  <c r="N68" i="1"/>
  <c r="Q68" i="1" s="1"/>
  <c r="N67" i="1"/>
  <c r="Q67" i="1" s="1"/>
  <c r="N66" i="1"/>
  <c r="Q66" i="1" s="1"/>
  <c r="N65" i="1"/>
  <c r="Q65" i="1" s="1"/>
  <c r="N64" i="1"/>
  <c r="Q64" i="1" s="1"/>
  <c r="N63" i="1"/>
  <c r="Q63" i="1" s="1"/>
  <c r="N62" i="1"/>
  <c r="Q62" i="1" s="1"/>
  <c r="N61" i="1"/>
  <c r="Q61" i="1" s="1"/>
  <c r="N60" i="1"/>
  <c r="Q60" i="1" s="1"/>
  <c r="N59" i="1"/>
  <c r="Q59" i="1" s="1"/>
  <c r="N58" i="1"/>
  <c r="Q58" i="1" s="1"/>
  <c r="N57" i="1"/>
  <c r="Q57" i="1" s="1"/>
  <c r="N56" i="1"/>
  <c r="Q56" i="1" s="1"/>
  <c r="N55" i="1"/>
  <c r="Q55" i="1" s="1"/>
  <c r="N54" i="1"/>
  <c r="Q54" i="1" s="1"/>
  <c r="N52" i="1"/>
  <c r="Q52" i="1" s="1"/>
  <c r="N50" i="1"/>
  <c r="Q50" i="1" s="1"/>
  <c r="N49" i="1"/>
  <c r="Q49" i="1" s="1"/>
  <c r="N47" i="1"/>
  <c r="Q47" i="1" s="1"/>
  <c r="N45" i="1"/>
  <c r="Q45" i="1" s="1"/>
  <c r="N43" i="1"/>
  <c r="Q43" i="1" s="1"/>
  <c r="N41" i="1"/>
  <c r="Q41" i="1" s="1"/>
  <c r="N39" i="1"/>
  <c r="Q39" i="1" s="1"/>
  <c r="N37" i="1"/>
  <c r="Q37" i="1" s="1"/>
  <c r="N35" i="1"/>
  <c r="Q35" i="1" s="1"/>
  <c r="N34" i="1"/>
  <c r="Q34" i="1" s="1"/>
  <c r="N33" i="1"/>
  <c r="Q33" i="1" s="1"/>
  <c r="N32" i="1"/>
  <c r="Q32" i="1" s="1"/>
  <c r="N31" i="1"/>
  <c r="Q31" i="1" s="1"/>
  <c r="N30" i="1"/>
  <c r="Q30" i="1" s="1"/>
  <c r="N29" i="1"/>
  <c r="Q29" i="1" s="1"/>
  <c r="N28" i="1"/>
  <c r="Q28" i="1" s="1"/>
  <c r="N27" i="1"/>
  <c r="Q27" i="1" s="1"/>
  <c r="N26" i="1"/>
  <c r="Q26" i="1" s="1"/>
  <c r="N25" i="1"/>
  <c r="Q25" i="1" s="1"/>
  <c r="N23" i="1"/>
  <c r="Q23" i="1" s="1"/>
  <c r="Q21" i="1"/>
  <c r="Q19" i="1"/>
  <c r="Q18" i="1"/>
  <c r="N17" i="1"/>
  <c r="Q17" i="1" s="1"/>
  <c r="N16" i="1"/>
  <c r="Q16" i="1" s="1"/>
  <c r="N15" i="1"/>
  <c r="Q15" i="1" s="1"/>
  <c r="N13" i="1"/>
  <c r="Q13" i="1" s="1"/>
  <c r="N12" i="1"/>
  <c r="Q12" i="1" s="1"/>
  <c r="N7" i="1"/>
  <c r="Q7" i="1" s="1"/>
  <c r="N6" i="1"/>
  <c r="Q6" i="1" s="1"/>
  <c r="N5" i="1"/>
  <c r="Q5" i="1" s="1"/>
  <c r="N4" i="1"/>
  <c r="Q4" i="1" s="1"/>
  <c r="Q3" i="1"/>
  <c r="N2" i="1"/>
  <c r="Q2" i="1" s="1"/>
</calcChain>
</file>

<file path=xl/sharedStrings.xml><?xml version="1.0" encoding="utf-8"?>
<sst xmlns="http://schemas.openxmlformats.org/spreadsheetml/2006/main" count="453" uniqueCount="165">
  <si>
    <t>Sr</t>
  </si>
  <si>
    <t>Article No.</t>
  </si>
  <si>
    <t>Brand</t>
  </si>
  <si>
    <t>Nominal Tex Size</t>
  </si>
  <si>
    <t>GPD</t>
  </si>
  <si>
    <t>Item Mapped</t>
  </si>
  <si>
    <t>Length</t>
  </si>
  <si>
    <t>Make Up</t>
  </si>
  <si>
    <t>U/M</t>
  </si>
  <si>
    <t>Dry tex</t>
  </si>
  <si>
    <t>Dry weight(gram)</t>
  </si>
  <si>
    <t>Cone centre weight(gram)</t>
  </si>
  <si>
    <t>Lube %</t>
  </si>
  <si>
    <t>Gross weight</t>
  </si>
  <si>
    <t>Packing box size(mm)</t>
  </si>
  <si>
    <t>Packing mode</t>
  </si>
  <si>
    <t>Master carton size(mm)</t>
  </si>
  <si>
    <t>Master carton packing</t>
  </si>
  <si>
    <t>Net weight(kg) per master carton</t>
  </si>
  <si>
    <t>Tare weight</t>
  </si>
  <si>
    <t>Gross weight(kg) per master carton</t>
  </si>
  <si>
    <t>ROXX GOLD</t>
  </si>
  <si>
    <t>2/60 SPUN POLYESTER YARN</t>
  </si>
  <si>
    <t>4" V-CONE</t>
  </si>
  <si>
    <t>Black</t>
  </si>
  <si>
    <t>METER</t>
  </si>
  <si>
    <t>ROXX STAR</t>
  </si>
  <si>
    <t>2/57 SPUN POLYSTER YARN</t>
  </si>
  <si>
    <t>Grey</t>
  </si>
  <si>
    <t>gm</t>
  </si>
  <si>
    <t>ROXX 50</t>
  </si>
  <si>
    <t>2/20 SPUN POLYESTER YARN</t>
  </si>
  <si>
    <t>ROXX POLY</t>
  </si>
  <si>
    <t>64mm PAPER TUBE</t>
  </si>
  <si>
    <t>Red</t>
  </si>
  <si>
    <t>ROXX GOLD JR.</t>
  </si>
  <si>
    <t>ROXX DIAMOND</t>
  </si>
  <si>
    <t>3/60 HT SPUN POLYESTER</t>
  </si>
  <si>
    <t>ROXX EURO</t>
  </si>
  <si>
    <t>ROXX 20</t>
  </si>
  <si>
    <t>4/20 SPUN POLYSTER YARN</t>
  </si>
  <si>
    <t>COMFO PLUS 60</t>
  </si>
  <si>
    <t>210/2 CONTINOUS POLYESTER FILAMENT</t>
  </si>
  <si>
    <t>4" Y-CONE BF</t>
  </si>
  <si>
    <t>COMFO 60</t>
  </si>
  <si>
    <t>3.25" Y-CONE</t>
  </si>
  <si>
    <t>6" BF</t>
  </si>
  <si>
    <t>KG</t>
  </si>
  <si>
    <t>COMFO PLUS 80</t>
  </si>
  <si>
    <t>150/2 SHT POLY THREAD</t>
  </si>
  <si>
    <t>210/2 SHT POLY THREAD</t>
  </si>
  <si>
    <t>COMFO PRIDE</t>
  </si>
  <si>
    <t>120/2 PLY CF POLYESTER 5GPD</t>
  </si>
  <si>
    <t>COMFO 80</t>
  </si>
  <si>
    <t>4" Y-CONE MF</t>
  </si>
  <si>
    <t>6" Y-CONE BF</t>
  </si>
  <si>
    <t>COMFO PREMIUM</t>
  </si>
  <si>
    <t>210/3 CONTINOUS POLYESTER FILAMENT</t>
  </si>
  <si>
    <t>COMFO COOL</t>
  </si>
  <si>
    <t>COMFO STAR</t>
  </si>
  <si>
    <t>2.25" PENCIL CONE</t>
  </si>
  <si>
    <t>COMFO PLUS</t>
  </si>
  <si>
    <t>COMFO 30</t>
  </si>
  <si>
    <t>250/3 CONTINUOUS FILAMENT POLYSTER</t>
  </si>
  <si>
    <t>COMFO 20</t>
  </si>
  <si>
    <t>420/3 CONTINOUS FILAMENT POLYESTER</t>
  </si>
  <si>
    <t>COMFO 40</t>
  </si>
  <si>
    <t>210/3 SHT POLY THREAD</t>
  </si>
  <si>
    <t>420/3 PLY SHT POLY THREAD</t>
  </si>
  <si>
    <t>COMFO 10</t>
  </si>
  <si>
    <t>840/3 PLY HT POLYESTER</t>
  </si>
  <si>
    <t>COMFO 15</t>
  </si>
  <si>
    <t>500/3 PLY-POLYSTER-YARN</t>
  </si>
  <si>
    <t>150/3 PLY HT POLY</t>
  </si>
  <si>
    <t>COMFO 8</t>
  </si>
  <si>
    <t>TUFF 60</t>
  </si>
  <si>
    <t>210/2 HI-TENACITY NYLON YARN</t>
  </si>
  <si>
    <t>TUFF PREMIUM 60</t>
  </si>
  <si>
    <t>2.25 INCH PENCIL CONE</t>
  </si>
  <si>
    <t>TUFF PREMIUM</t>
  </si>
  <si>
    <t>210/3 HI-TENACITY NYLON</t>
  </si>
  <si>
    <t>TUFF CLASSIC</t>
  </si>
  <si>
    <t>TUFF STAR</t>
  </si>
  <si>
    <t>TUFF 20</t>
  </si>
  <si>
    <t>420/3 HI TENACITY NYLON</t>
  </si>
  <si>
    <t>TUFF 10</t>
  </si>
  <si>
    <t>840/3 PLY HT NYLON</t>
  </si>
  <si>
    <t>TUFF 30</t>
  </si>
  <si>
    <t>210/4 PLY HI TENACITY NYLON RAW</t>
  </si>
  <si>
    <t>ROXX CORE POLY</t>
  </si>
  <si>
    <t>2/29 POLY POLY CORE SPUN</t>
  </si>
  <si>
    <t>2/20-POLY-POLY-CORE-SPUN YARN</t>
  </si>
  <si>
    <t>2/48 POLY POLY CORE SPUN</t>
  </si>
  <si>
    <t>COMFO BOND</t>
  </si>
  <si>
    <t>210/3 PLY CF POLY BONDED</t>
  </si>
  <si>
    <t>420/3 CF POLYESTER BONDED</t>
  </si>
  <si>
    <t>TUFF BOND</t>
  </si>
  <si>
    <t>210/3 PLY HI TENACITY NYLON 66 IN BONDED</t>
  </si>
  <si>
    <t>420/3 PLY HT NYLON 66 IN BONDED</t>
  </si>
  <si>
    <t>TUFF BOND 10</t>
  </si>
  <si>
    <t>840/3-BRT-NY66-BONDED-YARN</t>
  </si>
  <si>
    <t>COMFO TEX 150</t>
  </si>
  <si>
    <t>150/TEX DYED</t>
  </si>
  <si>
    <t>COMFO TEX 80</t>
  </si>
  <si>
    <t>300/D 100 TPM</t>
  </si>
  <si>
    <t>COMFO TEX PLUS/SAFIRA 2063</t>
  </si>
  <si>
    <t>ROXX SILKY</t>
  </si>
  <si>
    <t>75/2 POLYCOT</t>
  </si>
  <si>
    <t>1887-SAFIRA</t>
  </si>
  <si>
    <t>Dark Green</t>
  </si>
  <si>
    <t>1881-SAFIRA</t>
  </si>
  <si>
    <t>Violet</t>
  </si>
  <si>
    <t>2853-SAFIRA</t>
  </si>
  <si>
    <t>2851-SAFIRA</t>
  </si>
  <si>
    <t>2852-SAFIRA</t>
  </si>
  <si>
    <t>2854-SAFIRA</t>
  </si>
  <si>
    <t>1380-SAFIRA</t>
  </si>
  <si>
    <t>1377-SAFIRA</t>
  </si>
  <si>
    <t>1106-SAFIRA</t>
  </si>
  <si>
    <t>1280D-SAFIRA</t>
  </si>
  <si>
    <t>2855-SAFIRA</t>
  </si>
  <si>
    <t>Sky Blue</t>
  </si>
  <si>
    <t>2209-SAFIRA</t>
  </si>
  <si>
    <t>1280-SAFIRA</t>
  </si>
  <si>
    <t>1107-SAFIRA</t>
  </si>
  <si>
    <t>SAFIRA CORE-POLY-120</t>
  </si>
  <si>
    <t>Green</t>
  </si>
  <si>
    <t>Waste %</t>
  </si>
  <si>
    <t>Twist per metre (primary/cecondary)</t>
  </si>
  <si>
    <t>Tkt Number</t>
  </si>
  <si>
    <t>ROXX GOLD-KIRAN</t>
  </si>
  <si>
    <t>ROXX GOLD-Zigma</t>
  </si>
  <si>
    <t>2/50 SPUN POLYESTER YARN</t>
  </si>
  <si>
    <t>ROXX 30</t>
  </si>
  <si>
    <t>3/22 SPUN POLYESTER YARN</t>
  </si>
  <si>
    <t>Blue</t>
  </si>
  <si>
    <t>White</t>
  </si>
  <si>
    <t>Orange</t>
  </si>
  <si>
    <t>Camel</t>
  </si>
  <si>
    <t>L- 363mm, W-153mm, H-127mm</t>
  </si>
  <si>
    <t>L- 154mm, W- 137 mm, H- 31mm</t>
  </si>
  <si>
    <t>NA</t>
  </si>
  <si>
    <t xml:space="preserve">L- 292mm , W-113mm , H- 122mm </t>
  </si>
  <si>
    <t>L-338mm,  W-152mm, H-146mm</t>
  </si>
  <si>
    <t>L- 340mm, W- 155mm, H- 150mm</t>
  </si>
  <si>
    <t>L-197mm, W-80mm, H-85mm</t>
  </si>
  <si>
    <t>10 cones per box</t>
  </si>
  <si>
    <t>10 tube per box</t>
  </si>
  <si>
    <t>10 cone per box</t>
  </si>
  <si>
    <t>L-635mm, W-378mm, H-410mm</t>
  </si>
  <si>
    <t>L- 650mm, W- 330mm, H- 442mm</t>
  </si>
  <si>
    <t>L- 490 mm, W-370 mm, H-445 mm</t>
  </si>
  <si>
    <t>L-492mm, W- 300mm, H-515 mm</t>
  </si>
  <si>
    <t>L-630mm, W-330mm, H-450mm</t>
  </si>
  <si>
    <t>L- 474mm, W- 364mm, H- 300mm</t>
  </si>
  <si>
    <t>L-444mm, W-403mm, H-445mm</t>
  </si>
  <si>
    <t>120 cone in 12 box</t>
  </si>
  <si>
    <t>120 boxes in 1 box</t>
  </si>
  <si>
    <t>24 cones 1 box</t>
  </si>
  <si>
    <t>160 cone in 16 box</t>
  </si>
  <si>
    <t>60 cone in 6 box</t>
  </si>
  <si>
    <t>500 cones in 50 box</t>
  </si>
  <si>
    <t>160 cone in 10 box</t>
  </si>
  <si>
    <t>No. finished units per carton</t>
  </si>
  <si>
    <t>Make-up colour (Cone Tube Color)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</si>
</sst>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2" fontId="0" fillId="0" borderId="1" xfId="0" applyNumberFormat="1" applyBorder="1" applyAlignment="1">
      <alignment horizontal="left"/>
    </xf>
    <xf numFmtId="16" fontId="0" fillId="0" borderId="1" xfId="0" quotePrefix="1" applyNumberFormat="1" applyBorder="1"/>
    <xf numFmtId="0" fontId="0" fillId="0" borderId="1" xfId="0" applyBorder="1" applyAlignment="1">
      <alignment wrapText="1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 vertical="center"/>
    </xf>
    <xf numFmtId="10" fontId="0" fillId="0" borderId="1" xfId="0" applyNumberFormat="1" applyBorder="1" applyAlignment="1">
      <alignment horizontal="left"/>
    </xf>
    <xf numFmtId="10" fontId="0" fillId="0" borderId="1" xfId="1" applyNumberFormat="1" applyFont="1" applyFill="1" applyBorder="1" applyAlignment="1">
      <alignment horizontal="left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left"/>
    </xf>
    <xf numFmtId="0" fontId="1" fillId="0" borderId="1" xfId="2" applyBorder="1" applyAlignment="1">
      <alignment horizontal="left"/>
    </xf>
    <xf numFmtId="0" fontId="1" fillId="0" borderId="1" xfId="2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0" fillId="4" borderId="1" xfId="0" applyFill="1" applyBorder="1"/>
    <xf numFmtId="0" fontId="0" fillId="0" borderId="1" xfId="0" applyBorder="1" applyAlignment="1">
      <alignment horizontal="center" wrapText="1"/>
    </xf>
  </cellXfs>
  <cellStyles count="3">
    <cellStyle name="Normal" xfId="0" builtinId="0"/>
    <cellStyle name="Normal 2" xfId="2" xr:uid="{00000000-0005-0000-0000-000001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6"/>
  <sheetViews>
    <sheetView tabSelected="1" zoomScale="90" zoomScaleNormal="90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B1" sqref="B1"/>
    </sheetView>
  </sheetViews>
  <sheetFormatPr defaultColWidth="9" defaultRowHeight="15.6" x14ac:dyDescent="0.3"/>
  <cols>
    <col min="1" max="1" width="9" style="9"/>
    <col min="2" max="2" width="9" style="10"/>
    <col min="3" max="3" width="26.59765625" style="10" bestFit="1" customWidth="1"/>
    <col min="4" max="4" width="17.19921875" style="10" bestFit="1" customWidth="1"/>
    <col min="5" max="5" width="6.3984375" style="10" customWidth="1"/>
    <col min="6" max="6" width="39.3984375" bestFit="1" customWidth="1"/>
    <col min="7" max="7" width="39.3984375" customWidth="1"/>
    <col min="8" max="8" width="9" style="10" customWidth="1"/>
    <col min="9" max="9" width="13.69921875" style="10" bestFit="1" customWidth="1"/>
    <col min="10" max="10" width="23.09765625" style="10" customWidth="1"/>
    <col min="11" max="11" width="32.296875" style="10" bestFit="1" customWidth="1"/>
    <col min="14" max="14" width="15.09765625" style="10" bestFit="1" customWidth="1"/>
    <col min="15" max="15" width="17.59765625" style="10" customWidth="1"/>
    <col min="16" max="16" width="9" style="10"/>
    <col min="17" max="18" width="10.69921875" style="10" customWidth="1"/>
    <col min="19" max="19" width="30.09765625" bestFit="1" customWidth="1"/>
    <col min="20" max="20" width="14.8984375" customWidth="1"/>
    <col min="21" max="21" width="29.59765625" bestFit="1" customWidth="1"/>
    <col min="22" max="22" width="17.59765625" bestFit="1" customWidth="1"/>
    <col min="23" max="23" width="18.69921875" customWidth="1"/>
    <col min="24" max="24" width="21.19921875" customWidth="1"/>
    <col min="25" max="25" width="28.19921875" customWidth="1"/>
    <col min="26" max="26" width="35.59765625" bestFit="1" customWidth="1"/>
  </cols>
  <sheetData>
    <row r="1" spans="1:26" ht="45" customHeight="1" x14ac:dyDescent="0.3">
      <c r="A1" s="1" t="s">
        <v>0</v>
      </c>
      <c r="B1" s="19" t="s">
        <v>1</v>
      </c>
      <c r="C1" s="11" t="s">
        <v>2</v>
      </c>
      <c r="D1" s="11" t="s">
        <v>3</v>
      </c>
      <c r="E1" s="19" t="s">
        <v>4</v>
      </c>
      <c r="F1" s="15" t="s">
        <v>5</v>
      </c>
      <c r="G1" s="15" t="s">
        <v>128</v>
      </c>
      <c r="H1" s="14" t="s">
        <v>129</v>
      </c>
      <c r="I1" s="11" t="s">
        <v>6</v>
      </c>
      <c r="J1" s="11" t="s">
        <v>7</v>
      </c>
      <c r="K1" s="19" t="s">
        <v>164</v>
      </c>
      <c r="L1" s="15" t="s">
        <v>8</v>
      </c>
      <c r="M1" s="19" t="s">
        <v>9</v>
      </c>
      <c r="N1" s="11" t="s">
        <v>10</v>
      </c>
      <c r="O1" s="19" t="s">
        <v>11</v>
      </c>
      <c r="P1" s="19" t="s">
        <v>12</v>
      </c>
      <c r="Q1" s="19" t="s">
        <v>13</v>
      </c>
      <c r="R1" s="19" t="s">
        <v>127</v>
      </c>
      <c r="S1" s="19" t="s">
        <v>14</v>
      </c>
      <c r="T1" s="19" t="s">
        <v>15</v>
      </c>
      <c r="U1" s="20" t="s">
        <v>16</v>
      </c>
      <c r="V1" s="20" t="s">
        <v>17</v>
      </c>
      <c r="W1" s="14" t="s">
        <v>163</v>
      </c>
      <c r="X1" s="20" t="s">
        <v>18</v>
      </c>
      <c r="Y1" s="19" t="s">
        <v>19</v>
      </c>
      <c r="Z1" s="19" t="s">
        <v>20</v>
      </c>
    </row>
    <row r="2" spans="1:26" s="8" customFormat="1" x14ac:dyDescent="0.3">
      <c r="A2" s="2">
        <v>1</v>
      </c>
      <c r="B2" s="3">
        <v>1201</v>
      </c>
      <c r="C2" s="3" t="s">
        <v>21</v>
      </c>
      <c r="D2" s="3">
        <v>20</v>
      </c>
      <c r="E2" s="3"/>
      <c r="F2" s="4" t="s">
        <v>22</v>
      </c>
      <c r="G2" s="4"/>
      <c r="H2" s="3">
        <v>60</v>
      </c>
      <c r="I2" s="3">
        <v>10000</v>
      </c>
      <c r="J2" s="3" t="s">
        <v>23</v>
      </c>
      <c r="K2" s="3" t="s">
        <v>24</v>
      </c>
      <c r="L2" s="4" t="s">
        <v>25</v>
      </c>
      <c r="M2" s="3">
        <v>20.2</v>
      </c>
      <c r="N2" s="5">
        <f>M2/1000*I2</f>
        <v>202</v>
      </c>
      <c r="O2" s="5">
        <v>15</v>
      </c>
      <c r="P2" s="16">
        <v>0.04</v>
      </c>
      <c r="Q2" s="5">
        <f t="shared" ref="Q2:Q7" si="0">(N2*P2)+N2+O2</f>
        <v>225.08</v>
      </c>
      <c r="R2" s="13">
        <v>7.4999999999999997E-3</v>
      </c>
      <c r="S2" s="4" t="s">
        <v>139</v>
      </c>
      <c r="T2" s="6" t="s">
        <v>146</v>
      </c>
      <c r="U2" s="4" t="s">
        <v>149</v>
      </c>
      <c r="V2" s="4" t="s">
        <v>156</v>
      </c>
      <c r="W2" s="2">
        <v>120</v>
      </c>
      <c r="X2" s="23">
        <f>W2*N2/1000</f>
        <v>24.24</v>
      </c>
      <c r="Y2" s="7"/>
      <c r="Z2" s="4"/>
    </row>
    <row r="3" spans="1:26" x14ac:dyDescent="0.3">
      <c r="A3" s="2">
        <v>2</v>
      </c>
      <c r="B3" s="3">
        <v>1202</v>
      </c>
      <c r="C3" s="3" t="s">
        <v>26</v>
      </c>
      <c r="D3" s="3">
        <v>20</v>
      </c>
      <c r="E3" s="3"/>
      <c r="F3" s="4" t="s">
        <v>27</v>
      </c>
      <c r="G3" s="4"/>
      <c r="H3" s="3">
        <v>60</v>
      </c>
      <c r="I3" s="3">
        <v>200</v>
      </c>
      <c r="J3" s="3" t="s">
        <v>23</v>
      </c>
      <c r="K3" s="3" t="s">
        <v>28</v>
      </c>
      <c r="L3" s="4" t="s">
        <v>29</v>
      </c>
      <c r="M3" s="3">
        <v>21</v>
      </c>
      <c r="N3" s="5">
        <v>192</v>
      </c>
      <c r="O3" s="5">
        <v>15</v>
      </c>
      <c r="P3" s="16">
        <v>0.04</v>
      </c>
      <c r="Q3" s="5">
        <f t="shared" si="0"/>
        <v>214.68</v>
      </c>
      <c r="R3" s="13">
        <v>7.4999999999999997E-3</v>
      </c>
      <c r="S3" s="4"/>
      <c r="T3" s="4"/>
      <c r="U3" s="4"/>
      <c r="V3" s="4"/>
      <c r="W3" s="4"/>
      <c r="X3" s="4"/>
      <c r="Y3" s="4"/>
      <c r="Z3" s="4"/>
    </row>
    <row r="4" spans="1:26" x14ac:dyDescent="0.3">
      <c r="A4" s="2">
        <v>3</v>
      </c>
      <c r="B4" s="3">
        <v>1203</v>
      </c>
      <c r="C4" s="3" t="s">
        <v>30</v>
      </c>
      <c r="D4" s="3">
        <v>60</v>
      </c>
      <c r="E4" s="3"/>
      <c r="F4" s="4" t="s">
        <v>31</v>
      </c>
      <c r="G4" s="4"/>
      <c r="H4" s="3">
        <v>50</v>
      </c>
      <c r="I4" s="3">
        <v>2000</v>
      </c>
      <c r="J4" s="3" t="s">
        <v>23</v>
      </c>
      <c r="K4" s="3" t="s">
        <v>24</v>
      </c>
      <c r="L4" s="4" t="s">
        <v>25</v>
      </c>
      <c r="M4" s="3">
        <v>60</v>
      </c>
      <c r="N4" s="5">
        <f>M4/1000*I4*1.002</f>
        <v>120.24</v>
      </c>
      <c r="O4" s="5">
        <v>15</v>
      </c>
      <c r="P4" s="16">
        <v>0.05</v>
      </c>
      <c r="Q4" s="5">
        <f t="shared" si="0"/>
        <v>141.25200000000001</v>
      </c>
      <c r="R4" s="13">
        <v>7.4999999999999997E-3</v>
      </c>
      <c r="S4" s="4"/>
      <c r="T4" s="4"/>
      <c r="U4" s="4"/>
      <c r="V4" s="4"/>
      <c r="W4" s="4"/>
      <c r="X4" s="4"/>
      <c r="Y4" s="4"/>
      <c r="Z4" s="4"/>
    </row>
    <row r="5" spans="1:26" x14ac:dyDescent="0.3">
      <c r="A5" s="2">
        <v>4</v>
      </c>
      <c r="B5" s="3">
        <v>1206</v>
      </c>
      <c r="C5" s="3" t="s">
        <v>32</v>
      </c>
      <c r="D5" s="3">
        <v>20</v>
      </c>
      <c r="E5" s="3"/>
      <c r="F5" s="4" t="s">
        <v>27</v>
      </c>
      <c r="G5" s="4"/>
      <c r="H5" s="3">
        <v>60</v>
      </c>
      <c r="I5" s="3">
        <v>180</v>
      </c>
      <c r="J5" s="3" t="s">
        <v>33</v>
      </c>
      <c r="K5" s="3"/>
      <c r="L5" s="4" t="s">
        <v>25</v>
      </c>
      <c r="M5" s="3">
        <v>21</v>
      </c>
      <c r="N5" s="5">
        <f>M5/1000*I5</f>
        <v>3.7800000000000002</v>
      </c>
      <c r="O5" s="5">
        <v>1.9</v>
      </c>
      <c r="P5" s="12">
        <v>3.5000000000000003E-2</v>
      </c>
      <c r="Q5" s="5">
        <f t="shared" si="0"/>
        <v>5.8123000000000005</v>
      </c>
      <c r="R5" s="13">
        <v>7.4999999999999997E-3</v>
      </c>
      <c r="S5" s="4"/>
      <c r="T5" s="4"/>
      <c r="U5" s="4"/>
      <c r="V5" s="4"/>
      <c r="W5" s="4"/>
      <c r="X5" s="4"/>
      <c r="Y5" s="4"/>
      <c r="Z5" s="4"/>
    </row>
    <row r="6" spans="1:26" x14ac:dyDescent="0.3">
      <c r="A6" s="2">
        <v>5</v>
      </c>
      <c r="B6" s="3">
        <v>1207</v>
      </c>
      <c r="C6" s="3" t="s">
        <v>32</v>
      </c>
      <c r="D6" s="3">
        <v>20</v>
      </c>
      <c r="E6" s="3"/>
      <c r="F6" s="4" t="s">
        <v>27</v>
      </c>
      <c r="G6" s="4"/>
      <c r="H6" s="3">
        <v>60</v>
      </c>
      <c r="I6" s="3">
        <v>800</v>
      </c>
      <c r="J6" s="3" t="s">
        <v>33</v>
      </c>
      <c r="K6" s="3" t="s">
        <v>34</v>
      </c>
      <c r="L6" s="4" t="s">
        <v>25</v>
      </c>
      <c r="M6" s="3">
        <v>21</v>
      </c>
      <c r="N6" s="5">
        <f>M6/1000*I6</f>
        <v>16.8</v>
      </c>
      <c r="O6" s="5">
        <v>1.9</v>
      </c>
      <c r="P6" s="12">
        <v>3.5000000000000003E-2</v>
      </c>
      <c r="Q6" s="5">
        <f t="shared" si="0"/>
        <v>19.288</v>
      </c>
      <c r="R6" s="13">
        <v>7.4999999999999997E-3</v>
      </c>
      <c r="S6" s="4" t="s">
        <v>140</v>
      </c>
      <c r="T6" s="4" t="s">
        <v>147</v>
      </c>
      <c r="U6" s="4" t="s">
        <v>150</v>
      </c>
      <c r="V6" s="4" t="s">
        <v>157</v>
      </c>
      <c r="W6" s="2">
        <v>120</v>
      </c>
      <c r="X6" s="4"/>
      <c r="Y6" s="4"/>
      <c r="Z6" s="4"/>
    </row>
    <row r="7" spans="1:26" x14ac:dyDescent="0.3">
      <c r="A7" s="2">
        <v>6</v>
      </c>
      <c r="B7" s="3">
        <v>1208</v>
      </c>
      <c r="C7" s="3" t="s">
        <v>35</v>
      </c>
      <c r="D7" s="3">
        <v>20</v>
      </c>
      <c r="E7" s="3"/>
      <c r="F7" s="4" t="s">
        <v>22</v>
      </c>
      <c r="G7" s="4"/>
      <c r="H7" s="3">
        <v>60</v>
      </c>
      <c r="I7" s="3">
        <v>5000</v>
      </c>
      <c r="J7" s="3" t="s">
        <v>23</v>
      </c>
      <c r="K7" s="3"/>
      <c r="L7" s="4" t="s">
        <v>25</v>
      </c>
      <c r="M7" s="3">
        <v>20.2</v>
      </c>
      <c r="N7" s="5">
        <f>M7/1000*I7*1.002</f>
        <v>101.202</v>
      </c>
      <c r="O7" s="5">
        <v>15</v>
      </c>
      <c r="P7" s="16">
        <v>0.04</v>
      </c>
      <c r="Q7" s="5">
        <f t="shared" si="0"/>
        <v>120.25008</v>
      </c>
      <c r="R7" s="13">
        <v>7.4999999999999997E-3</v>
      </c>
      <c r="S7" s="4"/>
      <c r="T7" s="4"/>
      <c r="U7" s="4"/>
      <c r="V7" s="4"/>
      <c r="W7" s="4"/>
      <c r="X7" s="4"/>
      <c r="Y7" s="4"/>
      <c r="Z7" s="4"/>
    </row>
    <row r="8" spans="1:26" x14ac:dyDescent="0.3">
      <c r="A8" s="2">
        <v>7</v>
      </c>
      <c r="B8" s="17">
        <v>1210</v>
      </c>
      <c r="C8" s="17" t="s">
        <v>130</v>
      </c>
      <c r="D8" s="17">
        <v>20</v>
      </c>
      <c r="E8" s="3"/>
      <c r="F8" s="18" t="s">
        <v>22</v>
      </c>
      <c r="G8" s="4"/>
      <c r="H8" s="17">
        <v>60</v>
      </c>
      <c r="I8" s="17">
        <v>10000</v>
      </c>
      <c r="J8" s="17" t="s">
        <v>23</v>
      </c>
      <c r="K8" s="3"/>
      <c r="L8" s="4" t="s">
        <v>25</v>
      </c>
      <c r="M8" s="3">
        <v>20.2</v>
      </c>
      <c r="N8" s="5">
        <f>M8/1000*I8*1.002</f>
        <v>202.404</v>
      </c>
      <c r="O8" s="5">
        <v>15</v>
      </c>
      <c r="P8" s="16">
        <v>0.04</v>
      </c>
      <c r="Q8" s="5">
        <f t="shared" ref="Q8:Q9" si="1">(N8*P8)+N8+O8</f>
        <v>225.50015999999999</v>
      </c>
      <c r="R8" s="13">
        <v>7.4999999999999997E-3</v>
      </c>
      <c r="S8" s="4" t="s">
        <v>139</v>
      </c>
      <c r="T8" s="4" t="s">
        <v>146</v>
      </c>
      <c r="U8" s="4" t="s">
        <v>149</v>
      </c>
      <c r="V8" s="4" t="s">
        <v>156</v>
      </c>
      <c r="W8" s="4"/>
      <c r="X8" s="4"/>
      <c r="Y8" s="4"/>
      <c r="Z8" s="4"/>
    </row>
    <row r="9" spans="1:26" x14ac:dyDescent="0.3">
      <c r="A9" s="2">
        <v>8</v>
      </c>
      <c r="B9" s="17">
        <v>1211</v>
      </c>
      <c r="C9" s="17" t="s">
        <v>131</v>
      </c>
      <c r="D9" s="17">
        <v>20</v>
      </c>
      <c r="E9" s="3"/>
      <c r="F9" s="18" t="s">
        <v>22</v>
      </c>
      <c r="G9" s="4"/>
      <c r="H9" s="17">
        <v>60</v>
      </c>
      <c r="I9" s="17">
        <v>10000</v>
      </c>
      <c r="J9" s="17" t="s">
        <v>23</v>
      </c>
      <c r="K9" s="3"/>
      <c r="L9" s="4" t="s">
        <v>25</v>
      </c>
      <c r="M9" s="3">
        <v>20.2</v>
      </c>
      <c r="N9" s="5">
        <f>M9/1000*I9*1.002</f>
        <v>202.404</v>
      </c>
      <c r="O9" s="5">
        <v>15</v>
      </c>
      <c r="P9" s="16">
        <v>0.04</v>
      </c>
      <c r="Q9" s="5">
        <f t="shared" si="1"/>
        <v>225.50015999999999</v>
      </c>
      <c r="R9" s="13">
        <v>7.4999999999999997E-3</v>
      </c>
      <c r="S9" s="4" t="s">
        <v>139</v>
      </c>
      <c r="T9" s="4" t="s">
        <v>146</v>
      </c>
      <c r="U9" s="4" t="s">
        <v>149</v>
      </c>
      <c r="V9" s="4" t="s">
        <v>156</v>
      </c>
      <c r="W9" s="4"/>
      <c r="X9" s="4"/>
      <c r="Y9" s="4"/>
      <c r="Z9" s="4"/>
    </row>
    <row r="10" spans="1:26" x14ac:dyDescent="0.3">
      <c r="A10" s="2">
        <v>9</v>
      </c>
      <c r="B10" s="17">
        <v>1215</v>
      </c>
      <c r="C10" s="17" t="s">
        <v>32</v>
      </c>
      <c r="D10" s="17">
        <v>25</v>
      </c>
      <c r="E10" s="3"/>
      <c r="F10" s="18" t="s">
        <v>132</v>
      </c>
      <c r="G10" s="4"/>
      <c r="H10" s="17">
        <v>120</v>
      </c>
      <c r="I10" s="17">
        <v>2000</v>
      </c>
      <c r="J10" s="17" t="s">
        <v>33</v>
      </c>
      <c r="K10" s="3"/>
      <c r="L10" s="4" t="s">
        <v>25</v>
      </c>
      <c r="M10" s="3">
        <v>24.95</v>
      </c>
      <c r="N10" s="5">
        <f>M10/1000*I10*1.002</f>
        <v>49.9998</v>
      </c>
      <c r="O10" s="5">
        <v>1.9</v>
      </c>
      <c r="P10" s="16">
        <v>0.04</v>
      </c>
      <c r="Q10" s="5">
        <f t="shared" ref="Q10:Q15" si="2">(N10*P10)+N10+O10</f>
        <v>53.899791999999998</v>
      </c>
      <c r="R10" s="13">
        <v>7.4999999999999997E-3</v>
      </c>
      <c r="S10" s="4"/>
      <c r="T10" s="4"/>
      <c r="U10" s="4"/>
      <c r="V10" s="4"/>
      <c r="W10" s="4"/>
      <c r="X10" s="4"/>
      <c r="Y10" s="4"/>
      <c r="Z10" s="4"/>
    </row>
    <row r="11" spans="1:26" x14ac:dyDescent="0.3">
      <c r="A11" s="2">
        <v>10</v>
      </c>
      <c r="B11" s="17">
        <v>1301</v>
      </c>
      <c r="C11" s="17" t="s">
        <v>133</v>
      </c>
      <c r="D11" s="17">
        <v>90</v>
      </c>
      <c r="E11" s="3"/>
      <c r="F11" s="18" t="s">
        <v>134</v>
      </c>
      <c r="H11" s="17">
        <v>30</v>
      </c>
      <c r="I11" s="17">
        <v>1500</v>
      </c>
      <c r="J11" s="17" t="s">
        <v>23</v>
      </c>
      <c r="K11" s="3" t="s">
        <v>28</v>
      </c>
      <c r="L11" s="4" t="s">
        <v>25</v>
      </c>
      <c r="M11" s="3">
        <v>87.6</v>
      </c>
      <c r="N11" s="5">
        <f>M11/1000*I11*1.002</f>
        <v>131.6628</v>
      </c>
      <c r="O11" s="5">
        <v>15</v>
      </c>
      <c r="P11" s="16">
        <v>4.4999999999999998E-2</v>
      </c>
      <c r="Q11" s="5">
        <f t="shared" si="2"/>
        <v>152.587626</v>
      </c>
      <c r="R11" s="13">
        <v>0.01</v>
      </c>
      <c r="S11" s="4"/>
      <c r="T11" s="4"/>
      <c r="U11" s="4"/>
      <c r="V11" s="4"/>
      <c r="W11" s="4"/>
      <c r="X11" s="4"/>
      <c r="Y11" s="4"/>
      <c r="Z11" s="4"/>
    </row>
    <row r="12" spans="1:26" x14ac:dyDescent="0.3">
      <c r="A12" s="2">
        <v>11</v>
      </c>
      <c r="B12" s="3">
        <v>1302</v>
      </c>
      <c r="C12" s="3" t="s">
        <v>36</v>
      </c>
      <c r="D12" s="3">
        <v>30</v>
      </c>
      <c r="E12" s="3"/>
      <c r="F12" s="4" t="s">
        <v>37</v>
      </c>
      <c r="G12" s="4"/>
      <c r="H12" s="3">
        <v>100</v>
      </c>
      <c r="I12" s="3">
        <v>135</v>
      </c>
      <c r="J12" s="3" t="s">
        <v>33</v>
      </c>
      <c r="K12" s="3"/>
      <c r="L12" s="4" t="s">
        <v>25</v>
      </c>
      <c r="M12" s="3">
        <v>30</v>
      </c>
      <c r="N12" s="5">
        <f>M12/1000*I12</f>
        <v>4.05</v>
      </c>
      <c r="O12" s="5">
        <v>1.9</v>
      </c>
      <c r="P12" s="12">
        <v>3.5000000000000003E-2</v>
      </c>
      <c r="Q12" s="5">
        <f t="shared" si="2"/>
        <v>6.0917499999999993</v>
      </c>
      <c r="R12" s="13">
        <v>7.4999999999999997E-3</v>
      </c>
      <c r="S12" s="4"/>
      <c r="T12" s="4"/>
      <c r="U12" s="4"/>
      <c r="V12" s="4"/>
      <c r="W12" s="4"/>
      <c r="X12" s="4"/>
      <c r="Y12" s="4"/>
      <c r="Z12" s="4"/>
    </row>
    <row r="13" spans="1:26" x14ac:dyDescent="0.3">
      <c r="A13" s="2">
        <v>12</v>
      </c>
      <c r="B13" s="3">
        <v>1303</v>
      </c>
      <c r="C13" s="3" t="s">
        <v>38</v>
      </c>
      <c r="D13" s="3">
        <v>30</v>
      </c>
      <c r="E13" s="3"/>
      <c r="F13" s="4" t="s">
        <v>37</v>
      </c>
      <c r="G13" s="4"/>
      <c r="H13" s="3">
        <v>100</v>
      </c>
      <c r="I13" s="3">
        <v>5000</v>
      </c>
      <c r="J13" s="3" t="s">
        <v>23</v>
      </c>
      <c r="K13" s="3"/>
      <c r="L13" s="4" t="s">
        <v>25</v>
      </c>
      <c r="M13" s="3">
        <v>30</v>
      </c>
      <c r="N13" s="5">
        <f>M13/1000*I13*1.002</f>
        <v>150.30000000000001</v>
      </c>
      <c r="O13" s="5">
        <v>15</v>
      </c>
      <c r="P13" s="16">
        <v>0.05</v>
      </c>
      <c r="Q13" s="5">
        <f t="shared" si="2"/>
        <v>172.815</v>
      </c>
      <c r="R13" s="13">
        <v>7.4999999999999997E-3</v>
      </c>
      <c r="S13" s="4" t="s">
        <v>139</v>
      </c>
      <c r="T13" s="4" t="s">
        <v>146</v>
      </c>
      <c r="U13" s="4" t="s">
        <v>149</v>
      </c>
      <c r="V13" s="4" t="s">
        <v>156</v>
      </c>
      <c r="W13" s="4"/>
      <c r="X13" s="4"/>
      <c r="Y13" s="4"/>
      <c r="Z13" s="4"/>
    </row>
    <row r="14" spans="1:26" x14ac:dyDescent="0.3">
      <c r="A14" s="2">
        <v>13</v>
      </c>
      <c r="B14" s="3">
        <v>1304</v>
      </c>
      <c r="C14" s="17" t="s">
        <v>38</v>
      </c>
      <c r="D14" s="17">
        <v>30</v>
      </c>
      <c r="E14" s="3"/>
      <c r="F14" s="4" t="s">
        <v>37</v>
      </c>
      <c r="G14" s="4"/>
      <c r="H14" s="17">
        <v>100</v>
      </c>
      <c r="I14" s="17">
        <v>1000</v>
      </c>
      <c r="J14" s="17" t="s">
        <v>33</v>
      </c>
      <c r="K14" s="3"/>
      <c r="L14" s="4" t="s">
        <v>25</v>
      </c>
      <c r="M14" s="3">
        <v>30</v>
      </c>
      <c r="N14" s="5">
        <f>M14/1000*I14*1.002</f>
        <v>30.06</v>
      </c>
      <c r="O14" s="5">
        <v>1.9</v>
      </c>
      <c r="P14" s="16">
        <v>3.5000000000000003E-2</v>
      </c>
      <c r="Q14" s="5">
        <f t="shared" si="2"/>
        <v>33.012099999999997</v>
      </c>
      <c r="R14" s="13">
        <v>7.4999999999999997E-3</v>
      </c>
      <c r="S14" s="4"/>
      <c r="T14" s="4"/>
      <c r="U14" s="4"/>
      <c r="V14" s="4"/>
      <c r="W14" s="4"/>
      <c r="X14" s="4"/>
      <c r="Y14" s="4"/>
      <c r="Z14" s="4"/>
    </row>
    <row r="15" spans="1:26" x14ac:dyDescent="0.3">
      <c r="A15" s="2">
        <v>14</v>
      </c>
      <c r="B15" s="3">
        <v>1401</v>
      </c>
      <c r="C15" s="3" t="s">
        <v>39</v>
      </c>
      <c r="D15" s="3">
        <v>125</v>
      </c>
      <c r="E15" s="3"/>
      <c r="F15" s="4" t="s">
        <v>40</v>
      </c>
      <c r="G15" s="4"/>
      <c r="H15" s="3">
        <v>20</v>
      </c>
      <c r="I15" s="3">
        <v>1500</v>
      </c>
      <c r="J15" s="3" t="s">
        <v>23</v>
      </c>
      <c r="K15" s="3" t="s">
        <v>24</v>
      </c>
      <c r="L15" s="4" t="s">
        <v>25</v>
      </c>
      <c r="M15" s="3">
        <v>122</v>
      </c>
      <c r="N15" s="5">
        <f>M15/1000*I15*1.002</f>
        <v>183.36600000000001</v>
      </c>
      <c r="O15" s="5">
        <v>15</v>
      </c>
      <c r="P15" s="16">
        <v>0.05</v>
      </c>
      <c r="Q15" s="5">
        <f t="shared" si="2"/>
        <v>207.5343</v>
      </c>
      <c r="R15" s="13">
        <v>7.4999999999999997E-3</v>
      </c>
      <c r="S15" s="4"/>
      <c r="T15" s="4"/>
      <c r="U15" s="4"/>
      <c r="V15" s="4"/>
      <c r="W15" s="4"/>
      <c r="X15" s="4"/>
      <c r="Y15" s="4"/>
      <c r="Z15" s="4"/>
    </row>
    <row r="16" spans="1:26" x14ac:dyDescent="0.3">
      <c r="A16" s="2">
        <v>15</v>
      </c>
      <c r="B16" s="3">
        <v>2201</v>
      </c>
      <c r="C16" s="3" t="s">
        <v>41</v>
      </c>
      <c r="D16" s="3">
        <v>50</v>
      </c>
      <c r="E16" s="3">
        <v>7.5</v>
      </c>
      <c r="F16" s="4" t="s">
        <v>42</v>
      </c>
      <c r="G16" s="4"/>
      <c r="H16" s="3">
        <v>60</v>
      </c>
      <c r="I16" s="3">
        <v>10000</v>
      </c>
      <c r="J16" s="3" t="s">
        <v>43</v>
      </c>
      <c r="K16" s="3"/>
      <c r="L16" s="4" t="s">
        <v>25</v>
      </c>
      <c r="M16" s="3">
        <v>49.5</v>
      </c>
      <c r="N16" s="5">
        <f>M16/1000*I16*1.002</f>
        <v>495.99</v>
      </c>
      <c r="O16" s="5">
        <v>30</v>
      </c>
      <c r="P16" s="12">
        <v>5.5E-2</v>
      </c>
      <c r="Q16" s="5">
        <f>N16+O16+(N16*P16)</f>
        <v>553.26945000000001</v>
      </c>
      <c r="R16" s="13">
        <v>0.02</v>
      </c>
      <c r="S16" s="4"/>
      <c r="T16" s="4"/>
      <c r="U16" s="4"/>
      <c r="V16" s="4"/>
      <c r="W16" s="4"/>
      <c r="X16" s="4"/>
      <c r="Y16" s="4"/>
      <c r="Z16" s="4"/>
    </row>
    <row r="17" spans="1:26" x14ac:dyDescent="0.3">
      <c r="A17" s="2">
        <v>16</v>
      </c>
      <c r="B17" s="3">
        <v>2202</v>
      </c>
      <c r="C17" s="3" t="s">
        <v>44</v>
      </c>
      <c r="D17" s="3">
        <v>50</v>
      </c>
      <c r="E17" s="3"/>
      <c r="F17" s="4" t="s">
        <v>42</v>
      </c>
      <c r="G17" s="4"/>
      <c r="H17" s="3">
        <v>60</v>
      </c>
      <c r="I17" s="3">
        <v>2000</v>
      </c>
      <c r="J17" s="3" t="s">
        <v>45</v>
      </c>
      <c r="K17" s="3" t="s">
        <v>24</v>
      </c>
      <c r="L17" s="4" t="s">
        <v>25</v>
      </c>
      <c r="M17" s="3">
        <v>49.5</v>
      </c>
      <c r="N17" s="5">
        <f>M17/1000*I17*1.002</f>
        <v>99.197999999999993</v>
      </c>
      <c r="O17" s="5">
        <v>16</v>
      </c>
      <c r="P17" s="12">
        <v>5.5E-2</v>
      </c>
      <c r="Q17" s="5">
        <f>N17+O17+(N17*P17)</f>
        <v>120.65388999999999</v>
      </c>
      <c r="R17" s="13">
        <v>0.02</v>
      </c>
      <c r="S17" s="4"/>
      <c r="T17" s="4"/>
      <c r="U17" s="4"/>
      <c r="V17" s="4"/>
      <c r="W17" s="4"/>
      <c r="X17" s="4"/>
      <c r="Y17" s="4"/>
      <c r="Z17" s="4"/>
    </row>
    <row r="18" spans="1:26" x14ac:dyDescent="0.3">
      <c r="A18" s="2">
        <v>17</v>
      </c>
      <c r="B18" s="3">
        <v>2203</v>
      </c>
      <c r="C18" s="3" t="s">
        <v>41</v>
      </c>
      <c r="D18" s="3">
        <v>50</v>
      </c>
      <c r="E18" s="3"/>
      <c r="F18" s="4" t="s">
        <v>42</v>
      </c>
      <c r="G18" s="4"/>
      <c r="H18" s="3">
        <v>60</v>
      </c>
      <c r="I18" s="3">
        <v>1</v>
      </c>
      <c r="J18" s="3" t="s">
        <v>46</v>
      </c>
      <c r="K18" s="3"/>
      <c r="L18" s="4" t="s">
        <v>47</v>
      </c>
      <c r="M18" s="3">
        <v>49.5</v>
      </c>
      <c r="N18" s="5">
        <v>887</v>
      </c>
      <c r="O18" s="5">
        <v>65</v>
      </c>
      <c r="P18" s="12">
        <v>5.5E-2</v>
      </c>
      <c r="Q18" s="5">
        <f>N18+O18+(N18*P18)</f>
        <v>1000.785</v>
      </c>
      <c r="R18" s="13">
        <v>0.02</v>
      </c>
      <c r="S18" s="4" t="s">
        <v>141</v>
      </c>
      <c r="T18" s="4" t="s">
        <v>141</v>
      </c>
      <c r="U18" s="4" t="s">
        <v>151</v>
      </c>
      <c r="V18" s="4" t="s">
        <v>158</v>
      </c>
      <c r="W18" s="2">
        <v>24</v>
      </c>
      <c r="X18" s="4"/>
      <c r="Y18" s="4"/>
      <c r="Z18" s="4"/>
    </row>
    <row r="19" spans="1:26" x14ac:dyDescent="0.3">
      <c r="A19" s="2">
        <v>18</v>
      </c>
      <c r="B19" s="3">
        <v>2204</v>
      </c>
      <c r="C19" s="3" t="s">
        <v>48</v>
      </c>
      <c r="D19" s="3">
        <v>35</v>
      </c>
      <c r="E19" s="3"/>
      <c r="F19" s="4" t="s">
        <v>49</v>
      </c>
      <c r="G19" s="4"/>
      <c r="H19" s="3">
        <v>80</v>
      </c>
      <c r="I19" s="3">
        <v>950</v>
      </c>
      <c r="J19" s="3" t="s">
        <v>46</v>
      </c>
      <c r="K19" s="3"/>
      <c r="L19" s="4" t="s">
        <v>29</v>
      </c>
      <c r="M19" s="3">
        <v>35</v>
      </c>
      <c r="N19" s="5">
        <v>841</v>
      </c>
      <c r="O19" s="5">
        <v>65</v>
      </c>
      <c r="P19" s="12">
        <v>5.5E-2</v>
      </c>
      <c r="Q19" s="5">
        <f>N19+O19+(N19*P19)</f>
        <v>952.255</v>
      </c>
      <c r="R19" s="13">
        <v>0.02</v>
      </c>
      <c r="S19" s="4"/>
      <c r="T19" s="4"/>
      <c r="U19" s="4"/>
      <c r="V19" s="4"/>
      <c r="W19" s="4"/>
      <c r="X19" s="4"/>
      <c r="Y19" s="4"/>
      <c r="Z19" s="4"/>
    </row>
    <row r="20" spans="1:26" x14ac:dyDescent="0.3">
      <c r="A20" s="2">
        <v>19</v>
      </c>
      <c r="B20" s="3">
        <v>2204</v>
      </c>
      <c r="C20" s="3" t="s">
        <v>110</v>
      </c>
      <c r="D20" s="3">
        <v>35</v>
      </c>
      <c r="E20" s="3"/>
      <c r="F20" s="4"/>
      <c r="G20" s="4"/>
      <c r="H20" s="3"/>
      <c r="I20" s="3">
        <v>950</v>
      </c>
      <c r="J20" s="3" t="s">
        <v>55</v>
      </c>
      <c r="K20" s="3" t="s">
        <v>111</v>
      </c>
      <c r="L20" s="4" t="s">
        <v>29</v>
      </c>
      <c r="M20" s="3">
        <v>35</v>
      </c>
      <c r="N20" s="5">
        <v>841</v>
      </c>
      <c r="O20" s="3">
        <v>65</v>
      </c>
      <c r="P20" s="12">
        <v>5.5E-2</v>
      </c>
      <c r="Q20" s="5">
        <f>(N20*P20)+N20+O20</f>
        <v>952.255</v>
      </c>
      <c r="R20" s="5"/>
      <c r="S20" s="4"/>
      <c r="T20" s="4"/>
      <c r="U20" s="4"/>
      <c r="V20" s="4"/>
      <c r="W20" s="4"/>
      <c r="X20" s="4"/>
      <c r="Y20" s="4"/>
      <c r="Z20" s="4"/>
    </row>
    <row r="21" spans="1:26" x14ac:dyDescent="0.3">
      <c r="A21" s="2">
        <v>20</v>
      </c>
      <c r="B21" s="3">
        <v>2205</v>
      </c>
      <c r="C21" s="3" t="s">
        <v>41</v>
      </c>
      <c r="D21" s="3">
        <v>50</v>
      </c>
      <c r="E21" s="3"/>
      <c r="F21" s="4" t="s">
        <v>50</v>
      </c>
      <c r="G21" s="4"/>
      <c r="H21" s="3">
        <v>60</v>
      </c>
      <c r="I21" s="3">
        <v>950</v>
      </c>
      <c r="J21" s="3" t="s">
        <v>46</v>
      </c>
      <c r="K21" s="3"/>
      <c r="L21" s="4" t="s">
        <v>29</v>
      </c>
      <c r="M21" s="3">
        <v>49.5</v>
      </c>
      <c r="N21" s="5">
        <v>841</v>
      </c>
      <c r="O21" s="5">
        <v>65</v>
      </c>
      <c r="P21" s="12">
        <v>5.5E-2</v>
      </c>
      <c r="Q21" s="5">
        <f>N21+O21+(N21*P21)</f>
        <v>952.255</v>
      </c>
      <c r="R21" s="13">
        <v>0.02</v>
      </c>
      <c r="S21" s="4"/>
      <c r="T21" s="4"/>
      <c r="U21" s="4"/>
      <c r="V21" s="4"/>
      <c r="W21" s="4"/>
      <c r="X21" s="4"/>
      <c r="Y21" s="4"/>
      <c r="Z21" s="4"/>
    </row>
    <row r="22" spans="1:26" x14ac:dyDescent="0.3">
      <c r="A22" s="2">
        <v>21</v>
      </c>
      <c r="B22" s="3">
        <v>2205</v>
      </c>
      <c r="C22" s="3" t="s">
        <v>108</v>
      </c>
      <c r="D22" s="3">
        <v>50</v>
      </c>
      <c r="E22" s="3"/>
      <c r="F22" s="4"/>
      <c r="G22" s="4"/>
      <c r="H22" s="3"/>
      <c r="I22" s="3">
        <v>950</v>
      </c>
      <c r="J22" s="3" t="s">
        <v>55</v>
      </c>
      <c r="K22" s="3" t="s">
        <v>109</v>
      </c>
      <c r="L22" s="4" t="s">
        <v>29</v>
      </c>
      <c r="M22" s="3">
        <v>49.47</v>
      </c>
      <c r="N22" s="5">
        <v>837</v>
      </c>
      <c r="O22" s="3">
        <v>65</v>
      </c>
      <c r="P22" s="12">
        <v>0.06</v>
      </c>
      <c r="Q22" s="5">
        <f>(N22*P22)+N22+O22</f>
        <v>952.22</v>
      </c>
      <c r="R22" s="5"/>
      <c r="S22" s="4"/>
      <c r="T22" s="4"/>
      <c r="U22" s="4"/>
      <c r="V22" s="4"/>
      <c r="W22" s="4"/>
      <c r="X22" s="4"/>
      <c r="Y22" s="4"/>
      <c r="Z22" s="4"/>
    </row>
    <row r="23" spans="1:26" x14ac:dyDescent="0.3">
      <c r="A23" s="2">
        <v>22</v>
      </c>
      <c r="B23" s="3">
        <v>2206</v>
      </c>
      <c r="C23" s="3" t="s">
        <v>41</v>
      </c>
      <c r="D23" s="3">
        <v>50</v>
      </c>
      <c r="E23" s="3"/>
      <c r="F23" s="4" t="s">
        <v>50</v>
      </c>
      <c r="G23" s="4"/>
      <c r="H23" s="3">
        <v>60</v>
      </c>
      <c r="I23" s="3">
        <v>10000</v>
      </c>
      <c r="J23" s="3" t="s">
        <v>43</v>
      </c>
      <c r="K23" s="3"/>
      <c r="L23" s="4" t="s">
        <v>25</v>
      </c>
      <c r="M23" s="3">
        <v>49.5</v>
      </c>
      <c r="N23" s="5">
        <f>M23/1000*I23*1.002</f>
        <v>495.99</v>
      </c>
      <c r="O23" s="5">
        <v>30</v>
      </c>
      <c r="P23" s="12">
        <v>5.5E-2</v>
      </c>
      <c r="Q23" s="5">
        <f>N23+O23+(N23*P23)</f>
        <v>553.26945000000001</v>
      </c>
      <c r="R23" s="13">
        <v>0.02</v>
      </c>
      <c r="S23" s="4"/>
      <c r="T23" s="4"/>
      <c r="U23" s="4"/>
      <c r="V23" s="4"/>
      <c r="W23" s="4"/>
      <c r="X23" s="4"/>
      <c r="Y23" s="4"/>
      <c r="Z23" s="4"/>
    </row>
    <row r="24" spans="1:26" x14ac:dyDescent="0.3">
      <c r="A24" s="2">
        <v>23</v>
      </c>
      <c r="B24" s="3">
        <v>2206</v>
      </c>
      <c r="C24" s="3" t="s">
        <v>122</v>
      </c>
      <c r="D24" s="3">
        <v>50</v>
      </c>
      <c r="E24" s="3"/>
      <c r="F24" s="4"/>
      <c r="G24" s="4"/>
      <c r="H24" s="3"/>
      <c r="I24" s="3">
        <v>10000</v>
      </c>
      <c r="J24" s="3" t="s">
        <v>43</v>
      </c>
      <c r="K24" s="3" t="s">
        <v>109</v>
      </c>
      <c r="L24" s="4" t="s">
        <v>25</v>
      </c>
      <c r="M24" s="3">
        <v>49.47</v>
      </c>
      <c r="N24" s="5">
        <f>M24/1000*I24*1.002</f>
        <v>495.68939999999998</v>
      </c>
      <c r="O24" s="3">
        <v>30</v>
      </c>
      <c r="P24" s="12">
        <v>0.06</v>
      </c>
      <c r="Q24" s="5">
        <f>(N24*P24)+N24+O24</f>
        <v>555.43076399999995</v>
      </c>
      <c r="R24" s="5"/>
      <c r="S24" s="4"/>
      <c r="T24" s="4"/>
      <c r="U24" s="4"/>
      <c r="V24" s="4"/>
      <c r="W24" s="4"/>
      <c r="X24" s="4"/>
      <c r="Y24" s="4"/>
      <c r="Z24" s="4"/>
    </row>
    <row r="25" spans="1:26" x14ac:dyDescent="0.3">
      <c r="A25" s="2">
        <v>24</v>
      </c>
      <c r="B25" s="3">
        <v>2207</v>
      </c>
      <c r="C25" s="3" t="s">
        <v>51</v>
      </c>
      <c r="D25" s="3">
        <v>27</v>
      </c>
      <c r="E25" s="3"/>
      <c r="F25" s="4" t="s">
        <v>52</v>
      </c>
      <c r="G25" s="4"/>
      <c r="H25" s="3">
        <v>120</v>
      </c>
      <c r="I25" s="3">
        <v>5000</v>
      </c>
      <c r="J25" s="3" t="s">
        <v>45</v>
      </c>
      <c r="K25" s="3"/>
      <c r="L25" s="4" t="s">
        <v>25</v>
      </c>
      <c r="M25" s="3">
        <v>27.5</v>
      </c>
      <c r="N25" s="5">
        <f>M25/1000*I25*1.002</f>
        <v>137.77500000000001</v>
      </c>
      <c r="O25" s="5">
        <v>16</v>
      </c>
      <c r="P25" s="12">
        <v>2.5000000000000001E-2</v>
      </c>
      <c r="Q25" s="5">
        <f>N25+O25+(N25*P25)</f>
        <v>157.21937500000001</v>
      </c>
      <c r="R25" s="13">
        <v>0.02</v>
      </c>
      <c r="S25" s="4"/>
      <c r="T25" s="4"/>
      <c r="U25" s="4"/>
      <c r="V25" s="4"/>
      <c r="W25" s="4"/>
      <c r="X25" s="4"/>
      <c r="Y25" s="4"/>
      <c r="Z25" s="4"/>
    </row>
    <row r="26" spans="1:26" x14ac:dyDescent="0.3">
      <c r="A26" s="2">
        <v>25</v>
      </c>
      <c r="B26" s="3">
        <v>2208</v>
      </c>
      <c r="C26" s="3" t="s">
        <v>53</v>
      </c>
      <c r="D26" s="3">
        <v>30</v>
      </c>
      <c r="E26" s="3"/>
      <c r="F26" s="4" t="s">
        <v>49</v>
      </c>
      <c r="G26" s="4"/>
      <c r="H26" s="3">
        <v>80</v>
      </c>
      <c r="I26" s="3">
        <v>5000</v>
      </c>
      <c r="J26" s="3" t="s">
        <v>54</v>
      </c>
      <c r="K26" s="3"/>
      <c r="L26" s="4" t="s">
        <v>25</v>
      </c>
      <c r="M26" s="3">
        <v>35</v>
      </c>
      <c r="N26" s="5">
        <f>M26/1000*I26*1.002</f>
        <v>175.35000000000002</v>
      </c>
      <c r="O26" s="5">
        <v>29</v>
      </c>
      <c r="P26" s="12">
        <v>5.5E-2</v>
      </c>
      <c r="Q26" s="5">
        <f>(N26*P26)+N26+O26</f>
        <v>213.99425000000002</v>
      </c>
      <c r="R26" s="13">
        <v>0.02</v>
      </c>
      <c r="S26" s="4"/>
      <c r="T26" s="4"/>
      <c r="U26" s="4"/>
      <c r="V26" s="4"/>
      <c r="W26" s="4"/>
      <c r="X26" s="4"/>
      <c r="Y26" s="4"/>
      <c r="Z26" s="4"/>
    </row>
    <row r="27" spans="1:26" x14ac:dyDescent="0.3">
      <c r="A27" s="2">
        <v>26</v>
      </c>
      <c r="B27" s="3">
        <v>2209</v>
      </c>
      <c r="C27" s="3" t="s">
        <v>53</v>
      </c>
      <c r="D27" s="3">
        <v>80</v>
      </c>
      <c r="E27" s="3"/>
      <c r="F27" s="4" t="s">
        <v>49</v>
      </c>
      <c r="G27" s="4"/>
      <c r="H27" s="3">
        <v>30</v>
      </c>
      <c r="I27" s="3">
        <v>15000</v>
      </c>
      <c r="J27" s="3" t="s">
        <v>43</v>
      </c>
      <c r="K27" s="3"/>
      <c r="L27" s="4" t="s">
        <v>25</v>
      </c>
      <c r="M27" s="3">
        <v>35</v>
      </c>
      <c r="N27" s="5">
        <f>M27/1000*I27</f>
        <v>525</v>
      </c>
      <c r="O27" s="5">
        <v>30</v>
      </c>
      <c r="P27" s="12">
        <v>5.5E-2</v>
      </c>
      <c r="Q27" s="5">
        <f>(N27*P27)+N27+O27</f>
        <v>583.875</v>
      </c>
      <c r="R27" s="13">
        <v>0.02</v>
      </c>
      <c r="S27" s="4"/>
      <c r="T27" s="4"/>
      <c r="U27" s="4"/>
      <c r="V27" s="4"/>
      <c r="W27" s="4"/>
      <c r="X27" s="4"/>
      <c r="Y27" s="4"/>
      <c r="Z27" s="4"/>
    </row>
    <row r="28" spans="1:26" x14ac:dyDescent="0.3">
      <c r="A28" s="2">
        <v>27</v>
      </c>
      <c r="B28" s="3">
        <v>2210</v>
      </c>
      <c r="C28" s="3" t="s">
        <v>53</v>
      </c>
      <c r="D28" s="3">
        <v>80</v>
      </c>
      <c r="E28" s="3"/>
      <c r="F28" s="4" t="s">
        <v>49</v>
      </c>
      <c r="G28" s="4"/>
      <c r="H28" s="3">
        <v>30</v>
      </c>
      <c r="I28" s="3">
        <v>15000</v>
      </c>
      <c r="J28" s="3" t="s">
        <v>55</v>
      </c>
      <c r="K28" s="3" t="s">
        <v>24</v>
      </c>
      <c r="L28" s="4" t="s">
        <v>25</v>
      </c>
      <c r="M28" s="3">
        <v>35</v>
      </c>
      <c r="N28" s="5">
        <f>M28/1000*I28</f>
        <v>525</v>
      </c>
      <c r="O28" s="5">
        <v>65</v>
      </c>
      <c r="P28" s="12">
        <v>1.4999999999999999E-2</v>
      </c>
      <c r="Q28" s="5">
        <f>(N28*P28)+N28+O28</f>
        <v>597.875</v>
      </c>
      <c r="R28" s="13">
        <v>0.02</v>
      </c>
      <c r="S28" s="4"/>
      <c r="T28" s="4"/>
      <c r="U28" s="4"/>
      <c r="V28" s="4"/>
      <c r="W28" s="4"/>
      <c r="X28" s="4"/>
      <c r="Y28" s="4"/>
      <c r="Z28" s="4"/>
    </row>
    <row r="29" spans="1:26" x14ac:dyDescent="0.3">
      <c r="A29" s="2">
        <v>28</v>
      </c>
      <c r="B29" s="3">
        <v>2302</v>
      </c>
      <c r="C29" s="3" t="s">
        <v>56</v>
      </c>
      <c r="D29" s="3">
        <v>70</v>
      </c>
      <c r="E29" s="3"/>
      <c r="F29" s="4" t="s">
        <v>57</v>
      </c>
      <c r="G29" s="4"/>
      <c r="H29" s="3">
        <v>40</v>
      </c>
      <c r="I29" s="3">
        <v>7000</v>
      </c>
      <c r="J29" s="3" t="s">
        <v>43</v>
      </c>
      <c r="K29" s="3"/>
      <c r="L29" s="4" t="s">
        <v>25</v>
      </c>
      <c r="M29" s="3">
        <v>74</v>
      </c>
      <c r="N29" s="5">
        <f>M29/1000*I29</f>
        <v>518</v>
      </c>
      <c r="O29" s="5">
        <v>30</v>
      </c>
      <c r="P29" s="12">
        <v>5.5E-2</v>
      </c>
      <c r="Q29" s="5">
        <f>(N29*P29)+N29+O29</f>
        <v>576.49</v>
      </c>
      <c r="R29" s="13">
        <v>0.02</v>
      </c>
      <c r="S29" s="4"/>
      <c r="T29" s="4"/>
      <c r="U29" s="4"/>
      <c r="V29" s="4"/>
      <c r="W29" s="4"/>
      <c r="X29" s="4"/>
      <c r="Y29" s="4"/>
      <c r="Z29" s="4"/>
    </row>
    <row r="30" spans="1:26" x14ac:dyDescent="0.3">
      <c r="A30" s="2">
        <v>29</v>
      </c>
      <c r="B30" s="3">
        <v>2303</v>
      </c>
      <c r="C30" s="3" t="s">
        <v>58</v>
      </c>
      <c r="D30" s="3">
        <v>70</v>
      </c>
      <c r="E30" s="3"/>
      <c r="F30" s="4" t="s">
        <v>57</v>
      </c>
      <c r="G30" s="4"/>
      <c r="H30" s="3">
        <v>40</v>
      </c>
      <c r="I30" s="3">
        <v>1500</v>
      </c>
      <c r="J30" s="3" t="s">
        <v>45</v>
      </c>
      <c r="K30" s="3" t="s">
        <v>135</v>
      </c>
      <c r="L30" s="4" t="s">
        <v>25</v>
      </c>
      <c r="M30" s="3">
        <v>74</v>
      </c>
      <c r="N30" s="5">
        <f>M30/1000*I30*1.002</f>
        <v>111.22199999999999</v>
      </c>
      <c r="O30" s="5">
        <v>16</v>
      </c>
      <c r="P30" s="12">
        <v>5.5E-2</v>
      </c>
      <c r="Q30" s="5">
        <f>N30+O30+(N30*P30)</f>
        <v>133.33920999999998</v>
      </c>
      <c r="R30" s="13">
        <v>0.02</v>
      </c>
      <c r="S30" s="4" t="s">
        <v>142</v>
      </c>
      <c r="T30" s="4" t="s">
        <v>146</v>
      </c>
      <c r="U30" s="4" t="s">
        <v>152</v>
      </c>
      <c r="V30" s="4" t="s">
        <v>159</v>
      </c>
      <c r="W30" s="4"/>
      <c r="X30" s="4"/>
      <c r="Y30" s="4"/>
      <c r="Z30" s="4"/>
    </row>
    <row r="31" spans="1:26" x14ac:dyDescent="0.3">
      <c r="A31" s="2">
        <v>30</v>
      </c>
      <c r="B31" s="3">
        <v>2304</v>
      </c>
      <c r="C31" s="3" t="s">
        <v>59</v>
      </c>
      <c r="D31" s="3">
        <v>70</v>
      </c>
      <c r="E31" s="3"/>
      <c r="F31" s="4" t="s">
        <v>57</v>
      </c>
      <c r="G31" s="4"/>
      <c r="H31" s="3">
        <v>40</v>
      </c>
      <c r="I31" s="3">
        <v>500</v>
      </c>
      <c r="J31" s="3" t="s">
        <v>60</v>
      </c>
      <c r="K31" s="3" t="s">
        <v>135</v>
      </c>
      <c r="L31" s="4" t="s">
        <v>25</v>
      </c>
      <c r="M31" s="3">
        <v>74</v>
      </c>
      <c r="N31" s="5">
        <f>M31/1000*I31*1.002</f>
        <v>37.073999999999998</v>
      </c>
      <c r="O31" s="5">
        <v>6</v>
      </c>
      <c r="P31" s="12">
        <v>0.05</v>
      </c>
      <c r="Q31" s="5">
        <f>N31+O31+(N31*P31)</f>
        <v>44.927700000000002</v>
      </c>
      <c r="R31" s="13">
        <v>0.02</v>
      </c>
      <c r="S31" s="4"/>
      <c r="T31" s="4"/>
      <c r="U31" s="4"/>
      <c r="V31" s="4"/>
      <c r="W31" s="4"/>
      <c r="X31" s="4"/>
      <c r="Y31" s="4"/>
      <c r="Z31" s="4"/>
    </row>
    <row r="32" spans="1:26" x14ac:dyDescent="0.3">
      <c r="A32" s="2">
        <v>31</v>
      </c>
      <c r="B32" s="3">
        <v>2305</v>
      </c>
      <c r="C32" s="3" t="s">
        <v>61</v>
      </c>
      <c r="D32" s="3">
        <v>70</v>
      </c>
      <c r="E32" s="3"/>
      <c r="F32" s="4" t="s">
        <v>57</v>
      </c>
      <c r="G32" s="4"/>
      <c r="H32" s="3">
        <v>40</v>
      </c>
      <c r="I32" s="3">
        <v>10000</v>
      </c>
      <c r="J32" s="3" t="s">
        <v>46</v>
      </c>
      <c r="K32" s="3"/>
      <c r="L32" s="4" t="s">
        <v>25</v>
      </c>
      <c r="M32" s="3">
        <v>74</v>
      </c>
      <c r="N32" s="5">
        <f>M32/1000*I32</f>
        <v>740</v>
      </c>
      <c r="O32" s="5">
        <v>65</v>
      </c>
      <c r="P32" s="12">
        <v>5.5E-2</v>
      </c>
      <c r="Q32" s="5">
        <f>N32+O32+(N32*P32)</f>
        <v>845.7</v>
      </c>
      <c r="R32" s="13">
        <v>0.02</v>
      </c>
      <c r="S32" s="4"/>
      <c r="T32" s="4"/>
      <c r="U32" s="4"/>
      <c r="V32" s="4"/>
      <c r="W32" s="4"/>
      <c r="X32" s="4"/>
      <c r="Y32" s="4"/>
      <c r="Z32" s="4"/>
    </row>
    <row r="33" spans="1:26" x14ac:dyDescent="0.3">
      <c r="A33" s="2">
        <v>32</v>
      </c>
      <c r="B33" s="3">
        <v>2306</v>
      </c>
      <c r="C33" s="3" t="s">
        <v>62</v>
      </c>
      <c r="D33" s="3">
        <v>90</v>
      </c>
      <c r="E33" s="3"/>
      <c r="F33" s="4" t="s">
        <v>63</v>
      </c>
      <c r="G33" s="4"/>
      <c r="H33" s="3">
        <v>30</v>
      </c>
      <c r="I33" s="3">
        <v>1500</v>
      </c>
      <c r="J33" s="3" t="s">
        <v>54</v>
      </c>
      <c r="K33" s="3"/>
      <c r="L33" s="4" t="s">
        <v>25</v>
      </c>
      <c r="M33" s="3">
        <v>87.5</v>
      </c>
      <c r="N33" s="5">
        <f t="shared" ref="N33:N42" si="3">M33/1000*I33*1.002</f>
        <v>131.51249999999999</v>
      </c>
      <c r="O33" s="5">
        <v>29</v>
      </c>
      <c r="P33" s="12">
        <v>5.5E-2</v>
      </c>
      <c r="Q33" s="5">
        <f t="shared" ref="Q33:Q57" si="4">(N33*P33)+N33+O33</f>
        <v>167.74568749999997</v>
      </c>
      <c r="R33" s="13">
        <v>0.02</v>
      </c>
      <c r="S33" s="4"/>
      <c r="T33" s="4"/>
      <c r="U33" s="4"/>
      <c r="V33" s="4"/>
      <c r="W33" s="4"/>
      <c r="X33" s="4"/>
      <c r="Y33" s="4"/>
      <c r="Z33" s="4"/>
    </row>
    <row r="34" spans="1:26" x14ac:dyDescent="0.3">
      <c r="A34" s="2">
        <v>33</v>
      </c>
      <c r="B34" s="3">
        <v>2311</v>
      </c>
      <c r="C34" s="3" t="s">
        <v>64</v>
      </c>
      <c r="D34" s="3">
        <v>135</v>
      </c>
      <c r="E34" s="3"/>
      <c r="F34" s="4" t="s">
        <v>65</v>
      </c>
      <c r="G34" s="4"/>
      <c r="H34" s="3">
        <v>20</v>
      </c>
      <c r="I34" s="3">
        <v>1000</v>
      </c>
      <c r="J34" s="3" t="s">
        <v>54</v>
      </c>
      <c r="K34" s="3" t="s">
        <v>137</v>
      </c>
      <c r="L34" s="4" t="s">
        <v>25</v>
      </c>
      <c r="M34" s="3">
        <v>152</v>
      </c>
      <c r="N34" s="5">
        <f t="shared" si="3"/>
        <v>152.304</v>
      </c>
      <c r="O34" s="5">
        <v>29</v>
      </c>
      <c r="P34" s="12">
        <v>0.06</v>
      </c>
      <c r="Q34" s="5">
        <f t="shared" si="4"/>
        <v>190.44224</v>
      </c>
      <c r="R34" s="13">
        <v>0.02</v>
      </c>
      <c r="S34" s="4" t="s">
        <v>143</v>
      </c>
      <c r="T34" s="4" t="s">
        <v>146</v>
      </c>
      <c r="U34" s="4" t="s">
        <v>153</v>
      </c>
      <c r="V34" s="4" t="s">
        <v>156</v>
      </c>
      <c r="W34" s="4"/>
      <c r="X34" s="4"/>
      <c r="Y34" s="4"/>
      <c r="Z34" s="4"/>
    </row>
    <row r="35" spans="1:26" x14ac:dyDescent="0.3">
      <c r="A35" s="2">
        <v>34</v>
      </c>
      <c r="B35" s="3">
        <v>2313</v>
      </c>
      <c r="C35" s="3" t="s">
        <v>66</v>
      </c>
      <c r="D35" s="3">
        <v>70</v>
      </c>
      <c r="E35" s="3"/>
      <c r="F35" s="4" t="s">
        <v>67</v>
      </c>
      <c r="G35" s="4"/>
      <c r="H35" s="3">
        <v>40</v>
      </c>
      <c r="I35" s="3">
        <v>3000</v>
      </c>
      <c r="J35" s="3" t="s">
        <v>54</v>
      </c>
      <c r="K35" s="3"/>
      <c r="L35" s="4" t="s">
        <v>25</v>
      </c>
      <c r="M35" s="3">
        <v>74</v>
      </c>
      <c r="N35" s="5">
        <f t="shared" si="3"/>
        <v>222.44399999999999</v>
      </c>
      <c r="O35" s="5">
        <v>29</v>
      </c>
      <c r="P35" s="12">
        <v>5.5E-2</v>
      </c>
      <c r="Q35" s="5">
        <f t="shared" si="4"/>
        <v>263.67841999999996</v>
      </c>
      <c r="R35" s="13">
        <v>0.02</v>
      </c>
      <c r="S35" s="4"/>
      <c r="T35" s="4"/>
      <c r="U35" s="4"/>
      <c r="V35" s="4"/>
      <c r="W35" s="4"/>
      <c r="X35" s="4"/>
      <c r="Y35" s="4"/>
      <c r="Z35" s="4"/>
    </row>
    <row r="36" spans="1:26" x14ac:dyDescent="0.3">
      <c r="A36" s="2">
        <v>35</v>
      </c>
      <c r="B36" s="3">
        <v>2313</v>
      </c>
      <c r="C36" s="3" t="s">
        <v>118</v>
      </c>
      <c r="D36" s="3">
        <v>70</v>
      </c>
      <c r="E36" s="3"/>
      <c r="F36" s="4"/>
      <c r="G36" s="4"/>
      <c r="H36" s="3"/>
      <c r="I36" s="3">
        <v>3000</v>
      </c>
      <c r="J36" s="3" t="s">
        <v>54</v>
      </c>
      <c r="K36" s="3" t="s">
        <v>28</v>
      </c>
      <c r="L36" s="4" t="s">
        <v>25</v>
      </c>
      <c r="M36" s="3">
        <v>74.2</v>
      </c>
      <c r="N36" s="5">
        <f t="shared" si="3"/>
        <v>223.04519999999999</v>
      </c>
      <c r="O36" s="3">
        <v>30</v>
      </c>
      <c r="P36" s="12">
        <v>5.5E-2</v>
      </c>
      <c r="Q36" s="5">
        <f t="shared" si="4"/>
        <v>265.31268599999999</v>
      </c>
      <c r="R36" s="5"/>
      <c r="S36" s="4"/>
      <c r="T36" s="4"/>
      <c r="U36" s="4"/>
      <c r="V36" s="4"/>
      <c r="W36" s="4"/>
      <c r="X36" s="4"/>
      <c r="Y36" s="4"/>
      <c r="Z36" s="4"/>
    </row>
    <row r="37" spans="1:26" x14ac:dyDescent="0.3">
      <c r="A37" s="2">
        <v>36</v>
      </c>
      <c r="B37" s="3">
        <v>2314</v>
      </c>
      <c r="C37" s="3" t="s">
        <v>64</v>
      </c>
      <c r="D37" s="3">
        <v>135</v>
      </c>
      <c r="E37" s="3"/>
      <c r="F37" s="4" t="s">
        <v>68</v>
      </c>
      <c r="G37" s="4"/>
      <c r="H37" s="3">
        <v>20</v>
      </c>
      <c r="I37" s="3">
        <v>1500</v>
      </c>
      <c r="J37" s="3" t="s">
        <v>54</v>
      </c>
      <c r="K37" s="3"/>
      <c r="L37" s="4" t="s">
        <v>25</v>
      </c>
      <c r="M37" s="3">
        <v>152</v>
      </c>
      <c r="N37" s="5">
        <f t="shared" si="3"/>
        <v>228.45599999999999</v>
      </c>
      <c r="O37" s="5">
        <v>29</v>
      </c>
      <c r="P37" s="12">
        <v>0.06</v>
      </c>
      <c r="Q37" s="5">
        <f t="shared" si="4"/>
        <v>271.16336000000001</v>
      </c>
      <c r="R37" s="13">
        <v>0.02</v>
      </c>
      <c r="S37" s="4"/>
      <c r="T37" s="4"/>
      <c r="U37" s="4"/>
      <c r="V37" s="4"/>
      <c r="W37" s="4"/>
      <c r="X37" s="4"/>
      <c r="Y37" s="4"/>
      <c r="Z37" s="4"/>
    </row>
    <row r="38" spans="1:26" x14ac:dyDescent="0.3">
      <c r="A38" s="2">
        <v>37</v>
      </c>
      <c r="B38" s="3">
        <v>2314</v>
      </c>
      <c r="C38" s="3" t="s">
        <v>124</v>
      </c>
      <c r="D38" s="3">
        <v>135</v>
      </c>
      <c r="E38" s="3"/>
      <c r="F38" s="4"/>
      <c r="G38" s="4"/>
      <c r="H38" s="3"/>
      <c r="I38" s="3">
        <v>1500</v>
      </c>
      <c r="J38" s="3" t="s">
        <v>54</v>
      </c>
      <c r="K38" s="3" t="s">
        <v>28</v>
      </c>
      <c r="L38" s="4" t="s">
        <v>25</v>
      </c>
      <c r="M38" s="3">
        <v>148.75</v>
      </c>
      <c r="N38" s="5">
        <f t="shared" si="3"/>
        <v>223.57124999999999</v>
      </c>
      <c r="O38" s="3">
        <v>29</v>
      </c>
      <c r="P38" s="12">
        <v>6.5000000000000002E-2</v>
      </c>
      <c r="Q38" s="5">
        <f t="shared" si="4"/>
        <v>267.10338124999998</v>
      </c>
      <c r="R38" s="5"/>
      <c r="S38" s="4"/>
      <c r="T38" s="4"/>
      <c r="U38" s="4"/>
      <c r="V38" s="4"/>
      <c r="W38" s="4"/>
      <c r="X38" s="4"/>
      <c r="Y38" s="4"/>
      <c r="Z38" s="4"/>
    </row>
    <row r="39" spans="1:26" x14ac:dyDescent="0.3">
      <c r="A39" s="2">
        <v>38</v>
      </c>
      <c r="B39" s="3">
        <v>2315</v>
      </c>
      <c r="C39" s="3" t="s">
        <v>66</v>
      </c>
      <c r="D39" s="3">
        <v>70</v>
      </c>
      <c r="E39" s="3"/>
      <c r="F39" s="4" t="s">
        <v>57</v>
      </c>
      <c r="G39" s="4"/>
      <c r="H39" s="3">
        <v>40</v>
      </c>
      <c r="I39" s="3">
        <v>3000</v>
      </c>
      <c r="J39" s="3" t="s">
        <v>54</v>
      </c>
      <c r="K39" s="3"/>
      <c r="L39" s="4" t="s">
        <v>25</v>
      </c>
      <c r="M39" s="3">
        <v>74</v>
      </c>
      <c r="N39" s="5">
        <f t="shared" si="3"/>
        <v>222.44399999999999</v>
      </c>
      <c r="O39" s="5">
        <v>29</v>
      </c>
      <c r="P39" s="12">
        <v>5.5E-2</v>
      </c>
      <c r="Q39" s="5">
        <f t="shared" si="4"/>
        <v>263.67841999999996</v>
      </c>
      <c r="R39" s="13">
        <v>0.02</v>
      </c>
      <c r="S39" s="4"/>
      <c r="T39" s="4"/>
      <c r="U39" s="4"/>
      <c r="V39" s="4"/>
      <c r="W39" s="4"/>
      <c r="X39" s="4"/>
      <c r="Y39" s="4"/>
      <c r="Z39" s="4"/>
    </row>
    <row r="40" spans="1:26" x14ac:dyDescent="0.3">
      <c r="A40" s="2">
        <v>39</v>
      </c>
      <c r="B40" s="3">
        <v>2315</v>
      </c>
      <c r="C40" s="3" t="s">
        <v>112</v>
      </c>
      <c r="D40" s="3">
        <v>70</v>
      </c>
      <c r="E40" s="3"/>
      <c r="F40" s="4"/>
      <c r="G40" s="4"/>
      <c r="H40" s="3"/>
      <c r="I40" s="3">
        <v>3000</v>
      </c>
      <c r="J40" s="3" t="s">
        <v>54</v>
      </c>
      <c r="K40" s="3" t="s">
        <v>28</v>
      </c>
      <c r="L40" s="4" t="s">
        <v>25</v>
      </c>
      <c r="M40" s="3">
        <v>74.2</v>
      </c>
      <c r="N40" s="5">
        <f t="shared" si="3"/>
        <v>223.04519999999999</v>
      </c>
      <c r="O40" s="3">
        <v>30</v>
      </c>
      <c r="P40" s="12">
        <v>5.5E-2</v>
      </c>
      <c r="Q40" s="5">
        <f t="shared" si="4"/>
        <v>265.31268599999999</v>
      </c>
      <c r="R40" s="5"/>
      <c r="S40" s="4" t="s">
        <v>144</v>
      </c>
      <c r="T40" s="4" t="s">
        <v>148</v>
      </c>
      <c r="U40" s="4" t="s">
        <v>154</v>
      </c>
      <c r="V40" s="4" t="s">
        <v>160</v>
      </c>
      <c r="W40" s="4"/>
      <c r="X40" s="4"/>
      <c r="Y40" s="4"/>
      <c r="Z40" s="4"/>
    </row>
    <row r="41" spans="1:26" x14ac:dyDescent="0.3">
      <c r="A41" s="2">
        <v>40</v>
      </c>
      <c r="B41" s="3">
        <v>2316</v>
      </c>
      <c r="C41" s="3" t="s">
        <v>64</v>
      </c>
      <c r="D41" s="3">
        <v>135</v>
      </c>
      <c r="E41" s="3"/>
      <c r="F41" s="4" t="s">
        <v>65</v>
      </c>
      <c r="G41" s="4"/>
      <c r="H41" s="3">
        <v>20</v>
      </c>
      <c r="I41" s="3">
        <v>1500</v>
      </c>
      <c r="J41" s="3" t="s">
        <v>54</v>
      </c>
      <c r="K41" s="3"/>
      <c r="L41" s="4" t="s">
        <v>25</v>
      </c>
      <c r="M41" s="3">
        <v>152</v>
      </c>
      <c r="N41" s="5">
        <f t="shared" si="3"/>
        <v>228.45599999999999</v>
      </c>
      <c r="O41" s="5">
        <v>29</v>
      </c>
      <c r="P41" s="12">
        <v>0.06</v>
      </c>
      <c r="Q41" s="5">
        <f t="shared" si="4"/>
        <v>271.16336000000001</v>
      </c>
      <c r="R41" s="13">
        <v>0.02</v>
      </c>
      <c r="S41" s="4" t="s">
        <v>144</v>
      </c>
      <c r="T41" s="4" t="s">
        <v>148</v>
      </c>
      <c r="U41" s="4" t="s">
        <v>154</v>
      </c>
      <c r="V41" s="4" t="s">
        <v>160</v>
      </c>
      <c r="W41" s="4"/>
      <c r="X41" s="4"/>
      <c r="Y41" s="4"/>
      <c r="Z41" s="4"/>
    </row>
    <row r="42" spans="1:26" x14ac:dyDescent="0.3">
      <c r="A42" s="2">
        <v>41</v>
      </c>
      <c r="B42" s="3">
        <v>2316</v>
      </c>
      <c r="C42" s="3" t="s">
        <v>113</v>
      </c>
      <c r="D42" s="3">
        <v>135</v>
      </c>
      <c r="E42" s="3"/>
      <c r="F42" s="4"/>
      <c r="G42" s="4"/>
      <c r="H42" s="3"/>
      <c r="I42" s="3">
        <v>1500</v>
      </c>
      <c r="J42" s="3" t="s">
        <v>54</v>
      </c>
      <c r="K42" s="3" t="s">
        <v>28</v>
      </c>
      <c r="L42" s="4" t="s">
        <v>25</v>
      </c>
      <c r="M42" s="3">
        <v>148.75</v>
      </c>
      <c r="N42" s="5">
        <f t="shared" si="3"/>
        <v>223.57124999999999</v>
      </c>
      <c r="O42" s="3">
        <v>30</v>
      </c>
      <c r="P42" s="12">
        <v>0.06</v>
      </c>
      <c r="Q42" s="5">
        <f t="shared" si="4"/>
        <v>266.985525</v>
      </c>
      <c r="R42" s="5"/>
      <c r="S42" s="4"/>
      <c r="T42" s="4"/>
      <c r="U42" s="4"/>
      <c r="V42" s="4"/>
      <c r="W42" s="4"/>
      <c r="X42" s="4"/>
      <c r="Y42" s="4"/>
      <c r="Z42" s="4"/>
    </row>
    <row r="43" spans="1:26" x14ac:dyDescent="0.3">
      <c r="A43" s="2">
        <v>42</v>
      </c>
      <c r="B43" s="3">
        <v>2317</v>
      </c>
      <c r="C43" s="3" t="s">
        <v>69</v>
      </c>
      <c r="D43" s="3">
        <v>270</v>
      </c>
      <c r="E43" s="3"/>
      <c r="F43" s="4" t="s">
        <v>70</v>
      </c>
      <c r="G43" s="4"/>
      <c r="H43" s="3">
        <v>10</v>
      </c>
      <c r="I43" s="3">
        <v>1000</v>
      </c>
      <c r="J43" s="3" t="s">
        <v>54</v>
      </c>
      <c r="K43" s="3"/>
      <c r="L43" s="4" t="s">
        <v>25</v>
      </c>
      <c r="M43" s="3">
        <v>297.5</v>
      </c>
      <c r="N43" s="5">
        <f>M43/1000*I43</f>
        <v>297.5</v>
      </c>
      <c r="O43" s="5">
        <v>29</v>
      </c>
      <c r="P43" s="12">
        <v>7.0000000000000007E-2</v>
      </c>
      <c r="Q43" s="5">
        <f t="shared" si="4"/>
        <v>347.32499999999999</v>
      </c>
      <c r="R43" s="13">
        <v>0.02</v>
      </c>
      <c r="S43" s="4"/>
      <c r="T43" s="4"/>
      <c r="U43" s="4"/>
      <c r="V43" s="4"/>
      <c r="W43" s="4"/>
      <c r="X43" s="4"/>
      <c r="Y43" s="4"/>
      <c r="Z43" s="4"/>
    </row>
    <row r="44" spans="1:26" x14ac:dyDescent="0.3">
      <c r="A44" s="2">
        <v>43</v>
      </c>
      <c r="B44" s="3">
        <v>2317</v>
      </c>
      <c r="C44" s="3" t="s">
        <v>116</v>
      </c>
      <c r="D44" s="3">
        <v>270</v>
      </c>
      <c r="E44" s="3"/>
      <c r="F44" s="4"/>
      <c r="G44" s="4"/>
      <c r="H44" s="3"/>
      <c r="I44" s="3">
        <v>1000</v>
      </c>
      <c r="J44" s="3" t="s">
        <v>54</v>
      </c>
      <c r="K44" s="3" t="s">
        <v>28</v>
      </c>
      <c r="L44" s="4" t="s">
        <v>25</v>
      </c>
      <c r="M44" s="3">
        <v>297.5</v>
      </c>
      <c r="N44" s="5">
        <f>M44/1000*I44*1.002</f>
        <v>298.09500000000003</v>
      </c>
      <c r="O44" s="3">
        <v>30</v>
      </c>
      <c r="P44" s="12">
        <v>7.0000000000000007E-2</v>
      </c>
      <c r="Q44" s="5">
        <f t="shared" si="4"/>
        <v>348.96165000000002</v>
      </c>
      <c r="R44" s="5"/>
      <c r="S44" s="4"/>
      <c r="T44" s="4"/>
      <c r="U44" s="4"/>
      <c r="V44" s="4"/>
      <c r="W44" s="4"/>
      <c r="X44" s="4"/>
      <c r="Y44" s="4"/>
      <c r="Z44" s="4"/>
    </row>
    <row r="45" spans="1:26" x14ac:dyDescent="0.3">
      <c r="A45" s="2">
        <v>44</v>
      </c>
      <c r="B45" s="3">
        <v>2318</v>
      </c>
      <c r="C45" s="3" t="s">
        <v>71</v>
      </c>
      <c r="D45" s="3">
        <v>180</v>
      </c>
      <c r="E45" s="3"/>
      <c r="F45" s="4" t="s">
        <v>72</v>
      </c>
      <c r="G45" s="4"/>
      <c r="H45" s="3">
        <v>15</v>
      </c>
      <c r="I45" s="3">
        <v>1500</v>
      </c>
      <c r="J45" s="3" t="s">
        <v>54</v>
      </c>
      <c r="K45" s="3"/>
      <c r="L45" s="4" t="s">
        <v>25</v>
      </c>
      <c r="M45" s="3">
        <v>175</v>
      </c>
      <c r="N45" s="5">
        <f>M45/1000*I45</f>
        <v>262.5</v>
      </c>
      <c r="O45" s="5">
        <v>29</v>
      </c>
      <c r="P45" s="12">
        <v>0.06</v>
      </c>
      <c r="Q45" s="5">
        <f t="shared" si="4"/>
        <v>307.25</v>
      </c>
      <c r="R45" s="13">
        <v>0.02</v>
      </c>
      <c r="S45" s="4"/>
      <c r="T45" s="4"/>
      <c r="U45" s="4"/>
      <c r="V45" s="4"/>
      <c r="W45" s="4"/>
      <c r="X45" s="4"/>
      <c r="Y45" s="4"/>
      <c r="Z45" s="4"/>
    </row>
    <row r="46" spans="1:26" x14ac:dyDescent="0.3">
      <c r="A46" s="2">
        <v>45</v>
      </c>
      <c r="B46" s="3">
        <v>2318</v>
      </c>
      <c r="C46" s="3" t="s">
        <v>117</v>
      </c>
      <c r="D46" s="3">
        <v>175</v>
      </c>
      <c r="E46" s="3"/>
      <c r="F46" s="4"/>
      <c r="G46" s="4"/>
      <c r="H46" s="3"/>
      <c r="I46" s="3">
        <v>1500</v>
      </c>
      <c r="J46" s="3" t="s">
        <v>54</v>
      </c>
      <c r="K46" s="3" t="s">
        <v>28</v>
      </c>
      <c r="L46" s="4" t="s">
        <v>25</v>
      </c>
      <c r="M46" s="3">
        <v>175</v>
      </c>
      <c r="N46" s="5">
        <f>M46/1000*I46*1.002</f>
        <v>263.02499999999998</v>
      </c>
      <c r="O46" s="3">
        <v>30</v>
      </c>
      <c r="P46" s="12">
        <v>0.06</v>
      </c>
      <c r="Q46" s="5">
        <f t="shared" si="4"/>
        <v>308.80649999999997</v>
      </c>
      <c r="R46" s="5"/>
      <c r="S46" s="4"/>
      <c r="T46" s="4"/>
      <c r="U46" s="4"/>
      <c r="V46" s="4"/>
      <c r="W46" s="4"/>
      <c r="X46" s="4"/>
      <c r="Y46" s="4"/>
      <c r="Z46" s="4"/>
    </row>
    <row r="47" spans="1:26" x14ac:dyDescent="0.3">
      <c r="A47" s="2">
        <v>46</v>
      </c>
      <c r="B47" s="3">
        <v>2319</v>
      </c>
      <c r="C47" s="3" t="s">
        <v>66</v>
      </c>
      <c r="D47" s="3">
        <v>70</v>
      </c>
      <c r="E47" s="3"/>
      <c r="F47" s="4" t="s">
        <v>67</v>
      </c>
      <c r="G47" s="4"/>
      <c r="H47" s="3">
        <v>40</v>
      </c>
      <c r="I47" s="3">
        <v>6500</v>
      </c>
      <c r="J47" s="3" t="s">
        <v>43</v>
      </c>
      <c r="K47" s="3"/>
      <c r="L47" s="4" t="s">
        <v>25</v>
      </c>
      <c r="M47" s="3">
        <v>74</v>
      </c>
      <c r="N47" s="5">
        <f>M47/1000*I47</f>
        <v>481</v>
      </c>
      <c r="O47" s="5">
        <v>30</v>
      </c>
      <c r="P47" s="12">
        <v>5.5E-2</v>
      </c>
      <c r="Q47" s="5">
        <f t="shared" si="4"/>
        <v>537.45499999999993</v>
      </c>
      <c r="R47" s="13">
        <v>0.02</v>
      </c>
      <c r="S47" s="4"/>
      <c r="T47" s="4"/>
      <c r="U47" s="4"/>
      <c r="V47" s="4"/>
      <c r="W47" s="4"/>
      <c r="X47" s="4"/>
      <c r="Y47" s="4"/>
      <c r="Z47" s="4"/>
    </row>
    <row r="48" spans="1:26" x14ac:dyDescent="0.3">
      <c r="A48" s="2">
        <v>47</v>
      </c>
      <c r="B48" s="3">
        <v>2319</v>
      </c>
      <c r="C48" s="3" t="s">
        <v>120</v>
      </c>
      <c r="D48" s="3">
        <v>70</v>
      </c>
      <c r="E48" s="3"/>
      <c r="F48" s="4"/>
      <c r="G48" s="4"/>
      <c r="H48" s="3"/>
      <c r="I48" s="3">
        <v>6500</v>
      </c>
      <c r="J48" s="3" t="s">
        <v>43</v>
      </c>
      <c r="K48" s="3" t="s">
        <v>121</v>
      </c>
      <c r="L48" s="4" t="s">
        <v>25</v>
      </c>
      <c r="M48" s="3">
        <v>74.2</v>
      </c>
      <c r="N48" s="5">
        <f t="shared" ref="N48:N55" si="5">M48/1000*I48*1.002</f>
        <v>483.26460000000003</v>
      </c>
      <c r="O48" s="3">
        <v>30</v>
      </c>
      <c r="P48" s="12">
        <v>5.5E-2</v>
      </c>
      <c r="Q48" s="5">
        <f t="shared" si="4"/>
        <v>539.84415300000001</v>
      </c>
      <c r="R48" s="5"/>
      <c r="S48" s="4"/>
      <c r="T48" s="4"/>
      <c r="U48" s="4"/>
      <c r="V48" s="4"/>
      <c r="W48" s="4"/>
      <c r="X48" s="4"/>
      <c r="Y48" s="4"/>
      <c r="Z48" s="4"/>
    </row>
    <row r="49" spans="1:26" x14ac:dyDescent="0.3">
      <c r="A49" s="2">
        <v>48</v>
      </c>
      <c r="B49" s="3">
        <v>2320</v>
      </c>
      <c r="C49" s="3" t="s">
        <v>64</v>
      </c>
      <c r="D49" s="3">
        <v>135</v>
      </c>
      <c r="E49" s="3"/>
      <c r="F49" s="4" t="s">
        <v>65</v>
      </c>
      <c r="G49" s="4"/>
      <c r="H49" s="3">
        <v>20</v>
      </c>
      <c r="I49" s="3">
        <v>1000</v>
      </c>
      <c r="J49" s="3" t="s">
        <v>54</v>
      </c>
      <c r="K49" s="3"/>
      <c r="L49" s="4" t="s">
        <v>25</v>
      </c>
      <c r="M49" s="3">
        <v>152</v>
      </c>
      <c r="N49" s="5">
        <f t="shared" si="5"/>
        <v>152.304</v>
      </c>
      <c r="O49" s="5">
        <v>29</v>
      </c>
      <c r="P49" s="12">
        <v>0.06</v>
      </c>
      <c r="Q49" s="5">
        <f t="shared" si="4"/>
        <v>190.44224</v>
      </c>
      <c r="R49" s="13">
        <v>0.02</v>
      </c>
      <c r="S49" s="4"/>
      <c r="T49" s="4"/>
      <c r="U49" s="4"/>
      <c r="V49" s="4"/>
      <c r="W49" s="4"/>
      <c r="X49" s="4"/>
      <c r="Y49" s="4"/>
      <c r="Z49" s="4"/>
    </row>
    <row r="50" spans="1:26" x14ac:dyDescent="0.3">
      <c r="A50" s="2">
        <v>49</v>
      </c>
      <c r="B50" s="3">
        <v>2321</v>
      </c>
      <c r="C50" s="3" t="s">
        <v>62</v>
      </c>
      <c r="D50" s="3">
        <v>90</v>
      </c>
      <c r="E50" s="3"/>
      <c r="F50" s="4" t="s">
        <v>63</v>
      </c>
      <c r="G50" s="4"/>
      <c r="H50" s="3">
        <v>30</v>
      </c>
      <c r="I50" s="3">
        <v>2500</v>
      </c>
      <c r="J50" s="3" t="s">
        <v>54</v>
      </c>
      <c r="K50" s="3"/>
      <c r="L50" s="4" t="s">
        <v>25</v>
      </c>
      <c r="M50" s="3">
        <v>87.5</v>
      </c>
      <c r="N50" s="5">
        <f t="shared" si="5"/>
        <v>219.1875</v>
      </c>
      <c r="O50" s="5">
        <v>29</v>
      </c>
      <c r="P50" s="12">
        <v>5.5E-2</v>
      </c>
      <c r="Q50" s="5">
        <f t="shared" si="4"/>
        <v>260.24281250000001</v>
      </c>
      <c r="R50" s="13">
        <v>0.02</v>
      </c>
      <c r="S50" s="4"/>
      <c r="T50" s="4"/>
      <c r="U50" s="4"/>
      <c r="V50" s="4"/>
      <c r="W50" s="4"/>
      <c r="X50" s="4"/>
      <c r="Y50" s="4"/>
      <c r="Z50" s="4"/>
    </row>
    <row r="51" spans="1:26" x14ac:dyDescent="0.3">
      <c r="A51" s="2">
        <v>50</v>
      </c>
      <c r="B51" s="3">
        <v>2321</v>
      </c>
      <c r="C51" s="3" t="s">
        <v>114</v>
      </c>
      <c r="D51" s="3">
        <v>90</v>
      </c>
      <c r="E51" s="3"/>
      <c r="F51" s="4"/>
      <c r="G51" s="4"/>
      <c r="H51" s="3"/>
      <c r="I51" s="3">
        <v>2500</v>
      </c>
      <c r="J51" s="3" t="s">
        <v>54</v>
      </c>
      <c r="K51" s="3" t="s">
        <v>28</v>
      </c>
      <c r="L51" s="4" t="s">
        <v>25</v>
      </c>
      <c r="M51" s="3">
        <v>87.5</v>
      </c>
      <c r="N51" s="5">
        <f t="shared" si="5"/>
        <v>219.1875</v>
      </c>
      <c r="O51" s="3">
        <v>30</v>
      </c>
      <c r="P51" s="12">
        <v>0.06</v>
      </c>
      <c r="Q51" s="5">
        <f t="shared" si="4"/>
        <v>262.33875</v>
      </c>
      <c r="R51" s="5"/>
      <c r="S51" s="4"/>
      <c r="T51" s="4"/>
      <c r="U51" s="4"/>
      <c r="V51" s="4"/>
      <c r="W51" s="4"/>
      <c r="X51" s="4"/>
      <c r="Y51" s="4"/>
      <c r="Z51" s="4"/>
    </row>
    <row r="52" spans="1:26" x14ac:dyDescent="0.3">
      <c r="A52" s="2">
        <v>51</v>
      </c>
      <c r="B52" s="3">
        <v>2322</v>
      </c>
      <c r="C52" s="3" t="s">
        <v>44</v>
      </c>
      <c r="D52" s="3">
        <v>45</v>
      </c>
      <c r="E52" s="3"/>
      <c r="F52" s="4" t="s">
        <v>73</v>
      </c>
      <c r="G52" s="4"/>
      <c r="H52" s="3">
        <v>60</v>
      </c>
      <c r="I52" s="3">
        <v>5000</v>
      </c>
      <c r="J52" s="3" t="s">
        <v>54</v>
      </c>
      <c r="K52" s="3"/>
      <c r="L52" s="4" t="s">
        <v>25</v>
      </c>
      <c r="M52" s="3">
        <v>52.5</v>
      </c>
      <c r="N52" s="5">
        <f t="shared" si="5"/>
        <v>263.02499999999998</v>
      </c>
      <c r="O52" s="5">
        <v>29</v>
      </c>
      <c r="P52" s="12">
        <v>5.5E-2</v>
      </c>
      <c r="Q52" s="5">
        <f t="shared" si="4"/>
        <v>306.49137499999995</v>
      </c>
      <c r="R52" s="13">
        <v>0.02</v>
      </c>
      <c r="S52" s="4"/>
      <c r="T52" s="4"/>
      <c r="U52" s="4"/>
      <c r="V52" s="4"/>
      <c r="W52" s="4"/>
      <c r="X52" s="4"/>
      <c r="Y52" s="4"/>
      <c r="Z52" s="4"/>
    </row>
    <row r="53" spans="1:26" x14ac:dyDescent="0.3">
      <c r="A53" s="2">
        <v>52</v>
      </c>
      <c r="B53" s="3">
        <v>2322</v>
      </c>
      <c r="C53" s="3" t="s">
        <v>115</v>
      </c>
      <c r="D53" s="3">
        <v>50</v>
      </c>
      <c r="E53" s="3"/>
      <c r="F53" s="4"/>
      <c r="G53" s="4"/>
      <c r="H53" s="3"/>
      <c r="I53" s="3">
        <v>5000</v>
      </c>
      <c r="J53" s="3" t="s">
        <v>54</v>
      </c>
      <c r="K53" s="3" t="s">
        <v>28</v>
      </c>
      <c r="L53" s="4" t="s">
        <v>25</v>
      </c>
      <c r="M53" s="3">
        <v>52.5</v>
      </c>
      <c r="N53" s="5">
        <f t="shared" si="5"/>
        <v>263.02499999999998</v>
      </c>
      <c r="O53" s="3">
        <v>30</v>
      </c>
      <c r="P53" s="12">
        <v>5.5E-2</v>
      </c>
      <c r="Q53" s="5">
        <f t="shared" si="4"/>
        <v>307.49137499999995</v>
      </c>
      <c r="R53" s="5"/>
      <c r="S53" s="4"/>
      <c r="T53" s="4"/>
      <c r="U53" s="4"/>
      <c r="V53" s="4"/>
      <c r="W53" s="4"/>
      <c r="X53" s="4"/>
      <c r="Y53" s="4"/>
      <c r="Z53" s="4"/>
    </row>
    <row r="54" spans="1:26" x14ac:dyDescent="0.3">
      <c r="A54" s="2">
        <v>53</v>
      </c>
      <c r="B54" s="3">
        <v>2323</v>
      </c>
      <c r="C54" s="3" t="s">
        <v>64</v>
      </c>
      <c r="D54" s="3">
        <v>135</v>
      </c>
      <c r="E54" s="3"/>
      <c r="F54" s="4" t="s">
        <v>68</v>
      </c>
      <c r="G54" s="4"/>
      <c r="H54" s="3">
        <v>20</v>
      </c>
      <c r="I54" s="3">
        <v>1500</v>
      </c>
      <c r="J54" s="3" t="s">
        <v>54</v>
      </c>
      <c r="K54" s="3"/>
      <c r="L54" s="4" t="s">
        <v>25</v>
      </c>
      <c r="M54" s="3">
        <v>152</v>
      </c>
      <c r="N54" s="5">
        <f t="shared" si="5"/>
        <v>228.45599999999999</v>
      </c>
      <c r="O54" s="5">
        <v>29</v>
      </c>
      <c r="P54" s="12">
        <v>0.06</v>
      </c>
      <c r="Q54" s="5">
        <f t="shared" si="4"/>
        <v>271.16336000000001</v>
      </c>
      <c r="R54" s="13">
        <v>0.02</v>
      </c>
      <c r="S54" s="4"/>
      <c r="T54" s="4"/>
      <c r="U54" s="4"/>
      <c r="V54" s="4"/>
      <c r="W54" s="4"/>
      <c r="X54" s="4"/>
      <c r="Y54" s="4"/>
      <c r="Z54" s="4"/>
    </row>
    <row r="55" spans="1:26" x14ac:dyDescent="0.3">
      <c r="A55" s="2">
        <v>54</v>
      </c>
      <c r="B55" s="3">
        <v>2324</v>
      </c>
      <c r="C55" s="3" t="s">
        <v>66</v>
      </c>
      <c r="D55" s="3">
        <v>70</v>
      </c>
      <c r="E55" s="3"/>
      <c r="F55" s="4" t="s">
        <v>67</v>
      </c>
      <c r="G55" s="4"/>
      <c r="H55" s="3">
        <v>40</v>
      </c>
      <c r="I55" s="3">
        <v>3000</v>
      </c>
      <c r="J55" s="3" t="s">
        <v>54</v>
      </c>
      <c r="K55" s="3"/>
      <c r="L55" s="4" t="s">
        <v>25</v>
      </c>
      <c r="M55" s="3">
        <v>74</v>
      </c>
      <c r="N55" s="5">
        <f t="shared" si="5"/>
        <v>222.44399999999999</v>
      </c>
      <c r="O55" s="5">
        <v>29</v>
      </c>
      <c r="P55" s="12">
        <v>5.5E-2</v>
      </c>
      <c r="Q55" s="5">
        <f t="shared" si="4"/>
        <v>263.67841999999996</v>
      </c>
      <c r="R55" s="13">
        <v>0.02</v>
      </c>
      <c r="S55" s="4"/>
      <c r="T55" s="4"/>
      <c r="U55" s="4"/>
      <c r="V55" s="4"/>
      <c r="W55" s="4"/>
      <c r="X55" s="4"/>
      <c r="Y55" s="4"/>
      <c r="Z55" s="4"/>
    </row>
    <row r="56" spans="1:26" x14ac:dyDescent="0.3">
      <c r="A56" s="2">
        <v>55</v>
      </c>
      <c r="B56" s="3">
        <v>2325</v>
      </c>
      <c r="C56" s="3" t="s">
        <v>74</v>
      </c>
      <c r="D56" s="3">
        <v>330</v>
      </c>
      <c r="E56" s="3"/>
      <c r="F56" s="4" t="s">
        <v>70</v>
      </c>
      <c r="G56" s="4"/>
      <c r="H56" s="3">
        <v>8</v>
      </c>
      <c r="I56" s="3">
        <v>500</v>
      </c>
      <c r="J56" s="3" t="s">
        <v>54</v>
      </c>
      <c r="K56" s="3"/>
      <c r="L56" s="4" t="s">
        <v>25</v>
      </c>
      <c r="M56" s="3">
        <v>356</v>
      </c>
      <c r="N56" s="5">
        <f>M56/1000*I56</f>
        <v>178</v>
      </c>
      <c r="O56" s="5">
        <v>29</v>
      </c>
      <c r="P56" s="12">
        <v>7.0000000000000007E-2</v>
      </c>
      <c r="Q56" s="5">
        <f t="shared" si="4"/>
        <v>219.46</v>
      </c>
      <c r="R56" s="13">
        <v>0.02</v>
      </c>
      <c r="S56" s="4"/>
      <c r="T56" s="4"/>
      <c r="U56" s="4"/>
      <c r="V56" s="4"/>
      <c r="W56" s="4"/>
      <c r="X56" s="4"/>
      <c r="Y56" s="4"/>
      <c r="Z56" s="4"/>
    </row>
    <row r="57" spans="1:26" x14ac:dyDescent="0.3">
      <c r="A57" s="2">
        <v>56</v>
      </c>
      <c r="B57" s="3">
        <v>2326</v>
      </c>
      <c r="C57" s="3" t="s">
        <v>66</v>
      </c>
      <c r="D57" s="3">
        <v>70</v>
      </c>
      <c r="E57" s="3"/>
      <c r="F57" s="4" t="s">
        <v>67</v>
      </c>
      <c r="G57" s="4"/>
      <c r="H57" s="3">
        <v>40</v>
      </c>
      <c r="I57" s="3">
        <v>1500</v>
      </c>
      <c r="J57" s="3" t="s">
        <v>54</v>
      </c>
      <c r="K57" s="3"/>
      <c r="L57" s="4" t="s">
        <v>25</v>
      </c>
      <c r="M57" s="3">
        <v>74</v>
      </c>
      <c r="N57" s="5">
        <f t="shared" ref="N57:N65" si="6">M57/1000*I57*1.002</f>
        <v>111.22199999999999</v>
      </c>
      <c r="O57" s="5">
        <v>29</v>
      </c>
      <c r="P57" s="12">
        <v>5.5E-2</v>
      </c>
      <c r="Q57" s="5">
        <f t="shared" si="4"/>
        <v>146.33920999999998</v>
      </c>
      <c r="R57" s="13">
        <v>0.02</v>
      </c>
      <c r="S57" s="4"/>
      <c r="T57" s="4"/>
      <c r="U57" s="4"/>
      <c r="V57" s="4"/>
      <c r="W57" s="4"/>
      <c r="X57" s="4"/>
      <c r="Y57" s="4"/>
      <c r="Z57" s="4"/>
    </row>
    <row r="58" spans="1:26" x14ac:dyDescent="0.3">
      <c r="A58" s="2">
        <v>57</v>
      </c>
      <c r="B58" s="3">
        <v>3201</v>
      </c>
      <c r="C58" s="3" t="s">
        <v>75</v>
      </c>
      <c r="D58" s="3">
        <v>50</v>
      </c>
      <c r="E58" s="3"/>
      <c r="F58" s="4" t="s">
        <v>76</v>
      </c>
      <c r="G58" s="4"/>
      <c r="H58" s="3">
        <v>60</v>
      </c>
      <c r="I58" s="3">
        <v>1000</v>
      </c>
      <c r="J58" s="3" t="s">
        <v>45</v>
      </c>
      <c r="K58" s="3" t="s">
        <v>126</v>
      </c>
      <c r="L58" s="4" t="s">
        <v>25</v>
      </c>
      <c r="M58" s="3">
        <v>49.5</v>
      </c>
      <c r="N58" s="5">
        <f t="shared" si="6"/>
        <v>49.598999999999997</v>
      </c>
      <c r="O58" s="5">
        <v>16</v>
      </c>
      <c r="P58" s="12">
        <v>5.5E-2</v>
      </c>
      <c r="Q58" s="5">
        <f t="shared" ref="Q58:Q64" si="7">N58+O58+(N58*P58)</f>
        <v>68.326944999999995</v>
      </c>
      <c r="R58" s="13">
        <v>0.02</v>
      </c>
      <c r="S58" s="4"/>
      <c r="T58" s="4"/>
      <c r="U58" s="4"/>
      <c r="V58" s="4"/>
      <c r="W58" s="4"/>
      <c r="X58" s="4"/>
      <c r="Y58" s="4"/>
      <c r="Z58" s="4"/>
    </row>
    <row r="59" spans="1:26" x14ac:dyDescent="0.3">
      <c r="A59" s="2">
        <v>58</v>
      </c>
      <c r="B59" s="3">
        <v>3202</v>
      </c>
      <c r="C59" s="3" t="s">
        <v>77</v>
      </c>
      <c r="D59" s="3">
        <v>50</v>
      </c>
      <c r="E59" s="3"/>
      <c r="F59" s="4" t="s">
        <v>76</v>
      </c>
      <c r="G59" s="4"/>
      <c r="H59" s="3">
        <v>60</v>
      </c>
      <c r="I59" s="3">
        <v>2000</v>
      </c>
      <c r="J59" s="3" t="s">
        <v>45</v>
      </c>
      <c r="K59" s="3" t="s">
        <v>126</v>
      </c>
      <c r="L59" s="4" t="s">
        <v>25</v>
      </c>
      <c r="M59" s="3">
        <v>49.5</v>
      </c>
      <c r="N59" s="5">
        <f t="shared" si="6"/>
        <v>99.197999999999993</v>
      </c>
      <c r="O59" s="5">
        <v>16</v>
      </c>
      <c r="P59" s="12">
        <v>5.5E-2</v>
      </c>
      <c r="Q59" s="5">
        <f t="shared" si="7"/>
        <v>120.65388999999999</v>
      </c>
      <c r="R59" s="13">
        <v>0.02</v>
      </c>
      <c r="S59" s="4"/>
      <c r="T59" s="4"/>
      <c r="U59" s="4"/>
      <c r="V59" s="4"/>
      <c r="W59" s="4"/>
      <c r="X59" s="4"/>
      <c r="Y59" s="4"/>
      <c r="Z59" s="4"/>
    </row>
    <row r="60" spans="1:26" x14ac:dyDescent="0.3">
      <c r="A60" s="2">
        <v>59</v>
      </c>
      <c r="B60" s="3">
        <v>3203</v>
      </c>
      <c r="C60" s="3" t="s">
        <v>75</v>
      </c>
      <c r="D60" s="3">
        <v>50</v>
      </c>
      <c r="E60" s="3"/>
      <c r="F60" s="4" t="s">
        <v>76</v>
      </c>
      <c r="G60" s="4"/>
      <c r="H60" s="3">
        <v>60</v>
      </c>
      <c r="I60" s="3">
        <v>500</v>
      </c>
      <c r="J60" s="3" t="s">
        <v>78</v>
      </c>
      <c r="K60" s="3"/>
      <c r="L60" s="4" t="s">
        <v>25</v>
      </c>
      <c r="M60" s="3">
        <v>49.5</v>
      </c>
      <c r="N60" s="5">
        <f t="shared" si="6"/>
        <v>24.799499999999998</v>
      </c>
      <c r="O60" s="5">
        <v>6</v>
      </c>
      <c r="P60" s="12">
        <v>0.05</v>
      </c>
      <c r="Q60" s="5">
        <f t="shared" si="7"/>
        <v>32.039474999999996</v>
      </c>
      <c r="R60" s="13">
        <v>0.02</v>
      </c>
      <c r="S60" s="4"/>
      <c r="T60" s="4"/>
      <c r="U60" s="4"/>
      <c r="V60" s="4"/>
      <c r="W60" s="4"/>
      <c r="X60" s="4"/>
      <c r="Y60" s="4"/>
      <c r="Z60" s="4"/>
    </row>
    <row r="61" spans="1:26" x14ac:dyDescent="0.3">
      <c r="A61" s="2">
        <v>60</v>
      </c>
      <c r="B61" s="3">
        <v>3301</v>
      </c>
      <c r="C61" s="3" t="s">
        <v>79</v>
      </c>
      <c r="D61" s="3">
        <v>70</v>
      </c>
      <c r="E61" s="3"/>
      <c r="F61" s="4" t="s">
        <v>80</v>
      </c>
      <c r="G61" s="4"/>
      <c r="H61" s="3">
        <v>40</v>
      </c>
      <c r="I61" s="3">
        <v>500</v>
      </c>
      <c r="J61" s="3" t="s">
        <v>60</v>
      </c>
      <c r="K61" s="3" t="s">
        <v>136</v>
      </c>
      <c r="L61" s="4" t="s">
        <v>25</v>
      </c>
      <c r="M61" s="3">
        <v>74</v>
      </c>
      <c r="N61" s="5">
        <f t="shared" si="6"/>
        <v>37.073999999999998</v>
      </c>
      <c r="O61" s="5">
        <v>6</v>
      </c>
      <c r="P61" s="12">
        <v>0.05</v>
      </c>
      <c r="Q61" s="5">
        <f t="shared" si="7"/>
        <v>44.927700000000002</v>
      </c>
      <c r="R61" s="13">
        <v>0.02</v>
      </c>
      <c r="S61" s="4" t="s">
        <v>145</v>
      </c>
      <c r="T61" s="4" t="s">
        <v>146</v>
      </c>
      <c r="U61" s="22" t="s">
        <v>155</v>
      </c>
      <c r="V61" s="22" t="s">
        <v>161</v>
      </c>
      <c r="W61" s="22"/>
      <c r="X61" s="4"/>
      <c r="Y61" s="4"/>
      <c r="Z61" s="4"/>
    </row>
    <row r="62" spans="1:26" x14ac:dyDescent="0.3">
      <c r="A62" s="2">
        <v>61</v>
      </c>
      <c r="B62" s="3">
        <v>3302</v>
      </c>
      <c r="C62" s="3" t="s">
        <v>81</v>
      </c>
      <c r="D62" s="3">
        <v>70</v>
      </c>
      <c r="E62" s="3"/>
      <c r="F62" s="4" t="s">
        <v>80</v>
      </c>
      <c r="G62" s="4"/>
      <c r="H62" s="3">
        <v>40</v>
      </c>
      <c r="I62" s="3">
        <v>1500</v>
      </c>
      <c r="J62" s="3" t="s">
        <v>45</v>
      </c>
      <c r="K62" s="3" t="s">
        <v>136</v>
      </c>
      <c r="L62" s="4" t="s">
        <v>25</v>
      </c>
      <c r="M62" s="3">
        <v>74</v>
      </c>
      <c r="N62" s="5">
        <f t="shared" si="6"/>
        <v>111.22199999999999</v>
      </c>
      <c r="O62" s="5">
        <v>16</v>
      </c>
      <c r="P62" s="12">
        <v>5.5E-2</v>
      </c>
      <c r="Q62" s="5">
        <f t="shared" si="7"/>
        <v>133.33920999999998</v>
      </c>
      <c r="R62" s="13">
        <v>0.02</v>
      </c>
      <c r="S62" s="4" t="s">
        <v>142</v>
      </c>
      <c r="T62" s="4" t="s">
        <v>146</v>
      </c>
      <c r="U62" s="4" t="s">
        <v>152</v>
      </c>
      <c r="V62" s="4" t="s">
        <v>159</v>
      </c>
      <c r="W62" s="4"/>
      <c r="X62" s="4"/>
      <c r="Y62" s="4"/>
      <c r="Z62" s="4"/>
    </row>
    <row r="63" spans="1:26" x14ac:dyDescent="0.3">
      <c r="A63" s="2">
        <v>62</v>
      </c>
      <c r="B63" s="3">
        <v>3303</v>
      </c>
      <c r="C63" s="3" t="s">
        <v>82</v>
      </c>
      <c r="D63" s="3">
        <v>70</v>
      </c>
      <c r="E63" s="3"/>
      <c r="F63" s="4" t="s">
        <v>80</v>
      </c>
      <c r="G63" s="4"/>
      <c r="H63" s="3">
        <v>40</v>
      </c>
      <c r="I63" s="3">
        <v>1000</v>
      </c>
      <c r="J63" s="3" t="s">
        <v>45</v>
      </c>
      <c r="K63" s="3"/>
      <c r="L63" s="4" t="s">
        <v>25</v>
      </c>
      <c r="M63" s="3">
        <v>74</v>
      </c>
      <c r="N63" s="5">
        <f t="shared" si="6"/>
        <v>74.147999999999996</v>
      </c>
      <c r="O63" s="5">
        <v>16</v>
      </c>
      <c r="P63" s="12">
        <v>5.5E-2</v>
      </c>
      <c r="Q63" s="5">
        <f t="shared" si="7"/>
        <v>94.226140000000001</v>
      </c>
      <c r="R63" s="13">
        <v>0.02</v>
      </c>
      <c r="S63" s="4"/>
      <c r="T63" s="4"/>
      <c r="U63" s="4"/>
      <c r="V63" s="4"/>
      <c r="W63" s="4"/>
      <c r="X63" s="4"/>
      <c r="Y63" s="4"/>
      <c r="Z63" s="4"/>
    </row>
    <row r="64" spans="1:26" x14ac:dyDescent="0.3">
      <c r="A64" s="2">
        <v>63</v>
      </c>
      <c r="B64" s="3">
        <v>3304</v>
      </c>
      <c r="C64" s="3" t="s">
        <v>83</v>
      </c>
      <c r="D64" s="3">
        <v>135</v>
      </c>
      <c r="E64" s="3"/>
      <c r="F64" s="4" t="s">
        <v>84</v>
      </c>
      <c r="G64" s="4"/>
      <c r="H64" s="3">
        <v>20</v>
      </c>
      <c r="I64" s="3">
        <v>500</v>
      </c>
      <c r="J64" s="3" t="s">
        <v>45</v>
      </c>
      <c r="K64" s="3"/>
      <c r="L64" s="4" t="s">
        <v>25</v>
      </c>
      <c r="M64" s="3">
        <v>152</v>
      </c>
      <c r="N64" s="5">
        <f t="shared" si="6"/>
        <v>76.152000000000001</v>
      </c>
      <c r="O64" s="5">
        <v>16</v>
      </c>
      <c r="P64" s="12">
        <v>5.5E-2</v>
      </c>
      <c r="Q64" s="5">
        <f t="shared" si="7"/>
        <v>96.340360000000004</v>
      </c>
      <c r="R64" s="13">
        <v>0.02</v>
      </c>
      <c r="S64" s="4"/>
      <c r="T64" s="4"/>
      <c r="U64" s="4"/>
      <c r="V64" s="4"/>
      <c r="W64" s="4"/>
      <c r="X64" s="4"/>
      <c r="Y64" s="4"/>
      <c r="Z64" s="4"/>
    </row>
    <row r="65" spans="1:26" x14ac:dyDescent="0.3">
      <c r="A65" s="2">
        <v>64</v>
      </c>
      <c r="B65" s="3">
        <v>3310</v>
      </c>
      <c r="C65" s="3" t="s">
        <v>83</v>
      </c>
      <c r="D65" s="3">
        <v>135</v>
      </c>
      <c r="E65" s="3"/>
      <c r="F65" s="4" t="s">
        <v>84</v>
      </c>
      <c r="G65" s="4"/>
      <c r="H65" s="3">
        <v>20</v>
      </c>
      <c r="I65" s="3">
        <v>1000</v>
      </c>
      <c r="J65" s="3" t="s">
        <v>54</v>
      </c>
      <c r="K65" s="3" t="s">
        <v>126</v>
      </c>
      <c r="L65" s="4" t="s">
        <v>25</v>
      </c>
      <c r="M65" s="3">
        <v>153</v>
      </c>
      <c r="N65" s="5">
        <f t="shared" si="6"/>
        <v>153.30600000000001</v>
      </c>
      <c r="O65" s="5">
        <v>29</v>
      </c>
      <c r="P65" s="12">
        <v>0.06</v>
      </c>
      <c r="Q65" s="5">
        <f>(N65*P65)+N65+O65</f>
        <v>191.50436000000002</v>
      </c>
      <c r="R65" s="13">
        <v>0.02</v>
      </c>
      <c r="S65" s="4" t="s">
        <v>143</v>
      </c>
      <c r="T65" s="4" t="s">
        <v>146</v>
      </c>
      <c r="U65" s="4" t="s">
        <v>153</v>
      </c>
      <c r="V65" s="4" t="s">
        <v>156</v>
      </c>
      <c r="W65" s="4"/>
      <c r="X65" s="4"/>
      <c r="Y65" s="4"/>
      <c r="Z65" s="4"/>
    </row>
    <row r="66" spans="1:26" x14ac:dyDescent="0.3">
      <c r="A66" s="2">
        <v>65</v>
      </c>
      <c r="B66" s="3">
        <v>3311</v>
      </c>
      <c r="C66" s="3" t="s">
        <v>85</v>
      </c>
      <c r="D66" s="3">
        <v>270</v>
      </c>
      <c r="E66" s="3"/>
      <c r="F66" s="4" t="s">
        <v>86</v>
      </c>
      <c r="G66" s="4"/>
      <c r="H66" s="3">
        <v>10</v>
      </c>
      <c r="I66" s="3">
        <v>500</v>
      </c>
      <c r="J66" s="3" t="s">
        <v>54</v>
      </c>
      <c r="K66" s="3"/>
      <c r="L66" s="4" t="s">
        <v>25</v>
      </c>
      <c r="M66" s="3">
        <v>297.5</v>
      </c>
      <c r="N66" s="5">
        <f>M66/1000*I66</f>
        <v>148.75</v>
      </c>
      <c r="O66" s="5">
        <v>29</v>
      </c>
      <c r="P66" s="12">
        <v>7.0000000000000007E-2</v>
      </c>
      <c r="Q66" s="5">
        <f>(N66*P66)+N66+O66</f>
        <v>188.16249999999999</v>
      </c>
      <c r="R66" s="13">
        <v>0.02</v>
      </c>
      <c r="S66" s="4"/>
      <c r="T66" s="4"/>
      <c r="U66" s="4"/>
      <c r="V66" s="4"/>
      <c r="W66" s="4"/>
      <c r="X66" s="4"/>
      <c r="Y66" s="4"/>
      <c r="Z66" s="4"/>
    </row>
    <row r="67" spans="1:26" x14ac:dyDescent="0.3">
      <c r="A67" s="2">
        <v>66</v>
      </c>
      <c r="B67" s="3">
        <v>3401</v>
      </c>
      <c r="C67" s="3" t="s">
        <v>87</v>
      </c>
      <c r="D67" s="3">
        <v>90</v>
      </c>
      <c r="E67" s="3"/>
      <c r="F67" s="4" t="s">
        <v>88</v>
      </c>
      <c r="G67" s="4"/>
      <c r="H67" s="3">
        <v>30</v>
      </c>
      <c r="I67" s="3">
        <v>1000</v>
      </c>
      <c r="J67" s="3" t="s">
        <v>45</v>
      </c>
      <c r="K67" s="3"/>
      <c r="L67" s="4" t="s">
        <v>25</v>
      </c>
      <c r="M67" s="3">
        <v>99</v>
      </c>
      <c r="N67" s="5">
        <f>M67/1000*I67*1.002</f>
        <v>99.197999999999993</v>
      </c>
      <c r="O67" s="5">
        <v>16</v>
      </c>
      <c r="P67" s="12">
        <v>5.5E-2</v>
      </c>
      <c r="Q67" s="5">
        <f>N67+O67+(N67*P67)</f>
        <v>120.65388999999999</v>
      </c>
      <c r="R67" s="13">
        <v>0.02</v>
      </c>
      <c r="S67" s="4"/>
      <c r="T67" s="4"/>
      <c r="U67" s="4"/>
      <c r="V67" s="4"/>
      <c r="W67" s="4"/>
      <c r="X67" s="4"/>
      <c r="Y67" s="4"/>
      <c r="Z67" s="4"/>
    </row>
    <row r="68" spans="1:26" x14ac:dyDescent="0.3">
      <c r="A68" s="2">
        <v>67</v>
      </c>
      <c r="B68" s="3">
        <v>3402</v>
      </c>
      <c r="C68" s="3" t="s">
        <v>87</v>
      </c>
      <c r="D68" s="3">
        <v>90</v>
      </c>
      <c r="E68" s="3"/>
      <c r="F68" s="4" t="s">
        <v>88</v>
      </c>
      <c r="G68" s="4"/>
      <c r="H68" s="3">
        <v>30</v>
      </c>
      <c r="I68" s="3">
        <v>2000</v>
      </c>
      <c r="J68" s="3" t="s">
        <v>54</v>
      </c>
      <c r="K68" s="3"/>
      <c r="L68" s="4" t="s">
        <v>25</v>
      </c>
      <c r="M68" s="3">
        <v>87.5</v>
      </c>
      <c r="N68" s="5">
        <f>M68/1000*I68*1.002</f>
        <v>175.35</v>
      </c>
      <c r="O68" s="5">
        <v>29</v>
      </c>
      <c r="P68" s="12">
        <v>5.5E-2</v>
      </c>
      <c r="Q68" s="5">
        <f>(N68*P68)+N68+O68</f>
        <v>213.99424999999999</v>
      </c>
      <c r="R68" s="13">
        <v>0.02</v>
      </c>
      <c r="S68" s="4"/>
      <c r="T68" s="4"/>
      <c r="U68" s="4"/>
      <c r="V68" s="4"/>
      <c r="W68" s="4"/>
      <c r="X68" s="4"/>
      <c r="Y68" s="4"/>
      <c r="Z68" s="4"/>
    </row>
    <row r="69" spans="1:26" x14ac:dyDescent="0.3">
      <c r="A69" s="2">
        <v>68</v>
      </c>
      <c r="B69" s="3">
        <v>4203</v>
      </c>
      <c r="C69" s="3" t="s">
        <v>89</v>
      </c>
      <c r="D69" s="3">
        <v>40</v>
      </c>
      <c r="E69" s="3"/>
      <c r="F69" s="4" t="s">
        <v>90</v>
      </c>
      <c r="G69" s="4"/>
      <c r="H69" s="3">
        <v>75</v>
      </c>
      <c r="I69" s="3">
        <v>2000</v>
      </c>
      <c r="J69" s="3" t="s">
        <v>23</v>
      </c>
      <c r="K69" s="3" t="s">
        <v>138</v>
      </c>
      <c r="L69" s="4" t="s">
        <v>25</v>
      </c>
      <c r="M69" s="3">
        <v>41</v>
      </c>
      <c r="N69" s="5">
        <f>M69/1000*I69</f>
        <v>82</v>
      </c>
      <c r="O69" s="5">
        <v>15</v>
      </c>
      <c r="P69" s="16">
        <v>0.05</v>
      </c>
      <c r="Q69" s="5">
        <f>(N69*P69)+N69+O69</f>
        <v>101.1</v>
      </c>
      <c r="R69" s="13">
        <v>7.4999999999999997E-3</v>
      </c>
      <c r="S69" s="4"/>
      <c r="T69" s="4"/>
      <c r="U69" s="4"/>
      <c r="V69" s="4"/>
      <c r="W69" s="4"/>
      <c r="X69" s="4"/>
      <c r="Y69" s="4"/>
      <c r="Z69" s="4"/>
    </row>
    <row r="70" spans="1:26" x14ac:dyDescent="0.3">
      <c r="A70" s="2">
        <v>69</v>
      </c>
      <c r="B70" s="3">
        <v>4204</v>
      </c>
      <c r="C70" s="3" t="s">
        <v>89</v>
      </c>
      <c r="D70" s="3">
        <v>60</v>
      </c>
      <c r="E70" s="3"/>
      <c r="F70" s="4" t="s">
        <v>91</v>
      </c>
      <c r="G70" s="4"/>
      <c r="H70" s="3">
        <v>50</v>
      </c>
      <c r="I70" s="3">
        <v>2000</v>
      </c>
      <c r="J70" s="3" t="s">
        <v>23</v>
      </c>
      <c r="K70" s="3" t="s">
        <v>24</v>
      </c>
      <c r="L70" s="4" t="s">
        <v>25</v>
      </c>
      <c r="M70" s="3">
        <v>60</v>
      </c>
      <c r="N70" s="5">
        <f>M70/1000*I70</f>
        <v>120</v>
      </c>
      <c r="O70" s="5">
        <v>15</v>
      </c>
      <c r="P70" s="16">
        <v>5.5E-2</v>
      </c>
      <c r="Q70" s="5">
        <f>(N70*P70)+N70+O70</f>
        <v>141.6</v>
      </c>
      <c r="R70" s="13">
        <v>7.4999999999999997E-3</v>
      </c>
      <c r="S70" s="4"/>
      <c r="T70" s="4"/>
      <c r="U70" s="4"/>
      <c r="V70" s="4"/>
      <c r="W70" s="4"/>
      <c r="X70" s="4"/>
      <c r="Y70" s="4"/>
      <c r="Z70" s="4"/>
    </row>
    <row r="71" spans="1:26" x14ac:dyDescent="0.3">
      <c r="A71" s="2">
        <v>70</v>
      </c>
      <c r="B71" s="21">
        <v>4209</v>
      </c>
      <c r="C71" s="3" t="s">
        <v>89</v>
      </c>
      <c r="D71" s="3">
        <v>24</v>
      </c>
      <c r="E71" s="3"/>
      <c r="F71" s="4" t="s">
        <v>92</v>
      </c>
      <c r="G71" s="4"/>
      <c r="H71" s="3">
        <v>120</v>
      </c>
      <c r="I71" s="3">
        <v>5000</v>
      </c>
      <c r="J71" s="3" t="s">
        <v>23</v>
      </c>
      <c r="K71" s="3"/>
      <c r="L71" s="4" t="s">
        <v>25</v>
      </c>
      <c r="M71" s="3">
        <v>25.1</v>
      </c>
      <c r="N71" s="5">
        <f>M71/1000*I71</f>
        <v>125.5</v>
      </c>
      <c r="O71" s="5">
        <v>15</v>
      </c>
      <c r="P71" s="16">
        <v>0.05</v>
      </c>
      <c r="Q71" s="5">
        <f>(N71*P71)+N71+O71</f>
        <v>146.77500000000001</v>
      </c>
      <c r="R71" s="13">
        <v>7.4999999999999997E-3</v>
      </c>
      <c r="S71" s="4"/>
      <c r="T71" s="4"/>
      <c r="U71" s="4"/>
      <c r="V71" s="4"/>
      <c r="W71" s="4"/>
      <c r="X71" s="4"/>
      <c r="Y71" s="4"/>
      <c r="Z71" s="4"/>
    </row>
    <row r="72" spans="1:26" x14ac:dyDescent="0.3">
      <c r="A72" s="2">
        <v>71</v>
      </c>
      <c r="B72" s="21">
        <v>4209</v>
      </c>
      <c r="C72" s="3" t="s">
        <v>125</v>
      </c>
      <c r="D72" s="3">
        <v>24</v>
      </c>
      <c r="E72" s="3"/>
      <c r="F72" s="4"/>
      <c r="G72" s="4"/>
      <c r="H72" s="3"/>
      <c r="I72" s="3">
        <v>5000</v>
      </c>
      <c r="J72" s="3" t="s">
        <v>23</v>
      </c>
      <c r="K72" s="3"/>
      <c r="L72" s="4" t="s">
        <v>25</v>
      </c>
      <c r="M72" s="3">
        <v>24.2</v>
      </c>
      <c r="N72" s="5">
        <f t="shared" ref="N72:N84" si="8">M72/1000*I72*1.002</f>
        <v>121.242</v>
      </c>
      <c r="O72" s="3">
        <v>15</v>
      </c>
      <c r="P72" s="12">
        <v>5.5E-2</v>
      </c>
      <c r="Q72" s="5">
        <f>(N72*P72)+N72+O72</f>
        <v>142.91031000000001</v>
      </c>
      <c r="R72" s="5"/>
      <c r="S72" s="4"/>
      <c r="T72" s="4"/>
      <c r="U72" s="4"/>
      <c r="V72" s="4"/>
      <c r="W72" s="4"/>
      <c r="X72" s="4"/>
      <c r="Y72" s="4"/>
      <c r="Z72" s="4"/>
    </row>
    <row r="73" spans="1:26" x14ac:dyDescent="0.3">
      <c r="A73" s="2">
        <v>72</v>
      </c>
      <c r="B73" s="3">
        <v>5301</v>
      </c>
      <c r="C73" s="3" t="s">
        <v>93</v>
      </c>
      <c r="D73" s="3">
        <v>70</v>
      </c>
      <c r="E73" s="3"/>
      <c r="F73" s="4" t="s">
        <v>94</v>
      </c>
      <c r="G73" s="4"/>
      <c r="H73" s="3">
        <v>40</v>
      </c>
      <c r="I73" s="3">
        <v>1500</v>
      </c>
      <c r="J73" s="3" t="s">
        <v>45</v>
      </c>
      <c r="K73" s="3" t="s">
        <v>135</v>
      </c>
      <c r="L73" s="4" t="s">
        <v>25</v>
      </c>
      <c r="M73" s="3">
        <v>78</v>
      </c>
      <c r="N73" s="5">
        <f t="shared" si="8"/>
        <v>117.23399999999999</v>
      </c>
      <c r="O73" s="5">
        <v>16</v>
      </c>
      <c r="P73" s="12">
        <v>6.5000000000000002E-2</v>
      </c>
      <c r="Q73" s="5">
        <f>N73+O73+(N73*P73)</f>
        <v>140.85420999999997</v>
      </c>
      <c r="R73" s="13">
        <v>0.02</v>
      </c>
      <c r="S73" s="4" t="s">
        <v>142</v>
      </c>
      <c r="T73" s="4" t="s">
        <v>146</v>
      </c>
      <c r="U73" s="4" t="s">
        <v>152</v>
      </c>
      <c r="V73" s="4" t="s">
        <v>162</v>
      </c>
      <c r="W73" s="4"/>
      <c r="X73" s="4"/>
      <c r="Y73" s="4"/>
      <c r="Z73" s="4"/>
    </row>
    <row r="74" spans="1:26" x14ac:dyDescent="0.3">
      <c r="A74" s="2">
        <v>73</v>
      </c>
      <c r="B74" s="3">
        <v>5302</v>
      </c>
      <c r="C74" s="3" t="s">
        <v>93</v>
      </c>
      <c r="D74" s="3">
        <v>135</v>
      </c>
      <c r="E74" s="3"/>
      <c r="F74" s="4" t="s">
        <v>95</v>
      </c>
      <c r="G74" s="4"/>
      <c r="H74" s="3">
        <v>20</v>
      </c>
      <c r="I74" s="3">
        <v>1000</v>
      </c>
      <c r="J74" s="3" t="s">
        <v>54</v>
      </c>
      <c r="K74" s="3" t="s">
        <v>137</v>
      </c>
      <c r="L74" s="4" t="s">
        <v>25</v>
      </c>
      <c r="M74" s="3">
        <v>157.5</v>
      </c>
      <c r="N74" s="5">
        <f t="shared" si="8"/>
        <v>157.815</v>
      </c>
      <c r="O74" s="5">
        <v>29</v>
      </c>
      <c r="P74" s="12">
        <v>6.5000000000000002E-2</v>
      </c>
      <c r="Q74" s="5">
        <f t="shared" ref="Q74:Q79" si="9">(N74*P74)+N74+O74</f>
        <v>197.07297499999999</v>
      </c>
      <c r="R74" s="13">
        <v>0.02</v>
      </c>
      <c r="S74" s="4" t="s">
        <v>143</v>
      </c>
      <c r="T74" s="4" t="s">
        <v>146</v>
      </c>
      <c r="U74" s="4" t="s">
        <v>153</v>
      </c>
      <c r="V74" s="4" t="s">
        <v>156</v>
      </c>
      <c r="W74" s="4"/>
      <c r="X74" s="4"/>
      <c r="Y74" s="4"/>
      <c r="Z74" s="4"/>
    </row>
    <row r="75" spans="1:26" x14ac:dyDescent="0.3">
      <c r="A75" s="2">
        <v>74</v>
      </c>
      <c r="B75" s="3">
        <v>5304</v>
      </c>
      <c r="C75" s="3" t="s">
        <v>93</v>
      </c>
      <c r="D75" s="3">
        <v>135</v>
      </c>
      <c r="E75" s="3"/>
      <c r="F75" s="4" t="s">
        <v>95</v>
      </c>
      <c r="G75" s="4"/>
      <c r="H75" s="3">
        <v>20</v>
      </c>
      <c r="I75" s="3">
        <v>1500</v>
      </c>
      <c r="J75" s="3" t="s">
        <v>54</v>
      </c>
      <c r="K75" s="3"/>
      <c r="L75" s="4" t="s">
        <v>25</v>
      </c>
      <c r="M75" s="3">
        <v>157.5</v>
      </c>
      <c r="N75" s="5">
        <f t="shared" si="8"/>
        <v>236.7225</v>
      </c>
      <c r="O75" s="5">
        <v>29</v>
      </c>
      <c r="P75" s="12">
        <v>6.5000000000000002E-2</v>
      </c>
      <c r="Q75" s="5">
        <f t="shared" si="9"/>
        <v>281.10946250000001</v>
      </c>
      <c r="R75" s="13">
        <v>0.02</v>
      </c>
      <c r="S75" s="4"/>
      <c r="T75" s="4"/>
      <c r="U75" s="4"/>
      <c r="V75" s="4"/>
      <c r="W75" s="4"/>
      <c r="X75" s="4"/>
      <c r="Y75" s="4"/>
      <c r="Z75" s="4"/>
    </row>
    <row r="76" spans="1:26" x14ac:dyDescent="0.3">
      <c r="A76" s="2">
        <v>75</v>
      </c>
      <c r="B76" s="3">
        <v>5304</v>
      </c>
      <c r="C76" s="3" t="s">
        <v>123</v>
      </c>
      <c r="D76" s="3">
        <v>135</v>
      </c>
      <c r="E76" s="3"/>
      <c r="F76" s="4" t="s">
        <v>95</v>
      </c>
      <c r="G76" s="4"/>
      <c r="H76" s="3"/>
      <c r="I76" s="3">
        <v>1500</v>
      </c>
      <c r="J76" s="3" t="s">
        <v>54</v>
      </c>
      <c r="K76" s="3" t="s">
        <v>28</v>
      </c>
      <c r="L76" s="4" t="s">
        <v>25</v>
      </c>
      <c r="M76" s="3">
        <v>157.5</v>
      </c>
      <c r="N76" s="5">
        <f t="shared" si="8"/>
        <v>236.7225</v>
      </c>
      <c r="O76" s="5">
        <v>29</v>
      </c>
      <c r="P76" s="12">
        <v>6.5000000000000002E-2</v>
      </c>
      <c r="Q76" s="5">
        <f t="shared" si="9"/>
        <v>281.10946250000001</v>
      </c>
      <c r="R76" s="5"/>
      <c r="S76" s="4"/>
      <c r="T76" s="4"/>
      <c r="U76" s="4"/>
      <c r="V76" s="4"/>
      <c r="W76" s="4"/>
      <c r="X76" s="4"/>
      <c r="Y76" s="4"/>
      <c r="Z76" s="4"/>
    </row>
    <row r="77" spans="1:26" x14ac:dyDescent="0.3">
      <c r="A77" s="2">
        <v>76</v>
      </c>
      <c r="B77" s="3">
        <v>5306</v>
      </c>
      <c r="C77" s="3" t="s">
        <v>93</v>
      </c>
      <c r="D77" s="3">
        <v>135</v>
      </c>
      <c r="E77" s="3"/>
      <c r="F77" s="4" t="s">
        <v>95</v>
      </c>
      <c r="G77" s="4"/>
      <c r="H77" s="3">
        <v>20</v>
      </c>
      <c r="I77" s="3">
        <v>1500</v>
      </c>
      <c r="J77" s="3" t="s">
        <v>54</v>
      </c>
      <c r="K77" s="3"/>
      <c r="L77" s="4" t="s">
        <v>25</v>
      </c>
      <c r="M77" s="3">
        <v>157.5</v>
      </c>
      <c r="N77" s="5">
        <f t="shared" si="8"/>
        <v>236.7225</v>
      </c>
      <c r="O77" s="5">
        <v>29</v>
      </c>
      <c r="P77" s="12">
        <v>6.5000000000000002E-2</v>
      </c>
      <c r="Q77" s="5">
        <f t="shared" si="9"/>
        <v>281.10946250000001</v>
      </c>
      <c r="R77" s="13">
        <v>0.02</v>
      </c>
      <c r="S77" s="4"/>
      <c r="T77" s="4"/>
      <c r="U77" s="4"/>
      <c r="V77" s="4"/>
      <c r="W77" s="4"/>
      <c r="X77" s="4"/>
      <c r="Y77" s="4"/>
      <c r="Z77" s="4"/>
    </row>
    <row r="78" spans="1:26" x14ac:dyDescent="0.3">
      <c r="A78" s="2">
        <v>77</v>
      </c>
      <c r="B78" s="3">
        <v>5306</v>
      </c>
      <c r="C78" s="3" t="s">
        <v>119</v>
      </c>
      <c r="D78" s="3">
        <v>135</v>
      </c>
      <c r="E78" s="3"/>
      <c r="F78" s="4" t="s">
        <v>95</v>
      </c>
      <c r="G78" s="4"/>
      <c r="H78" s="3"/>
      <c r="I78" s="3">
        <v>1500</v>
      </c>
      <c r="J78" s="3" t="s">
        <v>54</v>
      </c>
      <c r="K78" s="3" t="s">
        <v>28</v>
      </c>
      <c r="L78" s="4" t="s">
        <v>25</v>
      </c>
      <c r="M78" s="3">
        <v>157.5</v>
      </c>
      <c r="N78" s="5">
        <f t="shared" si="8"/>
        <v>236.7225</v>
      </c>
      <c r="O78" s="5">
        <v>29</v>
      </c>
      <c r="P78" s="12">
        <v>6.5000000000000002E-2</v>
      </c>
      <c r="Q78" s="5">
        <f t="shared" si="9"/>
        <v>281.10946250000001</v>
      </c>
      <c r="R78" s="5"/>
      <c r="S78" s="4"/>
      <c r="T78" s="4"/>
      <c r="U78" s="4"/>
      <c r="V78" s="4"/>
      <c r="W78" s="4"/>
      <c r="X78" s="4"/>
      <c r="Y78" s="4"/>
      <c r="Z78" s="4"/>
    </row>
    <row r="79" spans="1:26" x14ac:dyDescent="0.3">
      <c r="A79" s="2">
        <v>78</v>
      </c>
      <c r="B79" s="3">
        <v>5307</v>
      </c>
      <c r="C79" s="3" t="s">
        <v>93</v>
      </c>
      <c r="D79" s="3">
        <v>70</v>
      </c>
      <c r="E79" s="3"/>
      <c r="F79" s="4" t="s">
        <v>94</v>
      </c>
      <c r="G79" s="4"/>
      <c r="H79" s="3">
        <v>40</v>
      </c>
      <c r="I79" s="3">
        <v>3000</v>
      </c>
      <c r="J79" s="3" t="s">
        <v>54</v>
      </c>
      <c r="K79" s="3"/>
      <c r="L79" s="4" t="s">
        <v>25</v>
      </c>
      <c r="M79" s="3">
        <v>78</v>
      </c>
      <c r="N79" s="5">
        <f t="shared" si="8"/>
        <v>234.46799999999999</v>
      </c>
      <c r="O79" s="5">
        <v>29</v>
      </c>
      <c r="P79" s="12">
        <v>6.5000000000000002E-2</v>
      </c>
      <c r="Q79" s="5">
        <f t="shared" si="9"/>
        <v>278.70841999999999</v>
      </c>
      <c r="R79" s="13">
        <v>0.02</v>
      </c>
      <c r="S79" s="4" t="s">
        <v>143</v>
      </c>
      <c r="T79" s="4" t="s">
        <v>146</v>
      </c>
      <c r="U79" s="4" t="s">
        <v>153</v>
      </c>
      <c r="V79" s="4" t="s">
        <v>156</v>
      </c>
      <c r="W79" s="4"/>
      <c r="X79" s="4"/>
      <c r="Y79" s="4"/>
      <c r="Z79" s="4"/>
    </row>
    <row r="80" spans="1:26" x14ac:dyDescent="0.3">
      <c r="A80" s="2">
        <v>79</v>
      </c>
      <c r="B80" s="3">
        <v>6301</v>
      </c>
      <c r="C80" s="3" t="s">
        <v>96</v>
      </c>
      <c r="D80" s="3">
        <v>70</v>
      </c>
      <c r="E80" s="3"/>
      <c r="F80" s="4" t="s">
        <v>97</v>
      </c>
      <c r="G80" s="4"/>
      <c r="H80" s="3">
        <v>40</v>
      </c>
      <c r="I80" s="3">
        <v>1500</v>
      </c>
      <c r="J80" s="3" t="s">
        <v>45</v>
      </c>
      <c r="K80" s="3" t="s">
        <v>24</v>
      </c>
      <c r="L80" s="4" t="s">
        <v>25</v>
      </c>
      <c r="M80" s="3">
        <v>78</v>
      </c>
      <c r="N80" s="5">
        <f t="shared" si="8"/>
        <v>117.23399999999999</v>
      </c>
      <c r="O80" s="5">
        <v>16</v>
      </c>
      <c r="P80" s="12">
        <v>6.5000000000000002E-2</v>
      </c>
      <c r="Q80" s="5">
        <f>N80+O80+(N80*P80)</f>
        <v>140.85420999999997</v>
      </c>
      <c r="R80" s="13">
        <v>0.02</v>
      </c>
      <c r="S80" s="4"/>
      <c r="T80" s="4"/>
      <c r="U80" s="4"/>
      <c r="V80" s="4"/>
      <c r="W80" s="4"/>
      <c r="X80" s="4"/>
      <c r="Y80" s="4"/>
      <c r="Z80" s="4"/>
    </row>
    <row r="81" spans="1:26" x14ac:dyDescent="0.3">
      <c r="A81" s="2">
        <v>80</v>
      </c>
      <c r="B81" s="3">
        <v>6302</v>
      </c>
      <c r="C81" s="3" t="s">
        <v>96</v>
      </c>
      <c r="D81" s="3">
        <v>135</v>
      </c>
      <c r="E81" s="3"/>
      <c r="F81" s="4" t="s">
        <v>98</v>
      </c>
      <c r="G81" s="4"/>
      <c r="H81" s="3">
        <v>20</v>
      </c>
      <c r="I81" s="3">
        <v>1000</v>
      </c>
      <c r="J81" s="3" t="s">
        <v>54</v>
      </c>
      <c r="K81" s="3" t="s">
        <v>126</v>
      </c>
      <c r="L81" s="4" t="s">
        <v>25</v>
      </c>
      <c r="M81" s="3">
        <v>157.5</v>
      </c>
      <c r="N81" s="5">
        <f t="shared" si="8"/>
        <v>157.815</v>
      </c>
      <c r="O81" s="5">
        <v>29</v>
      </c>
      <c r="P81" s="12">
        <v>6.5000000000000002E-2</v>
      </c>
      <c r="Q81" s="5">
        <f t="shared" ref="Q81:Q86" si="10">(N81*P81)+N81+O81</f>
        <v>197.07297499999999</v>
      </c>
      <c r="R81" s="13">
        <v>0.02</v>
      </c>
      <c r="S81" s="4"/>
      <c r="T81" s="4"/>
      <c r="U81" s="4"/>
      <c r="V81" s="4"/>
      <c r="W81" s="4"/>
      <c r="X81" s="4"/>
      <c r="Y81" s="4"/>
      <c r="Z81" s="4"/>
    </row>
    <row r="82" spans="1:26" x14ac:dyDescent="0.3">
      <c r="A82" s="2">
        <v>81</v>
      </c>
      <c r="B82" s="3">
        <v>6303</v>
      </c>
      <c r="C82" s="3" t="s">
        <v>99</v>
      </c>
      <c r="D82" s="3">
        <v>270</v>
      </c>
      <c r="E82" s="3"/>
      <c r="F82" s="4" t="s">
        <v>100</v>
      </c>
      <c r="G82" s="4"/>
      <c r="H82" s="3">
        <v>10</v>
      </c>
      <c r="I82" s="3">
        <v>500</v>
      </c>
      <c r="J82" s="3" t="s">
        <v>43</v>
      </c>
      <c r="K82" s="3"/>
      <c r="L82" s="4" t="s">
        <v>25</v>
      </c>
      <c r="M82" s="3">
        <v>317</v>
      </c>
      <c r="N82" s="5">
        <f t="shared" si="8"/>
        <v>158.81700000000001</v>
      </c>
      <c r="O82" s="5">
        <v>30</v>
      </c>
      <c r="P82" s="12">
        <v>7.0000000000000007E-2</v>
      </c>
      <c r="Q82" s="5">
        <f t="shared" si="10"/>
        <v>199.93419</v>
      </c>
      <c r="R82" s="13">
        <v>0.02</v>
      </c>
      <c r="S82" s="4"/>
      <c r="T82" s="4"/>
      <c r="U82" s="4"/>
      <c r="V82" s="4"/>
      <c r="W82" s="4"/>
      <c r="X82" s="4"/>
      <c r="Y82" s="4"/>
      <c r="Z82" s="4"/>
    </row>
    <row r="83" spans="1:26" x14ac:dyDescent="0.3">
      <c r="A83" s="2">
        <v>82</v>
      </c>
      <c r="B83" s="3">
        <v>7102</v>
      </c>
      <c r="C83" s="3" t="s">
        <v>101</v>
      </c>
      <c r="D83" s="3">
        <v>17</v>
      </c>
      <c r="E83" s="3"/>
      <c r="F83" s="4" t="s">
        <v>102</v>
      </c>
      <c r="G83" s="4"/>
      <c r="H83" s="3">
        <v>160</v>
      </c>
      <c r="I83" s="3">
        <v>5000</v>
      </c>
      <c r="J83" s="3" t="s">
        <v>23</v>
      </c>
      <c r="K83" s="3"/>
      <c r="L83" s="4" t="s">
        <v>25</v>
      </c>
      <c r="M83" s="3">
        <v>18</v>
      </c>
      <c r="N83" s="5">
        <f t="shared" si="8"/>
        <v>90.18</v>
      </c>
      <c r="O83" s="5">
        <v>15</v>
      </c>
      <c r="P83" s="12">
        <v>0.02</v>
      </c>
      <c r="Q83" s="5">
        <f t="shared" si="10"/>
        <v>106.98360000000001</v>
      </c>
      <c r="R83" s="13">
        <v>7.4999999999999997E-3</v>
      </c>
      <c r="S83" s="4"/>
      <c r="T83" s="4"/>
      <c r="U83" s="4"/>
      <c r="V83" s="4"/>
      <c r="W83" s="4"/>
      <c r="X83" s="4"/>
      <c r="Y83" s="4"/>
      <c r="Z83" s="4"/>
    </row>
    <row r="84" spans="1:26" x14ac:dyDescent="0.3">
      <c r="A84" s="2">
        <v>83</v>
      </c>
      <c r="B84" s="3">
        <v>7103</v>
      </c>
      <c r="C84" s="3" t="s">
        <v>103</v>
      </c>
      <c r="D84" s="3">
        <v>35</v>
      </c>
      <c r="E84" s="3"/>
      <c r="F84" s="4" t="s">
        <v>104</v>
      </c>
      <c r="G84" s="4"/>
      <c r="H84" s="3">
        <v>80</v>
      </c>
      <c r="I84" s="3">
        <v>5000</v>
      </c>
      <c r="J84" s="3" t="s">
        <v>23</v>
      </c>
      <c r="K84" s="3"/>
      <c r="L84" s="4" t="s">
        <v>25</v>
      </c>
      <c r="M84" s="3">
        <v>36</v>
      </c>
      <c r="N84" s="5">
        <f t="shared" si="8"/>
        <v>180.36</v>
      </c>
      <c r="O84" s="5">
        <v>15</v>
      </c>
      <c r="P84" s="12">
        <v>0.02</v>
      </c>
      <c r="Q84" s="5">
        <f t="shared" si="10"/>
        <v>198.96720000000002</v>
      </c>
      <c r="R84" s="13">
        <v>7.4999999999999997E-3</v>
      </c>
      <c r="S84" s="4"/>
      <c r="T84" s="4"/>
      <c r="U84" s="4"/>
      <c r="V84" s="4"/>
      <c r="W84" s="4"/>
      <c r="X84" s="4"/>
      <c r="Y84" s="4"/>
      <c r="Z84" s="4"/>
    </row>
    <row r="85" spans="1:26" x14ac:dyDescent="0.3">
      <c r="A85" s="2">
        <v>84</v>
      </c>
      <c r="B85" s="3">
        <v>7104</v>
      </c>
      <c r="C85" s="3" t="s">
        <v>105</v>
      </c>
      <c r="D85" s="3">
        <v>35</v>
      </c>
      <c r="E85" s="3"/>
      <c r="F85" s="4" t="s">
        <v>104</v>
      </c>
      <c r="G85" s="4"/>
      <c r="H85" s="3">
        <v>80</v>
      </c>
      <c r="I85" s="3">
        <v>950</v>
      </c>
      <c r="J85" s="3" t="s">
        <v>46</v>
      </c>
      <c r="K85" s="3"/>
      <c r="L85" s="4" t="s">
        <v>29</v>
      </c>
      <c r="M85" s="3">
        <v>36</v>
      </c>
      <c r="N85" s="5">
        <v>870</v>
      </c>
      <c r="O85" s="5">
        <v>65</v>
      </c>
      <c r="P85" s="12">
        <v>0.02</v>
      </c>
      <c r="Q85" s="5">
        <f t="shared" si="10"/>
        <v>952.4</v>
      </c>
      <c r="R85" s="13">
        <v>7.4999999999999997E-3</v>
      </c>
      <c r="S85" s="4"/>
      <c r="T85" s="4"/>
      <c r="U85" s="4"/>
      <c r="V85" s="4"/>
      <c r="W85" s="4"/>
      <c r="X85" s="4"/>
      <c r="Y85" s="4"/>
      <c r="Z85" s="4"/>
    </row>
    <row r="86" spans="1:26" x14ac:dyDescent="0.3">
      <c r="A86" s="2">
        <v>85</v>
      </c>
      <c r="B86" s="3">
        <v>7201</v>
      </c>
      <c r="C86" s="3" t="s">
        <v>106</v>
      </c>
      <c r="D86" s="3">
        <v>18</v>
      </c>
      <c r="E86" s="3"/>
      <c r="F86" s="4" t="s">
        <v>107</v>
      </c>
      <c r="G86" s="4"/>
      <c r="H86" s="3">
        <v>150</v>
      </c>
      <c r="I86" s="3">
        <v>10000</v>
      </c>
      <c r="J86" s="3" t="s">
        <v>23</v>
      </c>
      <c r="K86" s="3"/>
      <c r="L86" s="4" t="s">
        <v>25</v>
      </c>
      <c r="M86" s="3">
        <v>18</v>
      </c>
      <c r="N86" s="5">
        <f>M86/1000*I86*1.002</f>
        <v>180.36</v>
      </c>
      <c r="O86" s="5">
        <v>15</v>
      </c>
      <c r="P86" s="12">
        <v>0.04</v>
      </c>
      <c r="Q86" s="5">
        <f t="shared" si="10"/>
        <v>202.57440000000003</v>
      </c>
      <c r="R86" s="13">
        <v>7.4999999999999997E-3</v>
      </c>
      <c r="S86" s="4"/>
      <c r="T86" s="4"/>
      <c r="U86" s="4"/>
      <c r="V86" s="4"/>
      <c r="W86" s="4"/>
      <c r="X86" s="4"/>
      <c r="Y86" s="4"/>
      <c r="Z86" s="4"/>
    </row>
  </sheetData>
  <autoFilter ref="A1:Z86" xr:uid="{00000000-0009-0000-0000-000000000000}">
    <sortState xmlns:xlrd2="http://schemas.microsoft.com/office/spreadsheetml/2017/richdata2" ref="A2:AB81">
      <sortCondition ref="B1:B8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ArticleMaster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Amit Kumar Mandal</cp:lastModifiedBy>
  <dcterms:created xsi:type="dcterms:W3CDTF">2026-06-05T12:08:03Z</dcterms:created>
  <dcterms:modified xsi:type="dcterms:W3CDTF">2026-08-10T04:15:10Z</dcterms:modified>
</cp:coreProperties>
</file>