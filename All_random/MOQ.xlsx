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All_random\"/>
    </mc:Choice>
  </mc:AlternateContent>
  <bookViews>
    <workbookView xWindow="-105" yWindow="-105" windowWidth="23250" windowHeight="12450"/>
  </bookViews>
  <sheets>
    <sheet name="combined dry weight (2)" sheetId="1" r:id="rId1"/>
    <sheet name="Sheet1" sheetId="2" r:id="rId2"/>
  </sheets>
  <definedNames>
    <definedName name="_xlnm._FilterDatabase" localSheetId="0" hidden="1">'combined dry weight (2)'!$A$2:$AA$94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1" l="1"/>
  <c r="J87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J3" i="1"/>
  <c r="I13" i="1" l="1"/>
  <c r="I7" i="1"/>
  <c r="I6" i="1"/>
</calcChain>
</file>

<file path=xl/sharedStrings.xml><?xml version="1.0" encoding="utf-8"?>
<sst xmlns="http://schemas.openxmlformats.org/spreadsheetml/2006/main" count="294" uniqueCount="125">
  <si>
    <t>Sr</t>
  </si>
  <si>
    <t>Article No.</t>
  </si>
  <si>
    <t>Brand</t>
  </si>
  <si>
    <t>Nominal Tex Size</t>
  </si>
  <si>
    <t>Item Mapped</t>
  </si>
  <si>
    <t>Dry weight(gram)</t>
  </si>
  <si>
    <t>ROXX GOLD</t>
  </si>
  <si>
    <t>2/60 SPUN POLYESTER YARN</t>
  </si>
  <si>
    <t>ROXX STAR</t>
  </si>
  <si>
    <t>ROXX 50</t>
  </si>
  <si>
    <t>2/22 SPUN POLYESTER YARN</t>
  </si>
  <si>
    <t>ROXX POLY</t>
  </si>
  <si>
    <t>ROXX GOLD JR.</t>
  </si>
  <si>
    <t>ROXX GOLD-KIRAN</t>
  </si>
  <si>
    <t>ROXX GOLD-Zigma</t>
  </si>
  <si>
    <t>2/50 SPUN POLYESTER YARN</t>
  </si>
  <si>
    <t>ROXX 30</t>
  </si>
  <si>
    <t>3/20 SPUN POLYESTER YARN</t>
  </si>
  <si>
    <t>ROXX DIAMOND</t>
  </si>
  <si>
    <t>ROXX EURO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</si>
  <si>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</si>
  <si>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</si>
  <si>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</si>
  <si>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</si>
  <si>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</si>
  <si>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</si>
  <si>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</si>
  <si>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</si>
  <si>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</si>
  <si>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</si>
  <si>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ROXX CORE POLY 80</t>
  </si>
  <si>
    <t>COMFO TEX 150</t>
  </si>
  <si>
    <t>COMFO TEX 80</t>
  </si>
  <si>
    <t>ROXX SILKY 150</t>
  </si>
  <si>
    <t>ROXX SILKY 120</t>
  </si>
  <si>
    <t>COMFO PLUS 60</t>
  </si>
  <si>
    <t>COMFO 60</t>
  </si>
  <si>
    <t>COMFO PLUS 80</t>
  </si>
  <si>
    <t>COMFO PRIDE</t>
  </si>
  <si>
    <t>COMFO 80</t>
  </si>
  <si>
    <t>COMFO 60 (selvedge)</t>
  </si>
  <si>
    <t>COMFO PLUS 40</t>
  </si>
  <si>
    <t>COMFO PREMIUM</t>
  </si>
  <si>
    <t>COMFO COOL</t>
  </si>
  <si>
    <t>COMFO STAR</t>
  </si>
  <si>
    <t>COMFO PLUS</t>
  </si>
  <si>
    <t>COMFO 30</t>
  </si>
  <si>
    <t>COMFO PLUS 20</t>
  </si>
  <si>
    <t>COMFO 20</t>
  </si>
  <si>
    <t>COMFO 40</t>
  </si>
  <si>
    <t>COMFO 10</t>
  </si>
  <si>
    <t>COMFO 15</t>
  </si>
  <si>
    <t>COMFO 8</t>
  </si>
  <si>
    <t>TUFF 60</t>
  </si>
  <si>
    <t>TUFF PREMIUM 60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</si>
  <si>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</si>
  <si>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</si>
  <si>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</si>
  <si>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</si>
  <si>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</si>
  <si>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</si>
  <si>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</si>
  <si>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</si>
  <si>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</si>
  <si>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</si>
  <si>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</si>
  <si>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</si>
  <si>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</si>
  <si>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</si>
  <si>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</si>
  <si>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</si>
  <si>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</si>
  <si>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</si>
  <si>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</si>
  <si>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</si>
  <si>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</si>
  <si>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</si>
  <si>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</si>
  <si>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</si>
  <si>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</si>
  <si>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</si>
  <si>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</si>
  <si>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</si>
  <si>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</si>
  <si>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</si>
  <si>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</si>
  <si>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</si>
  <si>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</si>
  <si>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</si>
  <si>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</si>
  <si>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</si>
  <si>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</si>
  <si>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</si>
  <si>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</si>
  <si>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</si>
  <si>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</si>
  <si>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 xml:space="preserve">HI-TENACITY NYLON 6 YARN </t>
  </si>
  <si>
    <t>Substrate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</si>
  <si>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</si>
  <si>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</si>
  <si>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</si>
  <si>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</si>
  <si>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</si>
  <si>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</si>
  <si>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HI-TENACITY NYLON 66 YARN</t>
  </si>
  <si>
    <t>150/2 ROTO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</si>
  <si>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</si>
  <si>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</si>
  <si>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</si>
  <si>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</si>
  <si>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</si>
  <si>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</si>
  <si>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</si>
  <si>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</si>
  <si>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</si>
  <si>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M 11-12</t>
  </si>
  <si>
    <t>M 19-20</t>
  </si>
  <si>
    <t>M 21-22</t>
  </si>
  <si>
    <t>M 23-24</t>
  </si>
  <si>
    <t>M 25</t>
  </si>
  <si>
    <t>M 26</t>
  </si>
  <si>
    <t>4 m/cs</t>
  </si>
  <si>
    <t>2 m/cs</t>
  </si>
  <si>
    <t>Waste %</t>
  </si>
  <si>
    <t>Dyeing Pkg wt.(KG)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</si>
</sst>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1" fillId="0" borderId="1" xfId="1" applyFont="1" applyBorder="1" applyAlignment="1">
      <alignment horizontal="left"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" fontId="5" fillId="4" borderId="2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0" borderId="0" xfId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4"/>
  <sheetViews>
    <sheetView tabSelected="1"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H17" sqref="H17"/>
    </sheetView>
  </sheetViews>
  <sheetFormatPr defaultColWidth="9.140625" defaultRowHeight="15.75" x14ac:dyDescent="0.25"/>
  <cols>
    <col min="1" max="1" width="9.140625" style="17"/>
    <col min="2" max="2" width="10.7109375" style="18" bestFit="1" customWidth="1"/>
    <col min="3" max="3" width="22.7109375" style="18" customWidth="1"/>
    <col min="4" max="4" width="9.140625" style="18"/>
    <col min="5" max="5" width="58.28515625" style="5" customWidth="1"/>
    <col min="6" max="6" width="40.140625" style="5" bestFit="1" customWidth="1"/>
    <col min="7" max="7" width="9.140625" style="5" bestFit="1" customWidth="1"/>
    <col min="8" max="8" width="18.7109375" style="5" bestFit="1" customWidth="1"/>
    <col min="9" max="9" width="17.42578125" style="5" bestFit="1" customWidth="1"/>
    <col min="10" max="16384" width="9.140625" style="5"/>
  </cols>
  <sheetData>
    <row r="1" spans="1:27" ht="16.5" thickBot="1" x14ac:dyDescent="0.3">
      <c r="J1" s="31" t="s">
        <v>115</v>
      </c>
      <c r="K1" s="30"/>
      <c r="L1" s="29" t="s">
        <v>116</v>
      </c>
      <c r="M1" s="32"/>
      <c r="N1" s="33" t="s">
        <v>117</v>
      </c>
      <c r="O1" s="30"/>
      <c r="P1" s="29" t="s">
        <v>118</v>
      </c>
      <c r="Q1" s="32"/>
      <c r="R1" s="34" t="s">
        <v>119</v>
      </c>
      <c r="S1" s="30"/>
      <c r="T1" s="29" t="s">
        <v>120</v>
      </c>
      <c r="U1" s="30"/>
      <c r="V1" s="29" t="s">
        <v>121</v>
      </c>
      <c r="W1" s="30"/>
      <c r="X1" s="29" t="s">
        <v>122</v>
      </c>
      <c r="Y1" s="30"/>
      <c r="Z1" s="29" t="s">
        <v>122</v>
      </c>
      <c r="AA1" s="30"/>
    </row>
    <row r="2" spans="1:27" ht="45" customHeight="1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3" t="s">
        <v>97</v>
      </c>
      <c r="G2" s="35" t="s">
        <v>123</v>
      </c>
      <c r="H2" s="5" t="s">
        <v>124</v>
      </c>
      <c r="I2" s="2" t="s">
        <v>5</v>
      </c>
      <c r="J2" s="24">
        <v>1</v>
      </c>
      <c r="K2" s="25">
        <v>2</v>
      </c>
      <c r="L2" s="26">
        <v>3</v>
      </c>
      <c r="M2" s="28">
        <v>5</v>
      </c>
      <c r="N2" s="24">
        <v>10</v>
      </c>
      <c r="O2" s="25">
        <v>15</v>
      </c>
      <c r="P2" s="26">
        <v>15</v>
      </c>
      <c r="Q2" s="28">
        <v>20</v>
      </c>
      <c r="R2" s="27">
        <v>25</v>
      </c>
      <c r="S2" s="25">
        <v>30</v>
      </c>
      <c r="T2" s="26">
        <v>40</v>
      </c>
      <c r="U2" s="25">
        <v>48</v>
      </c>
      <c r="V2" s="26">
        <v>3</v>
      </c>
      <c r="W2" s="25">
        <v>5</v>
      </c>
      <c r="X2" s="26">
        <v>10</v>
      </c>
      <c r="Y2" s="25">
        <v>15</v>
      </c>
      <c r="Z2" s="26">
        <v>15</v>
      </c>
      <c r="AA2" s="25">
        <v>20</v>
      </c>
    </row>
    <row r="3" spans="1:27" x14ac:dyDescent="0.25">
      <c r="A3" s="6">
        <v>1</v>
      </c>
      <c r="B3" s="7">
        <v>1201</v>
      </c>
      <c r="C3" s="7" t="s">
        <v>6</v>
      </c>
      <c r="D3" s="7">
        <v>20</v>
      </c>
      <c r="E3" s="8" t="s">
        <v>7</v>
      </c>
      <c r="F3" s="5" t="s">
        <v>98</v>
      </c>
      <c r="G3" s="5">
        <v>1.01</v>
      </c>
      <c r="H3" s="5">
        <v>1.4</v>
      </c>
      <c r="I3" s="9">
        <v>202</v>
      </c>
      <c r="J3" s="5">
        <f>$H3*1000/$I3*J$2*(100-$G3)/100</f>
        <v>6.8606930693069303</v>
      </c>
      <c r="K3" s="5">
        <f t="shared" ref="K3:AA17" si="0">$H3*1000/$I3*K$2*(100-$G3)/100</f>
        <v>13.721386138613861</v>
      </c>
      <c r="L3" s="5">
        <f t="shared" si="0"/>
        <v>20.582079207920792</v>
      </c>
      <c r="M3" s="5">
        <f t="shared" si="0"/>
        <v>34.303465346534651</v>
      </c>
      <c r="N3" s="5">
        <f t="shared" si="0"/>
        <v>68.606930693069302</v>
      </c>
      <c r="O3" s="5">
        <f t="shared" si="0"/>
        <v>102.91039603960397</v>
      </c>
      <c r="P3" s="5">
        <f t="shared" si="0"/>
        <v>102.91039603960397</v>
      </c>
      <c r="Q3" s="5">
        <f t="shared" si="0"/>
        <v>137.2138613861386</v>
      </c>
      <c r="R3" s="5">
        <f t="shared" si="0"/>
        <v>171.51732673267324</v>
      </c>
      <c r="S3" s="5">
        <f t="shared" si="0"/>
        <v>205.82079207920793</v>
      </c>
      <c r="T3" s="5">
        <f t="shared" si="0"/>
        <v>274.42772277227721</v>
      </c>
      <c r="U3" s="5">
        <f t="shared" si="0"/>
        <v>329.31326732673267</v>
      </c>
      <c r="V3" s="5">
        <f t="shared" si="0"/>
        <v>20.582079207920792</v>
      </c>
      <c r="W3" s="5">
        <f t="shared" si="0"/>
        <v>34.303465346534651</v>
      </c>
      <c r="X3" s="5">
        <f t="shared" si="0"/>
        <v>68.606930693069302</v>
      </c>
      <c r="Y3" s="5">
        <f t="shared" si="0"/>
        <v>102.91039603960397</v>
      </c>
      <c r="Z3" s="5">
        <f t="shared" si="0"/>
        <v>102.91039603960397</v>
      </c>
      <c r="AA3" s="5">
        <f t="shared" si="0"/>
        <v>137.2138613861386</v>
      </c>
    </row>
    <row r="4" spans="1:27" x14ac:dyDescent="0.25">
      <c r="A4" s="6">
        <v>2</v>
      </c>
      <c r="B4" s="7">
        <v>1202</v>
      </c>
      <c r="C4" s="7" t="s">
        <v>8</v>
      </c>
      <c r="D4" s="7">
        <v>20</v>
      </c>
      <c r="E4" s="21" t="s">
        <v>69</v>
      </c>
      <c r="F4" s="5" t="s">
        <v>98</v>
      </c>
      <c r="G4" s="5">
        <v>1.01</v>
      </c>
      <c r="H4" s="5">
        <v>1.4</v>
      </c>
      <c r="I4" s="9">
        <v>192</v>
      </c>
      <c r="J4" s="5">
        <f>$H4*1000/$I4*J$2*(100-$G4)/100</f>
        <v>7.218020833333334</v>
      </c>
      <c r="K4" s="5">
        <f t="shared" si="0"/>
        <v>14.436041666666668</v>
      </c>
      <c r="L4" s="5">
        <f t="shared" si="0"/>
        <v>21.654062499999998</v>
      </c>
      <c r="M4" s="5">
        <f t="shared" si="0"/>
        <v>36.090104166666663</v>
      </c>
      <c r="N4" s="5">
        <f t="shared" si="0"/>
        <v>72.180208333333326</v>
      </c>
      <c r="O4" s="5">
        <f t="shared" si="0"/>
        <v>108.2703125</v>
      </c>
      <c r="P4" s="5">
        <f t="shared" si="0"/>
        <v>108.2703125</v>
      </c>
      <c r="Q4" s="5">
        <f t="shared" si="0"/>
        <v>144.36041666666665</v>
      </c>
      <c r="R4" s="5">
        <f t="shared" si="0"/>
        <v>180.45052083333337</v>
      </c>
      <c r="S4" s="5">
        <f t="shared" si="0"/>
        <v>216.54062500000001</v>
      </c>
      <c r="T4" s="5">
        <f t="shared" si="0"/>
        <v>288.7208333333333</v>
      </c>
      <c r="U4" s="5">
        <f t="shared" si="0"/>
        <v>346.46499999999997</v>
      </c>
      <c r="V4" s="5">
        <f t="shared" si="0"/>
        <v>21.654062499999998</v>
      </c>
      <c r="W4" s="5">
        <f t="shared" si="0"/>
        <v>36.090104166666663</v>
      </c>
      <c r="X4" s="5">
        <f t="shared" si="0"/>
        <v>72.180208333333326</v>
      </c>
      <c r="Y4" s="5">
        <f t="shared" si="0"/>
        <v>108.2703125</v>
      </c>
      <c r="Z4" s="5">
        <f t="shared" si="0"/>
        <v>108.2703125</v>
      </c>
      <c r="AA4" s="5">
        <f t="shared" si="0"/>
        <v>144.36041666666665</v>
      </c>
    </row>
    <row r="5" spans="1:27" x14ac:dyDescent="0.25">
      <c r="A5" s="6">
        <v>3</v>
      </c>
      <c r="B5" s="7">
        <v>1203</v>
      </c>
      <c r="C5" s="7" t="s">
        <v>9</v>
      </c>
      <c r="D5" s="7">
        <v>60</v>
      </c>
      <c r="E5" s="8" t="s">
        <v>10</v>
      </c>
      <c r="F5" s="5" t="s">
        <v>98</v>
      </c>
      <c r="G5" s="5">
        <v>1.01</v>
      </c>
      <c r="H5" s="5">
        <v>1.4</v>
      </c>
      <c r="I5" s="9">
        <v>120.24</v>
      </c>
      <c r="J5" s="5">
        <f t="shared" ref="J4:Y35" si="1">$H5*1000/$I5*J$2*(100-$G5)/100</f>
        <v>11.525781769793745</v>
      </c>
      <c r="K5" s="5">
        <f t="shared" si="0"/>
        <v>23.051563539587491</v>
      </c>
      <c r="L5" s="5">
        <f t="shared" si="0"/>
        <v>34.577345309381236</v>
      </c>
      <c r="M5" s="5">
        <f t="shared" si="0"/>
        <v>57.628908848968734</v>
      </c>
      <c r="N5" s="5">
        <f t="shared" si="0"/>
        <v>115.25781769793747</v>
      </c>
      <c r="O5" s="5">
        <f t="shared" si="0"/>
        <v>172.88672654690617</v>
      </c>
      <c r="P5" s="5">
        <f t="shared" si="0"/>
        <v>172.88672654690617</v>
      </c>
      <c r="Q5" s="5">
        <f t="shared" si="0"/>
        <v>230.51563539587494</v>
      </c>
      <c r="R5" s="5">
        <f t="shared" si="0"/>
        <v>288.1445442448437</v>
      </c>
      <c r="S5" s="5">
        <f t="shared" si="0"/>
        <v>345.77345309381235</v>
      </c>
      <c r="T5" s="5">
        <f t="shared" si="0"/>
        <v>461.03127079174988</v>
      </c>
      <c r="U5" s="5">
        <f t="shared" si="0"/>
        <v>553.23752495009978</v>
      </c>
      <c r="V5" s="5">
        <f t="shared" si="0"/>
        <v>34.577345309381236</v>
      </c>
      <c r="W5" s="5">
        <f t="shared" si="0"/>
        <v>57.628908848968734</v>
      </c>
      <c r="X5" s="5">
        <f t="shared" si="0"/>
        <v>115.25781769793747</v>
      </c>
      <c r="Y5" s="5">
        <f t="shared" si="0"/>
        <v>172.88672654690617</v>
      </c>
      <c r="Z5" s="5">
        <f t="shared" si="0"/>
        <v>172.88672654690617</v>
      </c>
      <c r="AA5" s="5">
        <f t="shared" si="0"/>
        <v>230.51563539587494</v>
      </c>
    </row>
    <row r="6" spans="1:27" x14ac:dyDescent="0.25">
      <c r="A6" s="6">
        <v>4</v>
      </c>
      <c r="B6" s="7">
        <v>1206</v>
      </c>
      <c r="C6" s="7" t="s">
        <v>11</v>
      </c>
      <c r="D6" s="7">
        <v>20</v>
      </c>
      <c r="E6" s="8" t="s">
        <v>69</v>
      </c>
      <c r="F6" s="5" t="s">
        <v>98</v>
      </c>
      <c r="G6" s="5">
        <v>1.01</v>
      </c>
      <c r="H6" s="5">
        <v>1.4</v>
      </c>
      <c r="I6" s="9">
        <f>3.78*20</f>
        <v>75.599999999999994</v>
      </c>
      <c r="J6" s="5">
        <f t="shared" si="1"/>
        <v>18.331481481481479</v>
      </c>
      <c r="K6" s="5">
        <f t="shared" si="0"/>
        <v>36.662962962962958</v>
      </c>
      <c r="L6" s="5">
        <f t="shared" si="0"/>
        <v>54.99444444444444</v>
      </c>
      <c r="M6" s="5">
        <f t="shared" si="0"/>
        <v>91.657407407407405</v>
      </c>
      <c r="N6" s="5">
        <f t="shared" si="0"/>
        <v>183.31481481481481</v>
      </c>
      <c r="O6" s="5">
        <f t="shared" si="0"/>
        <v>274.97222222222217</v>
      </c>
      <c r="P6" s="5">
        <f t="shared" si="0"/>
        <v>274.97222222222217</v>
      </c>
      <c r="Q6" s="5">
        <f t="shared" si="0"/>
        <v>366.62962962962962</v>
      </c>
      <c r="R6" s="5">
        <f t="shared" si="0"/>
        <v>458.28703703703701</v>
      </c>
      <c r="S6" s="5">
        <f t="shared" si="0"/>
        <v>549.94444444444434</v>
      </c>
      <c r="T6" s="5">
        <f t="shared" si="0"/>
        <v>733.25925925925924</v>
      </c>
      <c r="U6" s="5">
        <f t="shared" si="0"/>
        <v>879.91111111111104</v>
      </c>
      <c r="V6" s="5">
        <f t="shared" si="0"/>
        <v>54.99444444444444</v>
      </c>
      <c r="W6" s="5">
        <f t="shared" si="0"/>
        <v>91.657407407407405</v>
      </c>
      <c r="X6" s="5">
        <f t="shared" si="0"/>
        <v>183.31481481481481</v>
      </c>
      <c r="Y6" s="5">
        <f t="shared" si="0"/>
        <v>274.97222222222217</v>
      </c>
      <c r="Z6" s="5">
        <f t="shared" si="0"/>
        <v>274.97222222222217</v>
      </c>
      <c r="AA6" s="5">
        <f t="shared" si="0"/>
        <v>366.62962962962962</v>
      </c>
    </row>
    <row r="7" spans="1:27" x14ac:dyDescent="0.25">
      <c r="A7" s="6">
        <v>5</v>
      </c>
      <c r="B7" s="7">
        <v>1207</v>
      </c>
      <c r="C7" s="7" t="s">
        <v>11</v>
      </c>
      <c r="D7" s="7">
        <v>20</v>
      </c>
      <c r="E7" s="8" t="s">
        <v>69</v>
      </c>
      <c r="F7" s="5" t="s">
        <v>98</v>
      </c>
      <c r="G7" s="5">
        <v>1.01</v>
      </c>
      <c r="H7" s="5">
        <v>1.4</v>
      </c>
      <c r="I7" s="9">
        <f>16.8*10</f>
        <v>168</v>
      </c>
      <c r="J7" s="5">
        <f t="shared" si="1"/>
        <v>8.2491666666666656</v>
      </c>
      <c r="K7" s="5">
        <f t="shared" si="0"/>
        <v>16.498333333333331</v>
      </c>
      <c r="L7" s="5">
        <f t="shared" si="0"/>
        <v>24.747499999999999</v>
      </c>
      <c r="M7" s="5">
        <f t="shared" si="0"/>
        <v>41.245833333333337</v>
      </c>
      <c r="N7" s="5">
        <f t="shared" si="0"/>
        <v>82.491666666666674</v>
      </c>
      <c r="O7" s="5">
        <f t="shared" si="0"/>
        <v>123.7375</v>
      </c>
      <c r="P7" s="5">
        <f t="shared" si="0"/>
        <v>123.7375</v>
      </c>
      <c r="Q7" s="5">
        <f t="shared" si="0"/>
        <v>164.98333333333335</v>
      </c>
      <c r="R7" s="5">
        <f t="shared" si="0"/>
        <v>206.22916666666669</v>
      </c>
      <c r="S7" s="5">
        <f t="shared" si="0"/>
        <v>247.47499999999999</v>
      </c>
      <c r="T7" s="5">
        <f t="shared" si="0"/>
        <v>329.9666666666667</v>
      </c>
      <c r="U7" s="5">
        <f t="shared" si="0"/>
        <v>395.96</v>
      </c>
      <c r="V7" s="5">
        <f t="shared" si="0"/>
        <v>24.747499999999999</v>
      </c>
      <c r="W7" s="5">
        <f t="shared" si="0"/>
        <v>41.245833333333337</v>
      </c>
      <c r="X7" s="5">
        <f t="shared" si="0"/>
        <v>82.491666666666674</v>
      </c>
      <c r="Y7" s="5">
        <f t="shared" si="0"/>
        <v>123.7375</v>
      </c>
      <c r="Z7" s="5">
        <f t="shared" si="0"/>
        <v>123.7375</v>
      </c>
      <c r="AA7" s="5">
        <f t="shared" si="0"/>
        <v>164.98333333333335</v>
      </c>
    </row>
    <row r="8" spans="1:27" x14ac:dyDescent="0.25">
      <c r="A8" s="6">
        <v>6</v>
      </c>
      <c r="B8" s="7">
        <v>1208</v>
      </c>
      <c r="C8" s="7" t="s">
        <v>12</v>
      </c>
      <c r="D8" s="7">
        <v>20</v>
      </c>
      <c r="E8" s="8" t="s">
        <v>7</v>
      </c>
      <c r="F8" s="5" t="s">
        <v>98</v>
      </c>
      <c r="G8" s="5">
        <v>1.01</v>
      </c>
      <c r="H8" s="5">
        <v>1.4</v>
      </c>
      <c r="I8" s="9">
        <v>101.202</v>
      </c>
      <c r="J8" s="5">
        <f t="shared" si="1"/>
        <v>13.693998142329201</v>
      </c>
      <c r="K8" s="5">
        <f t="shared" si="0"/>
        <v>27.387996284658403</v>
      </c>
      <c r="L8" s="5">
        <f t="shared" si="0"/>
        <v>41.081994426987606</v>
      </c>
      <c r="M8" s="5">
        <f t="shared" si="0"/>
        <v>68.46999071164602</v>
      </c>
      <c r="N8" s="5">
        <f t="shared" si="0"/>
        <v>136.93998142329204</v>
      </c>
      <c r="O8" s="5">
        <f t="shared" si="0"/>
        <v>205.40997213493804</v>
      </c>
      <c r="P8" s="5">
        <f t="shared" si="0"/>
        <v>205.40997213493804</v>
      </c>
      <c r="Q8" s="5">
        <f t="shared" si="0"/>
        <v>273.87996284658408</v>
      </c>
      <c r="R8" s="5">
        <f t="shared" si="0"/>
        <v>342.34995355823003</v>
      </c>
      <c r="S8" s="5">
        <f t="shared" si="0"/>
        <v>410.81994426987609</v>
      </c>
      <c r="T8" s="5">
        <f t="shared" si="0"/>
        <v>547.75992569316816</v>
      </c>
      <c r="U8" s="5">
        <f t="shared" si="0"/>
        <v>657.3119108318017</v>
      </c>
      <c r="V8" s="5">
        <f t="shared" si="0"/>
        <v>41.081994426987606</v>
      </c>
      <c r="W8" s="5">
        <f t="shared" si="0"/>
        <v>68.46999071164602</v>
      </c>
      <c r="X8" s="5">
        <f t="shared" si="0"/>
        <v>136.93998142329204</v>
      </c>
      <c r="Y8" s="5">
        <f t="shared" si="0"/>
        <v>205.40997213493804</v>
      </c>
      <c r="Z8" s="5">
        <f t="shared" si="0"/>
        <v>205.40997213493804</v>
      </c>
      <c r="AA8" s="5">
        <f t="shared" si="0"/>
        <v>273.87996284658408</v>
      </c>
    </row>
    <row r="9" spans="1:27" x14ac:dyDescent="0.25">
      <c r="A9" s="6">
        <v>7</v>
      </c>
      <c r="B9" s="7">
        <v>1210</v>
      </c>
      <c r="C9" s="7" t="s">
        <v>13</v>
      </c>
      <c r="D9" s="7">
        <v>20</v>
      </c>
      <c r="E9" s="8" t="s">
        <v>7</v>
      </c>
      <c r="F9" s="5" t="s">
        <v>98</v>
      </c>
      <c r="G9" s="5">
        <v>1.01</v>
      </c>
      <c r="H9" s="5">
        <v>1.4</v>
      </c>
      <c r="I9" s="9">
        <v>202</v>
      </c>
      <c r="J9" s="5">
        <f t="shared" si="1"/>
        <v>6.8606930693069303</v>
      </c>
      <c r="K9" s="5">
        <f t="shared" si="0"/>
        <v>13.721386138613861</v>
      </c>
      <c r="L9" s="5">
        <f t="shared" si="0"/>
        <v>20.582079207920792</v>
      </c>
      <c r="M9" s="5">
        <f t="shared" si="0"/>
        <v>34.303465346534651</v>
      </c>
      <c r="N9" s="5">
        <f t="shared" si="0"/>
        <v>68.606930693069302</v>
      </c>
      <c r="O9" s="5">
        <f t="shared" si="0"/>
        <v>102.91039603960397</v>
      </c>
      <c r="P9" s="5">
        <f t="shared" si="0"/>
        <v>102.91039603960397</v>
      </c>
      <c r="Q9" s="5">
        <f t="shared" si="0"/>
        <v>137.2138613861386</v>
      </c>
      <c r="R9" s="5">
        <f t="shared" si="0"/>
        <v>171.51732673267324</v>
      </c>
      <c r="S9" s="5">
        <f t="shared" si="0"/>
        <v>205.82079207920793</v>
      </c>
      <c r="T9" s="5">
        <f t="shared" si="0"/>
        <v>274.42772277227721</v>
      </c>
      <c r="U9" s="5">
        <f t="shared" si="0"/>
        <v>329.31326732673267</v>
      </c>
      <c r="V9" s="5">
        <f t="shared" si="0"/>
        <v>20.582079207920792</v>
      </c>
      <c r="W9" s="5">
        <f t="shared" si="0"/>
        <v>34.303465346534651</v>
      </c>
      <c r="X9" s="5">
        <f t="shared" si="0"/>
        <v>68.606930693069302</v>
      </c>
      <c r="Y9" s="5">
        <f t="shared" si="0"/>
        <v>102.91039603960397</v>
      </c>
      <c r="Z9" s="5">
        <f t="shared" si="0"/>
        <v>102.91039603960397</v>
      </c>
      <c r="AA9" s="5">
        <f t="shared" si="0"/>
        <v>137.2138613861386</v>
      </c>
    </row>
    <row r="10" spans="1:27" x14ac:dyDescent="0.25">
      <c r="A10" s="6">
        <v>8</v>
      </c>
      <c r="B10" s="7">
        <v>1211</v>
      </c>
      <c r="C10" s="7" t="s">
        <v>14</v>
      </c>
      <c r="D10" s="7">
        <v>20</v>
      </c>
      <c r="E10" s="8" t="s">
        <v>7</v>
      </c>
      <c r="F10" s="5" t="s">
        <v>98</v>
      </c>
      <c r="G10" s="5">
        <v>1.01</v>
      </c>
      <c r="H10" s="5">
        <v>1.4</v>
      </c>
      <c r="I10" s="9">
        <v>202</v>
      </c>
      <c r="J10" s="5">
        <f t="shared" si="1"/>
        <v>6.8606930693069303</v>
      </c>
      <c r="K10" s="5">
        <f t="shared" si="0"/>
        <v>13.721386138613861</v>
      </c>
      <c r="L10" s="5">
        <f t="shared" si="0"/>
        <v>20.582079207920792</v>
      </c>
      <c r="M10" s="5">
        <f t="shared" si="0"/>
        <v>34.303465346534651</v>
      </c>
      <c r="N10" s="5">
        <f t="shared" si="0"/>
        <v>68.606930693069302</v>
      </c>
      <c r="O10" s="5">
        <f t="shared" si="0"/>
        <v>102.91039603960397</v>
      </c>
      <c r="P10" s="5">
        <f t="shared" si="0"/>
        <v>102.91039603960397</v>
      </c>
      <c r="Q10" s="5">
        <f t="shared" si="0"/>
        <v>137.2138613861386</v>
      </c>
      <c r="R10" s="5">
        <f t="shared" si="0"/>
        <v>171.51732673267324</v>
      </c>
      <c r="S10" s="5">
        <f t="shared" si="0"/>
        <v>205.82079207920793</v>
      </c>
      <c r="T10" s="5">
        <f t="shared" si="0"/>
        <v>274.42772277227721</v>
      </c>
      <c r="U10" s="5">
        <f t="shared" si="0"/>
        <v>329.31326732673267</v>
      </c>
      <c r="V10" s="5">
        <f t="shared" si="0"/>
        <v>20.582079207920792</v>
      </c>
      <c r="W10" s="5">
        <f t="shared" si="0"/>
        <v>34.303465346534651</v>
      </c>
      <c r="X10" s="5">
        <f t="shared" si="0"/>
        <v>68.606930693069302</v>
      </c>
      <c r="Y10" s="5">
        <f t="shared" si="0"/>
        <v>102.91039603960397</v>
      </c>
      <c r="Z10" s="5">
        <f t="shared" si="0"/>
        <v>102.91039603960397</v>
      </c>
      <c r="AA10" s="5">
        <f t="shared" si="0"/>
        <v>137.2138613861386</v>
      </c>
    </row>
    <row r="11" spans="1:27" x14ac:dyDescent="0.25">
      <c r="A11" s="6">
        <v>9</v>
      </c>
      <c r="B11" s="7">
        <v>1215</v>
      </c>
      <c r="C11" s="7" t="s">
        <v>11</v>
      </c>
      <c r="D11" s="7">
        <v>25</v>
      </c>
      <c r="E11" s="8" t="s">
        <v>15</v>
      </c>
      <c r="F11" s="5" t="s">
        <v>98</v>
      </c>
      <c r="G11" s="5">
        <v>1.01</v>
      </c>
      <c r="H11" s="5">
        <v>1.4</v>
      </c>
      <c r="I11" s="9">
        <v>500</v>
      </c>
      <c r="J11" s="5">
        <f t="shared" si="1"/>
        <v>2.7717199999999997</v>
      </c>
      <c r="K11" s="5">
        <f t="shared" si="0"/>
        <v>5.5434399999999995</v>
      </c>
      <c r="L11" s="5">
        <f t="shared" si="0"/>
        <v>8.3151599999999988</v>
      </c>
      <c r="M11" s="5">
        <f t="shared" si="0"/>
        <v>13.858599999999999</v>
      </c>
      <c r="N11" s="5">
        <f t="shared" si="0"/>
        <v>27.717199999999998</v>
      </c>
      <c r="O11" s="5">
        <f t="shared" si="0"/>
        <v>41.575800000000001</v>
      </c>
      <c r="P11" s="5">
        <f t="shared" si="0"/>
        <v>41.575800000000001</v>
      </c>
      <c r="Q11" s="5">
        <f t="shared" si="0"/>
        <v>55.434399999999997</v>
      </c>
      <c r="R11" s="5">
        <f t="shared" si="0"/>
        <v>69.292999999999992</v>
      </c>
      <c r="S11" s="5">
        <f t="shared" si="0"/>
        <v>83.151600000000002</v>
      </c>
      <c r="T11" s="5">
        <f t="shared" si="0"/>
        <v>110.86879999999999</v>
      </c>
      <c r="U11" s="5">
        <f t="shared" si="0"/>
        <v>133.04255999999998</v>
      </c>
      <c r="V11" s="5">
        <f t="shared" si="0"/>
        <v>8.3151599999999988</v>
      </c>
      <c r="W11" s="5">
        <f t="shared" si="0"/>
        <v>13.858599999999999</v>
      </c>
      <c r="X11" s="5">
        <f t="shared" si="0"/>
        <v>27.717199999999998</v>
      </c>
      <c r="Y11" s="5">
        <f t="shared" si="0"/>
        <v>41.575800000000001</v>
      </c>
      <c r="Z11" s="5">
        <f t="shared" si="0"/>
        <v>41.575800000000001</v>
      </c>
      <c r="AA11" s="5">
        <f t="shared" si="0"/>
        <v>55.434399999999997</v>
      </c>
    </row>
    <row r="12" spans="1:27" x14ac:dyDescent="0.25">
      <c r="A12" s="6">
        <v>10</v>
      </c>
      <c r="B12" s="7">
        <v>1301</v>
      </c>
      <c r="C12" s="7" t="s">
        <v>16</v>
      </c>
      <c r="D12" s="7">
        <v>90</v>
      </c>
      <c r="E12" s="8" t="s">
        <v>17</v>
      </c>
      <c r="F12" s="5" t="s">
        <v>98</v>
      </c>
      <c r="G12" s="5">
        <v>1.01</v>
      </c>
      <c r="H12" s="5">
        <v>1.4</v>
      </c>
      <c r="I12" s="9">
        <v>135</v>
      </c>
      <c r="J12" s="5">
        <f t="shared" si="1"/>
        <v>10.265629629629629</v>
      </c>
      <c r="K12" s="5">
        <f t="shared" si="0"/>
        <v>20.531259259259258</v>
      </c>
      <c r="L12" s="5">
        <f t="shared" si="0"/>
        <v>30.796888888888887</v>
      </c>
      <c r="M12" s="5">
        <f t="shared" si="0"/>
        <v>51.328148148148138</v>
      </c>
      <c r="N12" s="5">
        <f t="shared" si="0"/>
        <v>102.65629629629628</v>
      </c>
      <c r="O12" s="5">
        <f t="shared" si="0"/>
        <v>153.98444444444442</v>
      </c>
      <c r="P12" s="5">
        <f t="shared" si="0"/>
        <v>153.98444444444442</v>
      </c>
      <c r="Q12" s="5">
        <f t="shared" si="0"/>
        <v>205.31259259259255</v>
      </c>
      <c r="R12" s="5">
        <f t="shared" si="0"/>
        <v>256.64074074074068</v>
      </c>
      <c r="S12" s="5">
        <f t="shared" si="0"/>
        <v>307.96888888888884</v>
      </c>
      <c r="T12" s="5">
        <f t="shared" si="0"/>
        <v>410.6251851851851</v>
      </c>
      <c r="U12" s="5">
        <f t="shared" si="0"/>
        <v>492.75022222222219</v>
      </c>
      <c r="V12" s="5">
        <f t="shared" si="0"/>
        <v>30.796888888888887</v>
      </c>
      <c r="W12" s="5">
        <f t="shared" si="0"/>
        <v>51.328148148148138</v>
      </c>
      <c r="X12" s="5">
        <f t="shared" si="0"/>
        <v>102.65629629629628</v>
      </c>
      <c r="Y12" s="5">
        <f t="shared" si="0"/>
        <v>153.98444444444442</v>
      </c>
      <c r="Z12" s="5">
        <f t="shared" si="0"/>
        <v>153.98444444444442</v>
      </c>
      <c r="AA12" s="5">
        <f t="shared" si="0"/>
        <v>205.31259259259255</v>
      </c>
    </row>
    <row r="13" spans="1:27" x14ac:dyDescent="0.25">
      <c r="A13" s="6">
        <v>11</v>
      </c>
      <c r="B13" s="7">
        <v>1302</v>
      </c>
      <c r="C13" s="7" t="s">
        <v>18</v>
      </c>
      <c r="D13" s="7">
        <v>30</v>
      </c>
      <c r="E13" s="8" t="s">
        <v>74</v>
      </c>
      <c r="F13" s="5" t="s">
        <v>98</v>
      </c>
      <c r="G13" s="5">
        <v>1.01</v>
      </c>
      <c r="H13" s="5">
        <v>1.4</v>
      </c>
      <c r="I13" s="9">
        <f>4.05*20</f>
        <v>81</v>
      </c>
      <c r="J13" s="5">
        <f t="shared" si="1"/>
        <v>17.109382716049382</v>
      </c>
      <c r="K13" s="5">
        <f t="shared" si="0"/>
        <v>34.218765432098763</v>
      </c>
      <c r="L13" s="5">
        <f t="shared" si="0"/>
        <v>51.328148148148138</v>
      </c>
      <c r="M13" s="5">
        <f t="shared" si="0"/>
        <v>85.546913580246908</v>
      </c>
      <c r="N13" s="5">
        <f t="shared" si="0"/>
        <v>171.09382716049382</v>
      </c>
      <c r="O13" s="5">
        <f t="shared" si="0"/>
        <v>256.64074074074068</v>
      </c>
      <c r="P13" s="5">
        <f t="shared" si="0"/>
        <v>256.64074074074068</v>
      </c>
      <c r="Q13" s="5">
        <f t="shared" si="0"/>
        <v>342.18765432098763</v>
      </c>
      <c r="R13" s="5">
        <f t="shared" si="0"/>
        <v>427.73456790123447</v>
      </c>
      <c r="S13" s="5">
        <f t="shared" si="0"/>
        <v>513.28148148148136</v>
      </c>
      <c r="T13" s="5">
        <f t="shared" si="0"/>
        <v>684.37530864197527</v>
      </c>
      <c r="U13" s="5">
        <f t="shared" si="0"/>
        <v>821.25037037037021</v>
      </c>
      <c r="V13" s="5">
        <f t="shared" si="0"/>
        <v>51.328148148148138</v>
      </c>
      <c r="W13" s="5">
        <f t="shared" si="0"/>
        <v>85.546913580246908</v>
      </c>
      <c r="X13" s="5">
        <f t="shared" si="0"/>
        <v>171.09382716049382</v>
      </c>
      <c r="Y13" s="5">
        <f t="shared" si="0"/>
        <v>256.64074074074068</v>
      </c>
      <c r="Z13" s="5">
        <f t="shared" si="0"/>
        <v>256.64074074074068</v>
      </c>
      <c r="AA13" s="5">
        <f t="shared" si="0"/>
        <v>342.18765432098763</v>
      </c>
    </row>
    <row r="14" spans="1:27" x14ac:dyDescent="0.25">
      <c r="A14" s="6">
        <v>12</v>
      </c>
      <c r="B14" s="7">
        <v>1303</v>
      </c>
      <c r="C14" s="7" t="s">
        <v>19</v>
      </c>
      <c r="D14" s="7">
        <v>30</v>
      </c>
      <c r="E14" s="8" t="s">
        <v>74</v>
      </c>
      <c r="F14" s="5" t="s">
        <v>98</v>
      </c>
      <c r="G14" s="5">
        <v>1.01</v>
      </c>
      <c r="H14" s="5">
        <v>1.4</v>
      </c>
      <c r="I14" s="9">
        <v>150.30000000000001</v>
      </c>
      <c r="J14" s="5">
        <f t="shared" si="1"/>
        <v>9.220625415834995</v>
      </c>
      <c r="K14" s="5">
        <f t="shared" si="0"/>
        <v>18.44125083166999</v>
      </c>
      <c r="L14" s="5">
        <f t="shared" si="0"/>
        <v>27.661876247504985</v>
      </c>
      <c r="M14" s="5">
        <f t="shared" si="0"/>
        <v>46.103127079174982</v>
      </c>
      <c r="N14" s="5">
        <f t="shared" si="0"/>
        <v>92.206254158349964</v>
      </c>
      <c r="O14" s="5">
        <f t="shared" si="0"/>
        <v>138.30938123752492</v>
      </c>
      <c r="P14" s="5">
        <f t="shared" si="0"/>
        <v>138.30938123752492</v>
      </c>
      <c r="Q14" s="5">
        <f t="shared" si="0"/>
        <v>184.41250831669993</v>
      </c>
      <c r="R14" s="5">
        <f t="shared" si="0"/>
        <v>230.51563539587488</v>
      </c>
      <c r="S14" s="5">
        <f t="shared" si="0"/>
        <v>276.61876247504983</v>
      </c>
      <c r="T14" s="5">
        <f t="shared" si="0"/>
        <v>368.82501663339985</v>
      </c>
      <c r="U14" s="5">
        <f t="shared" si="0"/>
        <v>442.59001996007976</v>
      </c>
      <c r="V14" s="5">
        <f t="shared" si="0"/>
        <v>27.661876247504985</v>
      </c>
      <c r="W14" s="5">
        <f t="shared" si="0"/>
        <v>46.103127079174982</v>
      </c>
      <c r="X14" s="5">
        <f t="shared" si="0"/>
        <v>92.206254158349964</v>
      </c>
      <c r="Y14" s="5">
        <f t="shared" si="0"/>
        <v>138.30938123752492</v>
      </c>
      <c r="Z14" s="5">
        <f t="shared" si="0"/>
        <v>138.30938123752492</v>
      </c>
      <c r="AA14" s="5">
        <f t="shared" si="0"/>
        <v>184.41250831669993</v>
      </c>
    </row>
    <row r="15" spans="1:27" x14ac:dyDescent="0.25">
      <c r="A15" s="6">
        <v>13</v>
      </c>
      <c r="B15" s="7">
        <v>1304</v>
      </c>
      <c r="C15" s="7" t="s">
        <v>19</v>
      </c>
      <c r="D15" s="7">
        <v>30</v>
      </c>
      <c r="E15" s="8" t="s">
        <v>74</v>
      </c>
      <c r="F15" s="5" t="s">
        <v>98</v>
      </c>
      <c r="G15" s="5">
        <v>1.01</v>
      </c>
      <c r="H15" s="5">
        <v>1.4</v>
      </c>
      <c r="I15" s="9">
        <v>300</v>
      </c>
      <c r="J15" s="5">
        <f t="shared" si="1"/>
        <v>4.619533333333333</v>
      </c>
      <c r="K15" s="5">
        <f t="shared" si="0"/>
        <v>9.2390666666666661</v>
      </c>
      <c r="L15" s="5">
        <f t="shared" si="0"/>
        <v>13.858599999999999</v>
      </c>
      <c r="M15" s="5">
        <f t="shared" si="0"/>
        <v>23.097666666666669</v>
      </c>
      <c r="N15" s="5">
        <f t="shared" si="0"/>
        <v>46.195333333333338</v>
      </c>
      <c r="O15" s="5">
        <f t="shared" si="0"/>
        <v>69.292999999999992</v>
      </c>
      <c r="P15" s="5">
        <f t="shared" si="0"/>
        <v>69.292999999999992</v>
      </c>
      <c r="Q15" s="5">
        <f t="shared" si="0"/>
        <v>92.390666666666675</v>
      </c>
      <c r="R15" s="5">
        <f t="shared" si="0"/>
        <v>115.48833333333334</v>
      </c>
      <c r="S15" s="5">
        <f t="shared" si="0"/>
        <v>138.58599999999998</v>
      </c>
      <c r="T15" s="5">
        <f t="shared" si="0"/>
        <v>184.78133333333335</v>
      </c>
      <c r="U15" s="5">
        <f t="shared" si="0"/>
        <v>221.73759999999999</v>
      </c>
      <c r="V15" s="5">
        <f t="shared" si="0"/>
        <v>13.858599999999999</v>
      </c>
      <c r="W15" s="5">
        <f t="shared" si="0"/>
        <v>23.097666666666669</v>
      </c>
      <c r="X15" s="5">
        <f t="shared" si="0"/>
        <v>46.195333333333338</v>
      </c>
      <c r="Y15" s="5">
        <f t="shared" si="0"/>
        <v>69.292999999999992</v>
      </c>
      <c r="Z15" s="5">
        <f t="shared" si="0"/>
        <v>69.292999999999992</v>
      </c>
      <c r="AA15" s="5">
        <f t="shared" si="0"/>
        <v>92.390666666666675</v>
      </c>
    </row>
    <row r="16" spans="1:27" x14ac:dyDescent="0.25">
      <c r="A16" s="6">
        <v>14</v>
      </c>
      <c r="B16" s="7">
        <v>1401</v>
      </c>
      <c r="C16" s="7" t="s">
        <v>20</v>
      </c>
      <c r="D16" s="7">
        <v>125</v>
      </c>
      <c r="E16" s="8" t="s">
        <v>75</v>
      </c>
      <c r="F16" s="5" t="s">
        <v>98</v>
      </c>
      <c r="G16" s="5">
        <v>1.01</v>
      </c>
      <c r="H16" s="5">
        <v>1.4</v>
      </c>
      <c r="I16" s="9">
        <v>183.36600000000001</v>
      </c>
      <c r="J16" s="5">
        <f t="shared" si="1"/>
        <v>7.557889685110653</v>
      </c>
      <c r="K16" s="5">
        <f t="shared" si="0"/>
        <v>15.115779370221306</v>
      </c>
      <c r="L16" s="5">
        <f t="shared" si="0"/>
        <v>22.673669055331956</v>
      </c>
      <c r="M16" s="5">
        <f t="shared" si="0"/>
        <v>37.78944842555326</v>
      </c>
      <c r="N16" s="5">
        <f t="shared" si="0"/>
        <v>75.578896851106521</v>
      </c>
      <c r="O16" s="5">
        <f t="shared" si="0"/>
        <v>113.36834527665978</v>
      </c>
      <c r="P16" s="5">
        <f t="shared" si="0"/>
        <v>113.36834527665978</v>
      </c>
      <c r="Q16" s="5">
        <f t="shared" si="0"/>
        <v>151.15779370221304</v>
      </c>
      <c r="R16" s="5">
        <f t="shared" si="0"/>
        <v>188.94724212776629</v>
      </c>
      <c r="S16" s="5">
        <f t="shared" si="0"/>
        <v>226.73669055331956</v>
      </c>
      <c r="T16" s="5">
        <f t="shared" si="0"/>
        <v>302.31558740442608</v>
      </c>
      <c r="U16" s="5">
        <f t="shared" si="0"/>
        <v>362.7787048853113</v>
      </c>
      <c r="V16" s="5">
        <f t="shared" si="0"/>
        <v>22.673669055331956</v>
      </c>
      <c r="W16" s="5">
        <f t="shared" si="0"/>
        <v>37.78944842555326</v>
      </c>
      <c r="X16" s="5">
        <f t="shared" si="0"/>
        <v>75.578896851106521</v>
      </c>
      <c r="Y16" s="5">
        <f t="shared" si="0"/>
        <v>113.36834527665978</v>
      </c>
      <c r="Z16" s="5">
        <f t="shared" si="0"/>
        <v>113.36834527665978</v>
      </c>
      <c r="AA16" s="5">
        <f t="shared" si="0"/>
        <v>151.15779370221304</v>
      </c>
    </row>
    <row r="17" spans="1:27" x14ac:dyDescent="0.25">
      <c r="A17" s="6">
        <v>15</v>
      </c>
      <c r="B17" s="7">
        <v>4201</v>
      </c>
      <c r="C17" s="7" t="s">
        <v>21</v>
      </c>
      <c r="D17" s="7">
        <v>24</v>
      </c>
      <c r="E17" s="8" t="s">
        <v>22</v>
      </c>
      <c r="F17" s="5" t="s">
        <v>99</v>
      </c>
      <c r="G17" s="5">
        <v>1.01</v>
      </c>
      <c r="H17" s="5">
        <v>1.4</v>
      </c>
      <c r="I17" s="9">
        <v>121.242</v>
      </c>
      <c r="J17" s="5">
        <f t="shared" si="1"/>
        <v>11.430527375002061</v>
      </c>
      <c r="K17" s="5">
        <f t="shared" si="0"/>
        <v>22.861054750004122</v>
      </c>
      <c r="L17" s="5">
        <f t="shared" si="0"/>
        <v>34.29158212500618</v>
      </c>
      <c r="M17" s="5">
        <f t="shared" si="0"/>
        <v>57.152636875010302</v>
      </c>
      <c r="N17" s="5">
        <f t="shared" si="0"/>
        <v>114.3052737500206</v>
      </c>
      <c r="O17" s="5">
        <f t="shared" si="0"/>
        <v>171.45791062503093</v>
      </c>
      <c r="P17" s="5">
        <f t="shared" si="0"/>
        <v>171.45791062503093</v>
      </c>
      <c r="Q17" s="5">
        <f t="shared" si="0"/>
        <v>228.61054750004121</v>
      </c>
      <c r="R17" s="5">
        <f t="shared" si="0"/>
        <v>285.76318437505148</v>
      </c>
      <c r="S17" s="5">
        <f t="shared" si="0"/>
        <v>342.91582125006187</v>
      </c>
      <c r="T17" s="5">
        <f t="shared" si="0"/>
        <v>457.22109500008241</v>
      </c>
      <c r="U17" s="5">
        <f t="shared" si="0"/>
        <v>548.66531400009887</v>
      </c>
      <c r="V17" s="5">
        <f t="shared" si="0"/>
        <v>34.29158212500618</v>
      </c>
      <c r="W17" s="5">
        <f t="shared" si="0"/>
        <v>57.152636875010302</v>
      </c>
      <c r="X17" s="5">
        <f t="shared" si="0"/>
        <v>114.3052737500206</v>
      </c>
      <c r="Y17" s="5">
        <f t="shared" si="0"/>
        <v>171.45791062503093</v>
      </c>
      <c r="Z17" s="5">
        <f t="shared" si="0"/>
        <v>171.45791062503093</v>
      </c>
      <c r="AA17" s="5">
        <f t="shared" si="0"/>
        <v>228.61054750004121</v>
      </c>
    </row>
    <row r="18" spans="1:27" x14ac:dyDescent="0.25">
      <c r="A18" s="6">
        <v>16</v>
      </c>
      <c r="B18" s="7">
        <v>4202</v>
      </c>
      <c r="C18" s="7" t="s">
        <v>23</v>
      </c>
      <c r="D18" s="7">
        <v>30</v>
      </c>
      <c r="E18" s="8" t="s">
        <v>24</v>
      </c>
      <c r="F18" s="5" t="s">
        <v>99</v>
      </c>
      <c r="G18" s="5">
        <v>1.01</v>
      </c>
      <c r="H18" s="5">
        <v>1.4</v>
      </c>
      <c r="I18" s="9">
        <v>151</v>
      </c>
      <c r="J18" s="5">
        <f t="shared" si="1"/>
        <v>9.177880794701986</v>
      </c>
      <c r="K18" s="5">
        <f t="shared" si="1"/>
        <v>18.355761589403972</v>
      </c>
      <c r="L18" s="5">
        <f t="shared" si="1"/>
        <v>27.533642384105956</v>
      </c>
      <c r="M18" s="5">
        <f t="shared" si="1"/>
        <v>45.889403973509928</v>
      </c>
      <c r="N18" s="5">
        <f t="shared" si="1"/>
        <v>91.778807947019857</v>
      </c>
      <c r="O18" s="5">
        <f t="shared" si="1"/>
        <v>137.66821192052979</v>
      </c>
      <c r="P18" s="5">
        <f t="shared" si="1"/>
        <v>137.66821192052979</v>
      </c>
      <c r="Q18" s="5">
        <f t="shared" si="1"/>
        <v>183.55761589403971</v>
      </c>
      <c r="R18" s="5">
        <f t="shared" si="1"/>
        <v>229.44701986754964</v>
      </c>
      <c r="S18" s="5">
        <f t="shared" si="1"/>
        <v>275.33642384105957</v>
      </c>
      <c r="T18" s="5">
        <f t="shared" si="1"/>
        <v>367.11523178807943</v>
      </c>
      <c r="U18" s="5">
        <f t="shared" si="1"/>
        <v>440.5382781456953</v>
      </c>
      <c r="V18" s="5">
        <f t="shared" si="1"/>
        <v>27.533642384105956</v>
      </c>
      <c r="W18" s="5">
        <f t="shared" si="1"/>
        <v>45.889403973509928</v>
      </c>
      <c r="X18" s="5">
        <f t="shared" si="1"/>
        <v>91.778807947019857</v>
      </c>
      <c r="Y18" s="5">
        <f t="shared" si="1"/>
        <v>137.66821192052979</v>
      </c>
      <c r="Z18" s="5">
        <f t="shared" ref="Z18:AA81" si="2">$H18*1000/$I18*Z$2*(100-$G18)/100</f>
        <v>137.66821192052979</v>
      </c>
      <c r="AA18" s="5">
        <f t="shared" si="2"/>
        <v>183.55761589403971</v>
      </c>
    </row>
    <row r="19" spans="1:27" x14ac:dyDescent="0.25">
      <c r="A19" s="6">
        <v>17</v>
      </c>
      <c r="B19" s="7">
        <v>4203</v>
      </c>
      <c r="C19" s="7" t="s">
        <v>25</v>
      </c>
      <c r="D19" s="7">
        <v>40</v>
      </c>
      <c r="E19" s="8" t="s">
        <v>26</v>
      </c>
      <c r="F19" s="5" t="s">
        <v>99</v>
      </c>
      <c r="G19" s="5">
        <v>1.01</v>
      </c>
      <c r="H19" s="5">
        <v>1.4</v>
      </c>
      <c r="I19" s="9">
        <v>82</v>
      </c>
      <c r="J19" s="5">
        <f t="shared" si="1"/>
        <v>16.900731707317071</v>
      </c>
      <c r="K19" s="5">
        <f t="shared" si="1"/>
        <v>33.801463414634142</v>
      </c>
      <c r="L19" s="5">
        <f t="shared" si="1"/>
        <v>50.70219512195122</v>
      </c>
      <c r="M19" s="5">
        <f t="shared" si="1"/>
        <v>84.503658536585377</v>
      </c>
      <c r="N19" s="5">
        <f t="shared" si="1"/>
        <v>169.00731707317075</v>
      </c>
      <c r="O19" s="5">
        <f t="shared" si="1"/>
        <v>253.51097560975609</v>
      </c>
      <c r="P19" s="5">
        <f t="shared" si="1"/>
        <v>253.51097560975609</v>
      </c>
      <c r="Q19" s="5">
        <f t="shared" si="1"/>
        <v>338.01463414634151</v>
      </c>
      <c r="R19" s="5">
        <f t="shared" si="1"/>
        <v>422.51829268292681</v>
      </c>
      <c r="S19" s="5">
        <f t="shared" si="1"/>
        <v>507.02195121951218</v>
      </c>
      <c r="T19" s="5">
        <f t="shared" si="1"/>
        <v>676.02926829268301</v>
      </c>
      <c r="U19" s="5">
        <f t="shared" si="1"/>
        <v>811.23512195121953</v>
      </c>
      <c r="V19" s="5">
        <f t="shared" si="1"/>
        <v>50.70219512195122</v>
      </c>
      <c r="W19" s="5">
        <f t="shared" si="1"/>
        <v>84.503658536585377</v>
      </c>
      <c r="X19" s="5">
        <f t="shared" si="1"/>
        <v>169.00731707317075</v>
      </c>
      <c r="Y19" s="5">
        <f t="shared" si="1"/>
        <v>253.51097560975609</v>
      </c>
      <c r="Z19" s="5">
        <f t="shared" si="2"/>
        <v>253.51097560975609</v>
      </c>
      <c r="AA19" s="5">
        <f t="shared" si="2"/>
        <v>338.01463414634151</v>
      </c>
    </row>
    <row r="20" spans="1:27" x14ac:dyDescent="0.25">
      <c r="A20" s="6">
        <v>18</v>
      </c>
      <c r="B20" s="7">
        <v>4204</v>
      </c>
      <c r="C20" s="7" t="s">
        <v>25</v>
      </c>
      <c r="D20" s="7">
        <v>60</v>
      </c>
      <c r="E20" s="21" t="s">
        <v>70</v>
      </c>
      <c r="F20" s="5" t="s">
        <v>99</v>
      </c>
      <c r="G20" s="5">
        <v>1.01</v>
      </c>
      <c r="H20" s="5">
        <v>1.4</v>
      </c>
      <c r="I20" s="9">
        <v>122</v>
      </c>
      <c r="J20" s="5">
        <f t="shared" si="1"/>
        <v>11.359508196721311</v>
      </c>
      <c r="K20" s="5">
        <f t="shared" si="1"/>
        <v>22.719016393442622</v>
      </c>
      <c r="L20" s="5">
        <f t="shared" si="1"/>
        <v>34.07852459016393</v>
      </c>
      <c r="M20" s="5">
        <f t="shared" si="1"/>
        <v>56.797540983606552</v>
      </c>
      <c r="N20" s="5">
        <f t="shared" si="1"/>
        <v>113.5950819672131</v>
      </c>
      <c r="O20" s="5">
        <f t="shared" si="1"/>
        <v>170.39262295081963</v>
      </c>
      <c r="P20" s="5">
        <f t="shared" si="1"/>
        <v>170.39262295081963</v>
      </c>
      <c r="Q20" s="5">
        <f t="shared" si="1"/>
        <v>227.19016393442621</v>
      </c>
      <c r="R20" s="5">
        <f t="shared" si="1"/>
        <v>283.98770491803276</v>
      </c>
      <c r="S20" s="5">
        <f t="shared" si="1"/>
        <v>340.78524590163926</v>
      </c>
      <c r="T20" s="5">
        <f t="shared" si="1"/>
        <v>454.38032786885242</v>
      </c>
      <c r="U20" s="5">
        <f t="shared" si="1"/>
        <v>545.25639344262288</v>
      </c>
      <c r="V20" s="5">
        <f t="shared" si="1"/>
        <v>34.07852459016393</v>
      </c>
      <c r="W20" s="5">
        <f t="shared" si="1"/>
        <v>56.797540983606552</v>
      </c>
      <c r="X20" s="5">
        <f t="shared" si="1"/>
        <v>113.5950819672131</v>
      </c>
      <c r="Y20" s="5">
        <f t="shared" si="1"/>
        <v>170.39262295081963</v>
      </c>
      <c r="Z20" s="5">
        <f t="shared" si="2"/>
        <v>170.39262295081963</v>
      </c>
      <c r="AA20" s="5">
        <f t="shared" si="2"/>
        <v>227.19016393442621</v>
      </c>
    </row>
    <row r="21" spans="1:27" x14ac:dyDescent="0.25">
      <c r="A21" s="6">
        <v>19</v>
      </c>
      <c r="B21" s="7">
        <v>4206</v>
      </c>
      <c r="C21" s="7" t="s">
        <v>25</v>
      </c>
      <c r="D21" s="7">
        <v>80</v>
      </c>
      <c r="E21" s="21" t="s">
        <v>73</v>
      </c>
      <c r="F21" s="5" t="s">
        <v>99</v>
      </c>
      <c r="G21" s="5">
        <v>1.01</v>
      </c>
      <c r="H21" s="5">
        <v>1.4</v>
      </c>
      <c r="I21" s="9">
        <v>225</v>
      </c>
      <c r="J21" s="5">
        <f t="shared" si="1"/>
        <v>6.1593777777777783</v>
      </c>
      <c r="K21" s="5">
        <f t="shared" si="1"/>
        <v>12.318755555555557</v>
      </c>
      <c r="L21" s="5">
        <f t="shared" si="1"/>
        <v>18.478133333333332</v>
      </c>
      <c r="M21" s="5">
        <f t="shared" si="1"/>
        <v>30.796888888888887</v>
      </c>
      <c r="N21" s="5">
        <f t="shared" si="1"/>
        <v>61.593777777777774</v>
      </c>
      <c r="O21" s="5">
        <f t="shared" si="1"/>
        <v>92.390666666666661</v>
      </c>
      <c r="P21" s="5">
        <f t="shared" si="1"/>
        <v>92.390666666666661</v>
      </c>
      <c r="Q21" s="5">
        <f t="shared" si="1"/>
        <v>123.18755555555555</v>
      </c>
      <c r="R21" s="5">
        <f t="shared" si="1"/>
        <v>153.98444444444445</v>
      </c>
      <c r="S21" s="5">
        <f t="shared" si="1"/>
        <v>184.78133333333332</v>
      </c>
      <c r="T21" s="5">
        <f t="shared" si="1"/>
        <v>246.3751111111111</v>
      </c>
      <c r="U21" s="5">
        <f t="shared" si="1"/>
        <v>295.65013333333332</v>
      </c>
      <c r="V21" s="5">
        <f t="shared" si="1"/>
        <v>18.478133333333332</v>
      </c>
      <c r="W21" s="5">
        <f t="shared" si="1"/>
        <v>30.796888888888887</v>
      </c>
      <c r="X21" s="5">
        <f t="shared" si="1"/>
        <v>61.593777777777774</v>
      </c>
      <c r="Y21" s="5">
        <f t="shared" si="1"/>
        <v>92.390666666666661</v>
      </c>
      <c r="Z21" s="5">
        <f t="shared" si="2"/>
        <v>92.390666666666661</v>
      </c>
      <c r="AA21" s="5">
        <f t="shared" si="2"/>
        <v>123.18755555555555</v>
      </c>
    </row>
    <row r="22" spans="1:27" x14ac:dyDescent="0.25">
      <c r="A22" s="6">
        <v>20</v>
      </c>
      <c r="B22" s="7">
        <v>4207</v>
      </c>
      <c r="C22" s="7" t="s">
        <v>25</v>
      </c>
      <c r="D22" s="7">
        <v>105</v>
      </c>
      <c r="E22" s="21" t="s">
        <v>71</v>
      </c>
      <c r="F22" s="5" t="s">
        <v>99</v>
      </c>
      <c r="G22" s="5">
        <v>1.01</v>
      </c>
      <c r="H22" s="5">
        <v>1.4</v>
      </c>
      <c r="I22" s="9">
        <v>100</v>
      </c>
      <c r="J22" s="5">
        <f t="shared" si="1"/>
        <v>13.858599999999999</v>
      </c>
      <c r="K22" s="5">
        <f t="shared" si="1"/>
        <v>27.717199999999998</v>
      </c>
      <c r="L22" s="5">
        <f t="shared" si="1"/>
        <v>41.575800000000001</v>
      </c>
      <c r="M22" s="5">
        <f t="shared" si="1"/>
        <v>69.292999999999992</v>
      </c>
      <c r="N22" s="5">
        <f t="shared" si="1"/>
        <v>138.58599999999998</v>
      </c>
      <c r="O22" s="5">
        <f t="shared" si="1"/>
        <v>207.87899999999999</v>
      </c>
      <c r="P22" s="5">
        <f t="shared" si="1"/>
        <v>207.87899999999999</v>
      </c>
      <c r="Q22" s="5">
        <f t="shared" si="1"/>
        <v>277.17199999999997</v>
      </c>
      <c r="R22" s="5">
        <f t="shared" si="1"/>
        <v>346.46499999999997</v>
      </c>
      <c r="S22" s="5">
        <f t="shared" si="1"/>
        <v>415.75799999999998</v>
      </c>
      <c r="T22" s="5">
        <f t="shared" si="1"/>
        <v>554.34399999999994</v>
      </c>
      <c r="U22" s="5">
        <f t="shared" si="1"/>
        <v>665.21280000000002</v>
      </c>
      <c r="V22" s="5">
        <f t="shared" si="1"/>
        <v>41.575800000000001</v>
      </c>
      <c r="W22" s="5">
        <f t="shared" si="1"/>
        <v>69.292999999999992</v>
      </c>
      <c r="X22" s="5">
        <f t="shared" si="1"/>
        <v>138.58599999999998</v>
      </c>
      <c r="Y22" s="5">
        <f t="shared" si="1"/>
        <v>207.87899999999999</v>
      </c>
      <c r="Z22" s="5">
        <f t="shared" si="2"/>
        <v>207.87899999999999</v>
      </c>
      <c r="AA22" s="5">
        <f t="shared" si="2"/>
        <v>277.17199999999997</v>
      </c>
    </row>
    <row r="23" spans="1:27" x14ac:dyDescent="0.25">
      <c r="A23" s="6">
        <v>21</v>
      </c>
      <c r="B23" s="7">
        <v>4208</v>
      </c>
      <c r="C23" s="7" t="s">
        <v>25</v>
      </c>
      <c r="D23" s="7">
        <v>40</v>
      </c>
      <c r="E23" s="8" t="s">
        <v>26</v>
      </c>
      <c r="F23" s="5" t="s">
        <v>99</v>
      </c>
      <c r="G23" s="5">
        <v>1.01</v>
      </c>
      <c r="H23" s="5">
        <v>1.4</v>
      </c>
      <c r="I23" s="9">
        <v>205</v>
      </c>
      <c r="J23" s="5">
        <f t="shared" si="1"/>
        <v>6.7602926829268286</v>
      </c>
      <c r="K23" s="5">
        <f t="shared" si="1"/>
        <v>13.520585365853657</v>
      </c>
      <c r="L23" s="5">
        <f t="shared" si="1"/>
        <v>20.280878048780487</v>
      </c>
      <c r="M23" s="5">
        <f t="shared" si="1"/>
        <v>33.801463414634142</v>
      </c>
      <c r="N23" s="5">
        <f t="shared" si="1"/>
        <v>67.602926829268284</v>
      </c>
      <c r="O23" s="5">
        <f t="shared" si="1"/>
        <v>101.40439024390244</v>
      </c>
      <c r="P23" s="5">
        <f t="shared" si="1"/>
        <v>101.40439024390244</v>
      </c>
      <c r="Q23" s="5">
        <f t="shared" si="1"/>
        <v>135.20585365853657</v>
      </c>
      <c r="R23" s="5">
        <f t="shared" si="1"/>
        <v>169.0073170731707</v>
      </c>
      <c r="S23" s="5">
        <f t="shared" si="1"/>
        <v>202.80878048780488</v>
      </c>
      <c r="T23" s="5">
        <f t="shared" si="1"/>
        <v>270.41170731707314</v>
      </c>
      <c r="U23" s="5">
        <f t="shared" si="1"/>
        <v>324.49404878048779</v>
      </c>
      <c r="V23" s="5">
        <f t="shared" si="1"/>
        <v>20.280878048780487</v>
      </c>
      <c r="W23" s="5">
        <f t="shared" si="1"/>
        <v>33.801463414634142</v>
      </c>
      <c r="X23" s="5">
        <f t="shared" si="1"/>
        <v>67.602926829268284</v>
      </c>
      <c r="Y23" s="5">
        <f t="shared" si="1"/>
        <v>101.40439024390244</v>
      </c>
      <c r="Z23" s="5">
        <f t="shared" si="2"/>
        <v>101.40439024390244</v>
      </c>
      <c r="AA23" s="5">
        <f t="shared" si="2"/>
        <v>135.20585365853657</v>
      </c>
    </row>
    <row r="24" spans="1:27" ht="31.5" x14ac:dyDescent="0.25">
      <c r="A24" s="6">
        <v>22</v>
      </c>
      <c r="B24" s="2">
        <v>4209</v>
      </c>
      <c r="C24" s="3" t="s">
        <v>27</v>
      </c>
      <c r="D24" s="2">
        <v>24</v>
      </c>
      <c r="E24" s="4" t="s">
        <v>22</v>
      </c>
      <c r="F24" s="5" t="s">
        <v>99</v>
      </c>
      <c r="G24" s="5">
        <v>1.01</v>
      </c>
      <c r="H24" s="5">
        <v>1.4</v>
      </c>
      <c r="I24" s="10">
        <v>121.242</v>
      </c>
      <c r="J24" s="5">
        <f t="shared" si="1"/>
        <v>11.430527375002061</v>
      </c>
      <c r="K24" s="5">
        <f t="shared" si="1"/>
        <v>22.861054750004122</v>
      </c>
      <c r="L24" s="5">
        <f t="shared" si="1"/>
        <v>34.29158212500618</v>
      </c>
      <c r="M24" s="5">
        <f t="shared" si="1"/>
        <v>57.152636875010302</v>
      </c>
      <c r="N24" s="5">
        <f t="shared" si="1"/>
        <v>114.3052737500206</v>
      </c>
      <c r="O24" s="5">
        <f t="shared" si="1"/>
        <v>171.45791062503093</v>
      </c>
      <c r="P24" s="5">
        <f t="shared" si="1"/>
        <v>171.45791062503093</v>
      </c>
      <c r="Q24" s="5">
        <f t="shared" si="1"/>
        <v>228.61054750004121</v>
      </c>
      <c r="R24" s="5">
        <f t="shared" si="1"/>
        <v>285.76318437505148</v>
      </c>
      <c r="S24" s="5">
        <f t="shared" si="1"/>
        <v>342.91582125006187</v>
      </c>
      <c r="T24" s="5">
        <f t="shared" si="1"/>
        <v>457.22109500008241</v>
      </c>
      <c r="U24" s="5">
        <f t="shared" si="1"/>
        <v>548.66531400009887</v>
      </c>
      <c r="V24" s="5">
        <f t="shared" si="1"/>
        <v>34.29158212500618</v>
      </c>
      <c r="W24" s="5">
        <f t="shared" si="1"/>
        <v>57.152636875010302</v>
      </c>
      <c r="X24" s="5">
        <f t="shared" si="1"/>
        <v>114.3052737500206</v>
      </c>
      <c r="Y24" s="5">
        <f t="shared" si="1"/>
        <v>171.45791062503093</v>
      </c>
      <c r="Z24" s="5">
        <f t="shared" si="2"/>
        <v>171.45791062503093</v>
      </c>
      <c r="AA24" s="5">
        <f t="shared" si="2"/>
        <v>228.61054750004121</v>
      </c>
    </row>
    <row r="25" spans="1:27" ht="31.5" x14ac:dyDescent="0.25">
      <c r="A25" s="6">
        <v>23</v>
      </c>
      <c r="B25" s="7">
        <v>4210</v>
      </c>
      <c r="C25" s="3" t="s">
        <v>28</v>
      </c>
      <c r="D25" s="7">
        <v>30</v>
      </c>
      <c r="E25" s="8" t="s">
        <v>24</v>
      </c>
      <c r="F25" s="5" t="s">
        <v>99</v>
      </c>
      <c r="G25" s="5">
        <v>1.01</v>
      </c>
      <c r="H25" s="5">
        <v>1.4</v>
      </c>
      <c r="I25" s="9">
        <v>151</v>
      </c>
      <c r="J25" s="5">
        <f t="shared" si="1"/>
        <v>9.177880794701986</v>
      </c>
      <c r="K25" s="5">
        <f t="shared" si="1"/>
        <v>18.355761589403972</v>
      </c>
      <c r="L25" s="5">
        <f t="shared" si="1"/>
        <v>27.533642384105956</v>
      </c>
      <c r="M25" s="5">
        <f t="shared" si="1"/>
        <v>45.889403973509928</v>
      </c>
      <c r="N25" s="5">
        <f t="shared" si="1"/>
        <v>91.778807947019857</v>
      </c>
      <c r="O25" s="5">
        <f t="shared" si="1"/>
        <v>137.66821192052979</v>
      </c>
      <c r="P25" s="5">
        <f t="shared" si="1"/>
        <v>137.66821192052979</v>
      </c>
      <c r="Q25" s="5">
        <f t="shared" si="1"/>
        <v>183.55761589403971</v>
      </c>
      <c r="R25" s="5">
        <f t="shared" si="1"/>
        <v>229.44701986754964</v>
      </c>
      <c r="S25" s="5">
        <f t="shared" si="1"/>
        <v>275.33642384105957</v>
      </c>
      <c r="T25" s="5">
        <f t="shared" si="1"/>
        <v>367.11523178807943</v>
      </c>
      <c r="U25" s="5">
        <f t="shared" si="1"/>
        <v>440.5382781456953</v>
      </c>
      <c r="V25" s="5">
        <f t="shared" si="1"/>
        <v>27.533642384105956</v>
      </c>
      <c r="W25" s="5">
        <f t="shared" si="1"/>
        <v>45.889403973509928</v>
      </c>
      <c r="X25" s="5">
        <f t="shared" si="1"/>
        <v>91.778807947019857</v>
      </c>
      <c r="Y25" s="5">
        <f t="shared" si="1"/>
        <v>137.66821192052979</v>
      </c>
      <c r="Z25" s="5">
        <f t="shared" si="2"/>
        <v>137.66821192052979</v>
      </c>
      <c r="AA25" s="5">
        <f t="shared" si="2"/>
        <v>183.55761589403971</v>
      </c>
    </row>
    <row r="26" spans="1:27" ht="31.5" x14ac:dyDescent="0.25">
      <c r="A26" s="6">
        <v>24</v>
      </c>
      <c r="B26" s="7">
        <v>4211</v>
      </c>
      <c r="C26" s="3" t="s">
        <v>28</v>
      </c>
      <c r="D26" s="7">
        <v>40</v>
      </c>
      <c r="E26" s="8" t="s">
        <v>26</v>
      </c>
      <c r="F26" s="5" t="s">
        <v>99</v>
      </c>
      <c r="G26" s="5">
        <v>1.01</v>
      </c>
      <c r="H26" s="5">
        <v>1.4</v>
      </c>
      <c r="I26" s="9">
        <v>82</v>
      </c>
      <c r="J26" s="5">
        <f t="shared" si="1"/>
        <v>16.900731707317071</v>
      </c>
      <c r="K26" s="5">
        <f t="shared" si="1"/>
        <v>33.801463414634142</v>
      </c>
      <c r="L26" s="5">
        <f t="shared" si="1"/>
        <v>50.70219512195122</v>
      </c>
      <c r="M26" s="5">
        <f t="shared" si="1"/>
        <v>84.503658536585377</v>
      </c>
      <c r="N26" s="5">
        <f t="shared" si="1"/>
        <v>169.00731707317075</v>
      </c>
      <c r="O26" s="5">
        <f t="shared" si="1"/>
        <v>253.51097560975609</v>
      </c>
      <c r="P26" s="5">
        <f t="shared" si="1"/>
        <v>253.51097560975609</v>
      </c>
      <c r="Q26" s="5">
        <f t="shared" si="1"/>
        <v>338.01463414634151</v>
      </c>
      <c r="R26" s="5">
        <f t="shared" si="1"/>
        <v>422.51829268292681</v>
      </c>
      <c r="S26" s="5">
        <f t="shared" si="1"/>
        <v>507.02195121951218</v>
      </c>
      <c r="T26" s="5">
        <f t="shared" si="1"/>
        <v>676.02926829268301</v>
      </c>
      <c r="U26" s="5">
        <f t="shared" si="1"/>
        <v>811.23512195121953</v>
      </c>
      <c r="V26" s="5">
        <f t="shared" si="1"/>
        <v>50.70219512195122</v>
      </c>
      <c r="W26" s="5">
        <f t="shared" si="1"/>
        <v>84.503658536585377</v>
      </c>
      <c r="X26" s="5">
        <f t="shared" si="1"/>
        <v>169.00731707317075</v>
      </c>
      <c r="Y26" s="5">
        <f t="shared" si="1"/>
        <v>253.51097560975609</v>
      </c>
      <c r="Z26" s="5">
        <f t="shared" si="2"/>
        <v>253.51097560975609</v>
      </c>
      <c r="AA26" s="5">
        <f t="shared" si="2"/>
        <v>338.01463414634151</v>
      </c>
    </row>
    <row r="27" spans="1:27" x14ac:dyDescent="0.25">
      <c r="A27" s="6">
        <v>25</v>
      </c>
      <c r="B27" s="7">
        <v>4212</v>
      </c>
      <c r="C27" s="3" t="s">
        <v>29</v>
      </c>
      <c r="D27" s="7">
        <v>30</v>
      </c>
      <c r="E27" s="8" t="s">
        <v>24</v>
      </c>
      <c r="F27" s="5" t="s">
        <v>99</v>
      </c>
      <c r="G27" s="5">
        <v>1.01</v>
      </c>
      <c r="H27" s="5">
        <v>1.4</v>
      </c>
      <c r="I27" s="9">
        <v>302</v>
      </c>
      <c r="J27" s="5">
        <f t="shared" si="1"/>
        <v>4.588940397350993</v>
      </c>
      <c r="K27" s="5">
        <f t="shared" si="1"/>
        <v>9.177880794701986</v>
      </c>
      <c r="L27" s="5">
        <f t="shared" si="1"/>
        <v>13.766821192052978</v>
      </c>
      <c r="M27" s="5">
        <f t="shared" si="1"/>
        <v>22.944701986754964</v>
      </c>
      <c r="N27" s="5">
        <f t="shared" si="1"/>
        <v>45.889403973509928</v>
      </c>
      <c r="O27" s="5">
        <f t="shared" si="1"/>
        <v>68.834105960264893</v>
      </c>
      <c r="P27" s="5">
        <f t="shared" si="1"/>
        <v>68.834105960264893</v>
      </c>
      <c r="Q27" s="5">
        <f t="shared" si="1"/>
        <v>91.778807947019857</v>
      </c>
      <c r="R27" s="5">
        <f t="shared" si="1"/>
        <v>114.72350993377482</v>
      </c>
      <c r="S27" s="5">
        <f t="shared" si="1"/>
        <v>137.66821192052979</v>
      </c>
      <c r="T27" s="5">
        <f t="shared" si="1"/>
        <v>183.55761589403971</v>
      </c>
      <c r="U27" s="5">
        <f t="shared" si="1"/>
        <v>220.26913907284765</v>
      </c>
      <c r="V27" s="5">
        <f t="shared" si="1"/>
        <v>13.766821192052978</v>
      </c>
      <c r="W27" s="5">
        <f t="shared" si="1"/>
        <v>22.944701986754964</v>
      </c>
      <c r="X27" s="5">
        <f t="shared" si="1"/>
        <v>45.889403973509928</v>
      </c>
      <c r="Y27" s="5">
        <f t="shared" si="1"/>
        <v>68.834105960264893</v>
      </c>
      <c r="Z27" s="5">
        <f t="shared" si="2"/>
        <v>68.834105960264893</v>
      </c>
      <c r="AA27" s="5">
        <f t="shared" si="2"/>
        <v>91.778807947019857</v>
      </c>
    </row>
    <row r="28" spans="1:27" x14ac:dyDescent="0.25">
      <c r="A28" s="6">
        <v>26</v>
      </c>
      <c r="B28" s="7">
        <v>4213</v>
      </c>
      <c r="C28" s="7" t="s">
        <v>30</v>
      </c>
      <c r="D28" s="7">
        <v>40</v>
      </c>
      <c r="E28" s="8" t="s">
        <v>26</v>
      </c>
      <c r="F28" s="5" t="s">
        <v>99</v>
      </c>
      <c r="G28" s="5">
        <v>1.01</v>
      </c>
      <c r="H28" s="5">
        <v>1.4</v>
      </c>
      <c r="I28" s="9">
        <v>205</v>
      </c>
      <c r="J28" s="5">
        <f t="shared" si="1"/>
        <v>6.7602926829268286</v>
      </c>
      <c r="K28" s="5">
        <f t="shared" si="1"/>
        <v>13.520585365853657</v>
      </c>
      <c r="L28" s="5">
        <f t="shared" si="1"/>
        <v>20.280878048780487</v>
      </c>
      <c r="M28" s="5">
        <f t="shared" si="1"/>
        <v>33.801463414634142</v>
      </c>
      <c r="N28" s="5">
        <f t="shared" si="1"/>
        <v>67.602926829268284</v>
      </c>
      <c r="O28" s="5">
        <f t="shared" si="1"/>
        <v>101.40439024390244</v>
      </c>
      <c r="P28" s="5">
        <f t="shared" si="1"/>
        <v>101.40439024390244</v>
      </c>
      <c r="Q28" s="5">
        <f t="shared" si="1"/>
        <v>135.20585365853657</v>
      </c>
      <c r="R28" s="5">
        <f t="shared" si="1"/>
        <v>169.0073170731707</v>
      </c>
      <c r="S28" s="5">
        <f t="shared" si="1"/>
        <v>202.80878048780488</v>
      </c>
      <c r="T28" s="5">
        <f t="shared" si="1"/>
        <v>270.41170731707314</v>
      </c>
      <c r="U28" s="5">
        <f t="shared" si="1"/>
        <v>324.49404878048779</v>
      </c>
      <c r="V28" s="5">
        <f t="shared" si="1"/>
        <v>20.280878048780487</v>
      </c>
      <c r="W28" s="5">
        <f t="shared" si="1"/>
        <v>33.801463414634142</v>
      </c>
      <c r="X28" s="5">
        <f t="shared" si="1"/>
        <v>67.602926829268284</v>
      </c>
      <c r="Y28" s="5">
        <f t="shared" si="1"/>
        <v>101.40439024390244</v>
      </c>
      <c r="Z28" s="5">
        <f t="shared" si="2"/>
        <v>101.40439024390244</v>
      </c>
      <c r="AA28" s="5">
        <f t="shared" si="2"/>
        <v>135.20585365853657</v>
      </c>
    </row>
    <row r="29" spans="1:27" x14ac:dyDescent="0.25">
      <c r="A29" s="6">
        <v>27</v>
      </c>
      <c r="B29" s="7">
        <v>4305</v>
      </c>
      <c r="C29" s="7" t="s">
        <v>25</v>
      </c>
      <c r="D29" s="7">
        <v>90</v>
      </c>
      <c r="E29" s="21" t="s">
        <v>72</v>
      </c>
      <c r="F29" s="5" t="s">
        <v>99</v>
      </c>
      <c r="G29" s="5">
        <v>1.01</v>
      </c>
      <c r="H29" s="5">
        <v>1.4</v>
      </c>
      <c r="I29" s="9">
        <v>328</v>
      </c>
      <c r="J29" s="5">
        <f t="shared" si="1"/>
        <v>4.2251829268292678</v>
      </c>
      <c r="K29" s="5">
        <f t="shared" si="1"/>
        <v>8.4503658536585355</v>
      </c>
      <c r="L29" s="5">
        <f t="shared" si="1"/>
        <v>12.675548780487805</v>
      </c>
      <c r="M29" s="5">
        <f t="shared" si="1"/>
        <v>21.125914634146344</v>
      </c>
      <c r="N29" s="5">
        <f t="shared" si="1"/>
        <v>42.251829268292688</v>
      </c>
      <c r="O29" s="5">
        <f t="shared" si="1"/>
        <v>63.377743902439022</v>
      </c>
      <c r="P29" s="5">
        <f t="shared" si="1"/>
        <v>63.377743902439022</v>
      </c>
      <c r="Q29" s="5">
        <f t="shared" si="1"/>
        <v>84.503658536585377</v>
      </c>
      <c r="R29" s="5">
        <f t="shared" si="1"/>
        <v>105.6295731707317</v>
      </c>
      <c r="S29" s="5">
        <f t="shared" si="1"/>
        <v>126.75548780487804</v>
      </c>
      <c r="T29" s="5">
        <f t="shared" si="1"/>
        <v>169.00731707317075</v>
      </c>
      <c r="U29" s="5">
        <f t="shared" si="1"/>
        <v>202.80878048780488</v>
      </c>
      <c r="V29" s="5">
        <f t="shared" si="1"/>
        <v>12.675548780487805</v>
      </c>
      <c r="W29" s="5">
        <f t="shared" si="1"/>
        <v>21.125914634146344</v>
      </c>
      <c r="X29" s="5">
        <f t="shared" si="1"/>
        <v>42.251829268292688</v>
      </c>
      <c r="Y29" s="5">
        <f t="shared" si="1"/>
        <v>63.377743902439022</v>
      </c>
      <c r="Z29" s="5">
        <f t="shared" si="2"/>
        <v>63.377743902439022</v>
      </c>
      <c r="AA29" s="5">
        <f t="shared" si="2"/>
        <v>84.503658536585377</v>
      </c>
    </row>
    <row r="30" spans="1:27" x14ac:dyDescent="0.25">
      <c r="A30" s="6">
        <v>28</v>
      </c>
      <c r="B30" s="7">
        <v>7102</v>
      </c>
      <c r="C30" s="7" t="s">
        <v>31</v>
      </c>
      <c r="D30" s="7">
        <v>17</v>
      </c>
      <c r="E30" s="19" t="s">
        <v>88</v>
      </c>
      <c r="F30" s="5" t="s">
        <v>100</v>
      </c>
      <c r="G30" s="5">
        <v>2.1</v>
      </c>
      <c r="I30" s="9">
        <v>90.18</v>
      </c>
      <c r="J30" s="5">
        <f t="shared" si="1"/>
        <v>0</v>
      </c>
      <c r="K30" s="5">
        <f t="shared" si="1"/>
        <v>0</v>
      </c>
      <c r="L30" s="5">
        <f t="shared" si="1"/>
        <v>0</v>
      </c>
      <c r="M30" s="5">
        <f t="shared" si="1"/>
        <v>0</v>
      </c>
      <c r="N30" s="5">
        <f t="shared" si="1"/>
        <v>0</v>
      </c>
      <c r="O30" s="5">
        <f t="shared" si="1"/>
        <v>0</v>
      </c>
      <c r="P30" s="5">
        <f t="shared" si="1"/>
        <v>0</v>
      </c>
      <c r="Q30" s="5">
        <f t="shared" si="1"/>
        <v>0</v>
      </c>
      <c r="R30" s="5">
        <f t="shared" si="1"/>
        <v>0</v>
      </c>
      <c r="S30" s="5">
        <f t="shared" si="1"/>
        <v>0</v>
      </c>
      <c r="T30" s="5">
        <f t="shared" si="1"/>
        <v>0</v>
      </c>
      <c r="U30" s="5">
        <f t="shared" si="1"/>
        <v>0</v>
      </c>
      <c r="V30" s="5">
        <f t="shared" si="1"/>
        <v>0</v>
      </c>
      <c r="W30" s="5">
        <f t="shared" si="1"/>
        <v>0</v>
      </c>
      <c r="X30" s="5">
        <f t="shared" si="1"/>
        <v>0</v>
      </c>
      <c r="Y30" s="5">
        <f t="shared" si="1"/>
        <v>0</v>
      </c>
      <c r="Z30" s="5">
        <f t="shared" si="2"/>
        <v>0</v>
      </c>
      <c r="AA30" s="5">
        <f t="shared" si="2"/>
        <v>0</v>
      </c>
    </row>
    <row r="31" spans="1:27" x14ac:dyDescent="0.25">
      <c r="A31" s="6">
        <v>29</v>
      </c>
      <c r="B31" s="7">
        <v>7103</v>
      </c>
      <c r="C31" s="7" t="s">
        <v>32</v>
      </c>
      <c r="D31" s="7">
        <v>35</v>
      </c>
      <c r="E31" s="19" t="s">
        <v>86</v>
      </c>
      <c r="F31" s="5" t="s">
        <v>100</v>
      </c>
      <c r="G31" s="5">
        <v>2.1</v>
      </c>
      <c r="I31" s="9">
        <v>180.36</v>
      </c>
      <c r="J31" s="5">
        <f t="shared" si="1"/>
        <v>0</v>
      </c>
      <c r="K31" s="5">
        <f t="shared" si="1"/>
        <v>0</v>
      </c>
      <c r="L31" s="5">
        <f t="shared" si="1"/>
        <v>0</v>
      </c>
      <c r="M31" s="5">
        <f t="shared" si="1"/>
        <v>0</v>
      </c>
      <c r="N31" s="5">
        <f t="shared" si="1"/>
        <v>0</v>
      </c>
      <c r="O31" s="5">
        <f t="shared" si="1"/>
        <v>0</v>
      </c>
      <c r="P31" s="5">
        <f t="shared" si="1"/>
        <v>0</v>
      </c>
      <c r="Q31" s="5">
        <f t="shared" si="1"/>
        <v>0</v>
      </c>
      <c r="R31" s="5">
        <f t="shared" si="1"/>
        <v>0</v>
      </c>
      <c r="S31" s="5">
        <f t="shared" si="1"/>
        <v>0</v>
      </c>
      <c r="T31" s="5">
        <f t="shared" si="1"/>
        <v>0</v>
      </c>
      <c r="U31" s="5">
        <f t="shared" si="1"/>
        <v>0</v>
      </c>
      <c r="V31" s="5">
        <f t="shared" si="1"/>
        <v>0</v>
      </c>
      <c r="W31" s="5">
        <f t="shared" si="1"/>
        <v>0</v>
      </c>
      <c r="X31" s="5">
        <f t="shared" si="1"/>
        <v>0</v>
      </c>
      <c r="Y31" s="5">
        <f t="shared" si="1"/>
        <v>0</v>
      </c>
      <c r="Z31" s="5">
        <f t="shared" si="2"/>
        <v>0</v>
      </c>
      <c r="AA31" s="5">
        <f t="shared" si="2"/>
        <v>0</v>
      </c>
    </row>
    <row r="32" spans="1:27" x14ac:dyDescent="0.25">
      <c r="A32" s="6">
        <v>30</v>
      </c>
      <c r="B32" s="7">
        <v>7201</v>
      </c>
      <c r="C32" s="7" t="s">
        <v>33</v>
      </c>
      <c r="D32" s="7">
        <v>18</v>
      </c>
      <c r="E32" s="19" t="s">
        <v>87</v>
      </c>
      <c r="F32" s="5" t="s">
        <v>100</v>
      </c>
      <c r="G32" s="5">
        <v>2.1</v>
      </c>
      <c r="I32" s="9">
        <v>180.36</v>
      </c>
      <c r="J32" s="5">
        <f t="shared" si="1"/>
        <v>0</v>
      </c>
      <c r="K32" s="5">
        <f t="shared" si="1"/>
        <v>0</v>
      </c>
      <c r="L32" s="5">
        <f t="shared" si="1"/>
        <v>0</v>
      </c>
      <c r="M32" s="5">
        <f t="shared" si="1"/>
        <v>0</v>
      </c>
      <c r="N32" s="5">
        <f t="shared" si="1"/>
        <v>0</v>
      </c>
      <c r="O32" s="5">
        <f t="shared" si="1"/>
        <v>0</v>
      </c>
      <c r="P32" s="5">
        <f t="shared" si="1"/>
        <v>0</v>
      </c>
      <c r="Q32" s="5">
        <f t="shared" si="1"/>
        <v>0</v>
      </c>
      <c r="R32" s="5">
        <f t="shared" si="1"/>
        <v>0</v>
      </c>
      <c r="S32" s="5">
        <f t="shared" si="1"/>
        <v>0</v>
      </c>
      <c r="T32" s="5">
        <f t="shared" si="1"/>
        <v>0</v>
      </c>
      <c r="U32" s="5">
        <f t="shared" si="1"/>
        <v>0</v>
      </c>
      <c r="V32" s="5">
        <f t="shared" si="1"/>
        <v>0</v>
      </c>
      <c r="W32" s="5">
        <f t="shared" si="1"/>
        <v>0</v>
      </c>
      <c r="X32" s="5">
        <f t="shared" si="1"/>
        <v>0</v>
      </c>
      <c r="Y32" s="5">
        <f t="shared" si="1"/>
        <v>0</v>
      </c>
      <c r="Z32" s="5">
        <f t="shared" si="2"/>
        <v>0</v>
      </c>
      <c r="AA32" s="5">
        <f t="shared" si="2"/>
        <v>0</v>
      </c>
    </row>
    <row r="33" spans="1:27" x14ac:dyDescent="0.25">
      <c r="A33" s="6">
        <v>31</v>
      </c>
      <c r="B33" s="7">
        <v>7301</v>
      </c>
      <c r="C33" s="7" t="s">
        <v>34</v>
      </c>
      <c r="D33" s="7">
        <v>27</v>
      </c>
      <c r="E33" s="19" t="s">
        <v>89</v>
      </c>
      <c r="F33" s="5" t="s">
        <v>100</v>
      </c>
      <c r="G33" s="5">
        <v>2.1</v>
      </c>
      <c r="I33" s="9">
        <v>136</v>
      </c>
      <c r="J33" s="5">
        <f t="shared" si="1"/>
        <v>0</v>
      </c>
      <c r="K33" s="5">
        <f t="shared" ref="K33:Z94" si="3">$H33*1000/$I33*K$2*(100-$G33)/100</f>
        <v>0</v>
      </c>
      <c r="L33" s="5">
        <f t="shared" si="3"/>
        <v>0</v>
      </c>
      <c r="M33" s="5">
        <f t="shared" si="3"/>
        <v>0</v>
      </c>
      <c r="N33" s="5">
        <f t="shared" si="3"/>
        <v>0</v>
      </c>
      <c r="O33" s="5">
        <f t="shared" si="3"/>
        <v>0</v>
      </c>
      <c r="P33" s="5">
        <f t="shared" si="3"/>
        <v>0</v>
      </c>
      <c r="Q33" s="5">
        <f t="shared" si="3"/>
        <v>0</v>
      </c>
      <c r="R33" s="5">
        <f t="shared" si="3"/>
        <v>0</v>
      </c>
      <c r="S33" s="5">
        <f t="shared" si="3"/>
        <v>0</v>
      </c>
      <c r="T33" s="5">
        <f t="shared" si="3"/>
        <v>0</v>
      </c>
      <c r="U33" s="5">
        <f t="shared" si="3"/>
        <v>0</v>
      </c>
      <c r="V33" s="5">
        <f t="shared" si="3"/>
        <v>0</v>
      </c>
      <c r="W33" s="5">
        <f t="shared" si="3"/>
        <v>0</v>
      </c>
      <c r="X33" s="5">
        <f t="shared" si="3"/>
        <v>0</v>
      </c>
      <c r="Y33" s="5">
        <f t="shared" si="3"/>
        <v>0</v>
      </c>
      <c r="Z33" s="5">
        <f t="shared" si="3"/>
        <v>0</v>
      </c>
      <c r="AA33" s="5">
        <f t="shared" si="2"/>
        <v>0</v>
      </c>
    </row>
    <row r="34" spans="1:27" x14ac:dyDescent="0.25">
      <c r="A34" s="6">
        <v>32</v>
      </c>
      <c r="B34" s="7">
        <v>2201</v>
      </c>
      <c r="C34" s="7" t="s">
        <v>35</v>
      </c>
      <c r="D34" s="7">
        <v>50</v>
      </c>
      <c r="E34" s="8" t="s">
        <v>76</v>
      </c>
      <c r="F34" s="5" t="s">
        <v>101</v>
      </c>
      <c r="G34" s="5">
        <v>2.1</v>
      </c>
      <c r="H34" s="5">
        <v>1.1000000000000001</v>
      </c>
      <c r="I34" s="9">
        <v>495.99</v>
      </c>
      <c r="J34" s="5">
        <f t="shared" ref="J34:Y65" si="4">$H34*1000/$I34*J$2*(100-$G34)/100</f>
        <v>2.1712131292969619</v>
      </c>
      <c r="K34" s="5">
        <f t="shared" si="3"/>
        <v>4.3424262585939237</v>
      </c>
      <c r="L34" s="5">
        <f t="shared" si="3"/>
        <v>6.5136393878908851</v>
      </c>
      <c r="M34" s="5">
        <f t="shared" si="3"/>
        <v>10.85606564648481</v>
      </c>
      <c r="N34" s="5">
        <f t="shared" si="3"/>
        <v>21.71213129296962</v>
      </c>
      <c r="O34" s="5">
        <f t="shared" si="3"/>
        <v>32.568196939454431</v>
      </c>
      <c r="P34" s="5">
        <f t="shared" si="3"/>
        <v>32.568196939454431</v>
      </c>
      <c r="Q34" s="5">
        <f t="shared" si="3"/>
        <v>43.424262585939239</v>
      </c>
      <c r="R34" s="5">
        <f t="shared" si="3"/>
        <v>54.280328232424047</v>
      </c>
      <c r="S34" s="5">
        <f t="shared" si="3"/>
        <v>65.136393878908862</v>
      </c>
      <c r="T34" s="5">
        <f t="shared" si="3"/>
        <v>86.848525171878478</v>
      </c>
      <c r="U34" s="5">
        <f t="shared" si="3"/>
        <v>104.21823020625416</v>
      </c>
      <c r="V34" s="5">
        <f t="shared" si="3"/>
        <v>6.5136393878908851</v>
      </c>
      <c r="W34" s="5">
        <f t="shared" si="3"/>
        <v>10.85606564648481</v>
      </c>
      <c r="X34" s="5">
        <f t="shared" si="3"/>
        <v>21.71213129296962</v>
      </c>
      <c r="Y34" s="5">
        <f t="shared" si="3"/>
        <v>32.568196939454431</v>
      </c>
      <c r="Z34" s="5">
        <f t="shared" si="3"/>
        <v>32.568196939454431</v>
      </c>
      <c r="AA34" s="5">
        <f t="shared" si="2"/>
        <v>43.424262585939239</v>
      </c>
    </row>
    <row r="35" spans="1:27" x14ac:dyDescent="0.25">
      <c r="A35" s="6">
        <v>33</v>
      </c>
      <c r="B35" s="7">
        <v>2202</v>
      </c>
      <c r="C35" s="7" t="s">
        <v>36</v>
      </c>
      <c r="D35" s="7">
        <v>50</v>
      </c>
      <c r="E35" s="8" t="s">
        <v>76</v>
      </c>
      <c r="F35" s="5" t="s">
        <v>101</v>
      </c>
      <c r="G35" s="5">
        <v>2.1</v>
      </c>
      <c r="H35" s="5">
        <v>1.1000000000000001</v>
      </c>
      <c r="I35" s="9">
        <v>99.197999999999993</v>
      </c>
      <c r="J35" s="5">
        <f t="shared" si="4"/>
        <v>10.85606564648481</v>
      </c>
      <c r="K35" s="5">
        <f t="shared" si="3"/>
        <v>21.71213129296962</v>
      </c>
      <c r="L35" s="5">
        <f t="shared" si="3"/>
        <v>32.568196939454431</v>
      </c>
      <c r="M35" s="5">
        <f t="shared" si="3"/>
        <v>54.280328232424054</v>
      </c>
      <c r="N35" s="5">
        <f t="shared" si="3"/>
        <v>108.56065646484811</v>
      </c>
      <c r="O35" s="5">
        <f t="shared" si="3"/>
        <v>162.84098469727215</v>
      </c>
      <c r="P35" s="5">
        <f t="shared" si="3"/>
        <v>162.84098469727215</v>
      </c>
      <c r="Q35" s="5">
        <f t="shared" si="3"/>
        <v>217.12131292969622</v>
      </c>
      <c r="R35" s="5">
        <f t="shared" si="3"/>
        <v>271.40164116212026</v>
      </c>
      <c r="S35" s="5">
        <f t="shared" si="3"/>
        <v>325.6819693945443</v>
      </c>
      <c r="T35" s="5">
        <f t="shared" si="3"/>
        <v>434.24262585939243</v>
      </c>
      <c r="U35" s="5">
        <f t="shared" si="3"/>
        <v>521.0911510312709</v>
      </c>
      <c r="V35" s="5">
        <f t="shared" si="3"/>
        <v>32.568196939454431</v>
      </c>
      <c r="W35" s="5">
        <f t="shared" si="3"/>
        <v>54.280328232424054</v>
      </c>
      <c r="X35" s="5">
        <f t="shared" si="3"/>
        <v>108.56065646484811</v>
      </c>
      <c r="Y35" s="5">
        <f t="shared" si="3"/>
        <v>162.84098469727215</v>
      </c>
      <c r="Z35" s="5">
        <f t="shared" si="3"/>
        <v>162.84098469727215</v>
      </c>
      <c r="AA35" s="5">
        <f t="shared" si="2"/>
        <v>217.12131292969622</v>
      </c>
    </row>
    <row r="36" spans="1:27" x14ac:dyDescent="0.25">
      <c r="A36" s="6">
        <v>34</v>
      </c>
      <c r="B36" s="7">
        <v>2203</v>
      </c>
      <c r="C36" s="7" t="s">
        <v>35</v>
      </c>
      <c r="D36" s="7">
        <v>50</v>
      </c>
      <c r="E36" s="8" t="s">
        <v>76</v>
      </c>
      <c r="F36" s="5" t="s">
        <v>101</v>
      </c>
      <c r="G36" s="5">
        <v>2.1</v>
      </c>
      <c r="H36" s="5">
        <v>1.1000000000000001</v>
      </c>
      <c r="I36" s="9">
        <v>887</v>
      </c>
      <c r="J36" s="5">
        <f t="shared" si="4"/>
        <v>1.2140924464487035</v>
      </c>
      <c r="K36" s="5">
        <f t="shared" si="3"/>
        <v>2.428184892897407</v>
      </c>
      <c r="L36" s="5">
        <f t="shared" si="3"/>
        <v>3.6422773393461108</v>
      </c>
      <c r="M36" s="5">
        <f t="shared" si="3"/>
        <v>6.0704622322435169</v>
      </c>
      <c r="N36" s="5">
        <f t="shared" si="3"/>
        <v>12.140924464487034</v>
      </c>
      <c r="O36" s="5">
        <f t="shared" si="3"/>
        <v>18.211386696730553</v>
      </c>
      <c r="P36" s="5">
        <f t="shared" si="3"/>
        <v>18.211386696730553</v>
      </c>
      <c r="Q36" s="5">
        <f t="shared" si="3"/>
        <v>24.281848928974068</v>
      </c>
      <c r="R36" s="5">
        <f t="shared" si="3"/>
        <v>30.352311161217585</v>
      </c>
      <c r="S36" s="5">
        <f t="shared" si="3"/>
        <v>36.422773393461107</v>
      </c>
      <c r="T36" s="5">
        <f t="shared" si="3"/>
        <v>48.563697857948135</v>
      </c>
      <c r="U36" s="5">
        <f t="shared" si="3"/>
        <v>58.276437429537772</v>
      </c>
      <c r="V36" s="5">
        <f t="shared" si="3"/>
        <v>3.6422773393461108</v>
      </c>
      <c r="W36" s="5">
        <f t="shared" si="3"/>
        <v>6.0704622322435169</v>
      </c>
      <c r="X36" s="5">
        <f t="shared" si="3"/>
        <v>12.140924464487034</v>
      </c>
      <c r="Y36" s="5">
        <f t="shared" si="3"/>
        <v>18.211386696730553</v>
      </c>
      <c r="Z36" s="5">
        <f t="shared" si="3"/>
        <v>18.211386696730553</v>
      </c>
      <c r="AA36" s="5">
        <f t="shared" si="2"/>
        <v>24.281848928974068</v>
      </c>
    </row>
    <row r="37" spans="1:27" x14ac:dyDescent="0.25">
      <c r="A37" s="6">
        <v>35</v>
      </c>
      <c r="B37" s="11">
        <v>2204</v>
      </c>
      <c r="C37" s="11" t="s">
        <v>37</v>
      </c>
      <c r="D37" s="11">
        <v>35</v>
      </c>
      <c r="E37" s="22" t="s">
        <v>77</v>
      </c>
      <c r="F37" s="5" t="s">
        <v>102</v>
      </c>
      <c r="G37" s="5">
        <v>2.1</v>
      </c>
      <c r="I37" s="13">
        <v>841</v>
      </c>
      <c r="J37" s="5">
        <f t="shared" si="4"/>
        <v>0</v>
      </c>
      <c r="K37" s="5">
        <f t="shared" si="3"/>
        <v>0</v>
      </c>
      <c r="L37" s="5">
        <f t="shared" si="3"/>
        <v>0</v>
      </c>
      <c r="M37" s="5">
        <f t="shared" si="3"/>
        <v>0</v>
      </c>
      <c r="N37" s="5">
        <f t="shared" si="3"/>
        <v>0</v>
      </c>
      <c r="O37" s="5">
        <f t="shared" si="3"/>
        <v>0</v>
      </c>
      <c r="P37" s="5">
        <f t="shared" si="3"/>
        <v>0</v>
      </c>
      <c r="Q37" s="5">
        <f t="shared" si="3"/>
        <v>0</v>
      </c>
      <c r="R37" s="5">
        <f t="shared" si="3"/>
        <v>0</v>
      </c>
      <c r="S37" s="5">
        <f t="shared" si="3"/>
        <v>0</v>
      </c>
      <c r="T37" s="5">
        <f t="shared" si="3"/>
        <v>0</v>
      </c>
      <c r="U37" s="5">
        <f t="shared" si="3"/>
        <v>0</v>
      </c>
      <c r="V37" s="5">
        <f t="shared" si="3"/>
        <v>0</v>
      </c>
      <c r="W37" s="5">
        <f t="shared" si="3"/>
        <v>0</v>
      </c>
      <c r="X37" s="5">
        <f t="shared" si="3"/>
        <v>0</v>
      </c>
      <c r="Y37" s="5">
        <f t="shared" si="3"/>
        <v>0</v>
      </c>
      <c r="Z37" s="5">
        <f t="shared" si="3"/>
        <v>0</v>
      </c>
      <c r="AA37" s="5">
        <f t="shared" si="2"/>
        <v>0</v>
      </c>
    </row>
    <row r="38" spans="1:27" x14ac:dyDescent="0.25">
      <c r="A38" s="6">
        <v>36</v>
      </c>
      <c r="B38" s="11">
        <v>2205</v>
      </c>
      <c r="C38" s="11" t="s">
        <v>35</v>
      </c>
      <c r="D38" s="11">
        <v>50</v>
      </c>
      <c r="E38" s="22" t="s">
        <v>78</v>
      </c>
      <c r="F38" s="5" t="s">
        <v>102</v>
      </c>
      <c r="G38" s="5">
        <v>2.1</v>
      </c>
      <c r="H38" s="5">
        <v>1.1000000000000001</v>
      </c>
      <c r="I38" s="13">
        <v>841</v>
      </c>
      <c r="J38" s="5">
        <f t="shared" si="4"/>
        <v>1.2804994054696792</v>
      </c>
      <c r="K38" s="5">
        <f t="shared" si="3"/>
        <v>2.5609988109393584</v>
      </c>
      <c r="L38" s="5">
        <f t="shared" si="3"/>
        <v>3.8414982164090374</v>
      </c>
      <c r="M38" s="5">
        <f t="shared" si="3"/>
        <v>6.4024970273483959</v>
      </c>
      <c r="N38" s="5">
        <f t="shared" si="3"/>
        <v>12.804994054696792</v>
      </c>
      <c r="O38" s="5">
        <f t="shared" si="3"/>
        <v>19.207491082045188</v>
      </c>
      <c r="P38" s="5">
        <f t="shared" si="3"/>
        <v>19.207491082045188</v>
      </c>
      <c r="Q38" s="5">
        <f t="shared" si="3"/>
        <v>25.609988109393583</v>
      </c>
      <c r="R38" s="5">
        <f t="shared" si="3"/>
        <v>32.012485136741979</v>
      </c>
      <c r="S38" s="5">
        <f t="shared" si="3"/>
        <v>38.414982164090375</v>
      </c>
      <c r="T38" s="5">
        <f t="shared" si="3"/>
        <v>51.219976218787167</v>
      </c>
      <c r="U38" s="5">
        <f t="shared" si="3"/>
        <v>61.463971462544599</v>
      </c>
      <c r="V38" s="5">
        <f t="shared" si="3"/>
        <v>3.8414982164090374</v>
      </c>
      <c r="W38" s="5">
        <f t="shared" si="3"/>
        <v>6.4024970273483959</v>
      </c>
      <c r="X38" s="5">
        <f t="shared" si="3"/>
        <v>12.804994054696792</v>
      </c>
      <c r="Y38" s="5">
        <f t="shared" si="3"/>
        <v>19.207491082045188</v>
      </c>
      <c r="Z38" s="5">
        <f t="shared" si="3"/>
        <v>19.207491082045188</v>
      </c>
      <c r="AA38" s="5">
        <f t="shared" si="2"/>
        <v>25.609988109393583</v>
      </c>
    </row>
    <row r="39" spans="1:27" x14ac:dyDescent="0.25">
      <c r="A39" s="6">
        <v>37</v>
      </c>
      <c r="B39" s="11">
        <v>2206</v>
      </c>
      <c r="C39" s="11" t="s">
        <v>35</v>
      </c>
      <c r="D39" s="11">
        <v>50</v>
      </c>
      <c r="E39" s="22" t="s">
        <v>78</v>
      </c>
      <c r="F39" s="5" t="s">
        <v>102</v>
      </c>
      <c r="G39" s="5">
        <v>2.1</v>
      </c>
      <c r="H39" s="5">
        <v>1.1000000000000001</v>
      </c>
      <c r="I39" s="13">
        <v>495.99</v>
      </c>
      <c r="J39" s="5">
        <f t="shared" si="4"/>
        <v>2.1712131292969619</v>
      </c>
      <c r="K39" s="5">
        <f t="shared" si="3"/>
        <v>4.3424262585939237</v>
      </c>
      <c r="L39" s="5">
        <f t="shared" si="3"/>
        <v>6.5136393878908851</v>
      </c>
      <c r="M39" s="5">
        <f t="shared" si="3"/>
        <v>10.85606564648481</v>
      </c>
      <c r="N39" s="5">
        <f t="shared" si="3"/>
        <v>21.71213129296962</v>
      </c>
      <c r="O39" s="5">
        <f t="shared" si="3"/>
        <v>32.568196939454431</v>
      </c>
      <c r="P39" s="5">
        <f t="shared" si="3"/>
        <v>32.568196939454431</v>
      </c>
      <c r="Q39" s="5">
        <f t="shared" si="3"/>
        <v>43.424262585939239</v>
      </c>
      <c r="R39" s="5">
        <f t="shared" si="3"/>
        <v>54.280328232424047</v>
      </c>
      <c r="S39" s="5">
        <f t="shared" si="3"/>
        <v>65.136393878908862</v>
      </c>
      <c r="T39" s="5">
        <f t="shared" si="3"/>
        <v>86.848525171878478</v>
      </c>
      <c r="U39" s="5">
        <f t="shared" si="3"/>
        <v>104.21823020625416</v>
      </c>
      <c r="V39" s="5">
        <f t="shared" si="3"/>
        <v>6.5136393878908851</v>
      </c>
      <c r="W39" s="5">
        <f t="shared" si="3"/>
        <v>10.85606564648481</v>
      </c>
      <c r="X39" s="5">
        <f t="shared" si="3"/>
        <v>21.71213129296962</v>
      </c>
      <c r="Y39" s="5">
        <f t="shared" si="3"/>
        <v>32.568196939454431</v>
      </c>
      <c r="Z39" s="5">
        <f t="shared" si="3"/>
        <v>32.568196939454431</v>
      </c>
      <c r="AA39" s="5">
        <f t="shared" si="2"/>
        <v>43.424262585939239</v>
      </c>
    </row>
    <row r="40" spans="1:27" x14ac:dyDescent="0.25">
      <c r="A40" s="6">
        <v>38</v>
      </c>
      <c r="B40" s="7">
        <v>2207</v>
      </c>
      <c r="C40" s="7" t="s">
        <v>38</v>
      </c>
      <c r="D40" s="7">
        <v>27</v>
      </c>
      <c r="E40" s="21" t="s">
        <v>79</v>
      </c>
      <c r="F40" s="5" t="s">
        <v>103</v>
      </c>
      <c r="G40" s="5">
        <v>2.1</v>
      </c>
      <c r="I40" s="9">
        <v>137.77500000000001</v>
      </c>
      <c r="J40" s="5">
        <f t="shared" si="4"/>
        <v>0</v>
      </c>
      <c r="K40" s="5">
        <f t="shared" si="3"/>
        <v>0</v>
      </c>
      <c r="L40" s="5">
        <f t="shared" si="3"/>
        <v>0</v>
      </c>
      <c r="M40" s="5">
        <f t="shared" si="3"/>
        <v>0</v>
      </c>
      <c r="N40" s="5">
        <f t="shared" si="3"/>
        <v>0</v>
      </c>
      <c r="O40" s="5">
        <f t="shared" si="3"/>
        <v>0</v>
      </c>
      <c r="P40" s="5">
        <f t="shared" si="3"/>
        <v>0</v>
      </c>
      <c r="Q40" s="5">
        <f t="shared" si="3"/>
        <v>0</v>
      </c>
      <c r="R40" s="5">
        <f t="shared" si="3"/>
        <v>0</v>
      </c>
      <c r="S40" s="5">
        <f t="shared" si="3"/>
        <v>0</v>
      </c>
      <c r="T40" s="5">
        <f t="shared" si="3"/>
        <v>0</v>
      </c>
      <c r="U40" s="5">
        <f t="shared" si="3"/>
        <v>0</v>
      </c>
      <c r="V40" s="5">
        <f t="shared" si="3"/>
        <v>0</v>
      </c>
      <c r="W40" s="5">
        <f t="shared" si="3"/>
        <v>0</v>
      </c>
      <c r="X40" s="5">
        <f t="shared" si="3"/>
        <v>0</v>
      </c>
      <c r="Y40" s="5">
        <f t="shared" si="3"/>
        <v>0</v>
      </c>
      <c r="Z40" s="5">
        <f t="shared" si="3"/>
        <v>0</v>
      </c>
      <c r="AA40" s="5">
        <f t="shared" si="2"/>
        <v>0</v>
      </c>
    </row>
    <row r="41" spans="1:27" x14ac:dyDescent="0.25">
      <c r="A41" s="6">
        <v>39</v>
      </c>
      <c r="B41" s="7">
        <v>2208</v>
      </c>
      <c r="C41" s="7" t="s">
        <v>39</v>
      </c>
      <c r="D41" s="7">
        <v>30</v>
      </c>
      <c r="E41" s="21" t="s">
        <v>77</v>
      </c>
      <c r="F41" s="5" t="s">
        <v>102</v>
      </c>
      <c r="G41" s="5">
        <v>2.1</v>
      </c>
      <c r="I41" s="9">
        <v>175.35000000000002</v>
      </c>
      <c r="J41" s="5">
        <f t="shared" si="4"/>
        <v>0</v>
      </c>
      <c r="K41" s="5">
        <f t="shared" si="3"/>
        <v>0</v>
      </c>
      <c r="L41" s="5">
        <f t="shared" si="3"/>
        <v>0</v>
      </c>
      <c r="M41" s="5">
        <f t="shared" si="3"/>
        <v>0</v>
      </c>
      <c r="N41" s="5">
        <f t="shared" si="3"/>
        <v>0</v>
      </c>
      <c r="O41" s="5">
        <f t="shared" si="3"/>
        <v>0</v>
      </c>
      <c r="P41" s="5">
        <f t="shared" si="3"/>
        <v>0</v>
      </c>
      <c r="Q41" s="5">
        <f t="shared" si="3"/>
        <v>0</v>
      </c>
      <c r="R41" s="5">
        <f t="shared" si="3"/>
        <v>0</v>
      </c>
      <c r="S41" s="5">
        <f t="shared" si="3"/>
        <v>0</v>
      </c>
      <c r="T41" s="5">
        <f t="shared" si="3"/>
        <v>0</v>
      </c>
      <c r="U41" s="5">
        <f t="shared" si="3"/>
        <v>0</v>
      </c>
      <c r="V41" s="5">
        <f t="shared" si="3"/>
        <v>0</v>
      </c>
      <c r="W41" s="5">
        <f t="shared" si="3"/>
        <v>0</v>
      </c>
      <c r="X41" s="5">
        <f t="shared" si="3"/>
        <v>0</v>
      </c>
      <c r="Y41" s="5">
        <f t="shared" si="3"/>
        <v>0</v>
      </c>
      <c r="Z41" s="5">
        <f t="shared" si="3"/>
        <v>0</v>
      </c>
      <c r="AA41" s="5">
        <f t="shared" si="2"/>
        <v>0</v>
      </c>
    </row>
    <row r="42" spans="1:27" x14ac:dyDescent="0.25">
      <c r="A42" s="6">
        <v>40</v>
      </c>
      <c r="B42" s="7">
        <v>2209</v>
      </c>
      <c r="C42" s="7" t="s">
        <v>39</v>
      </c>
      <c r="D42" s="7">
        <v>80</v>
      </c>
      <c r="E42" s="8" t="s">
        <v>77</v>
      </c>
      <c r="F42" s="5" t="s">
        <v>102</v>
      </c>
      <c r="G42" s="5">
        <v>2.1</v>
      </c>
      <c r="I42" s="9">
        <v>525</v>
      </c>
      <c r="J42" s="5">
        <f t="shared" si="4"/>
        <v>0</v>
      </c>
      <c r="K42" s="5">
        <f t="shared" si="3"/>
        <v>0</v>
      </c>
      <c r="L42" s="5">
        <f t="shared" si="3"/>
        <v>0</v>
      </c>
      <c r="M42" s="5">
        <f t="shared" si="3"/>
        <v>0</v>
      </c>
      <c r="N42" s="5">
        <f t="shared" si="3"/>
        <v>0</v>
      </c>
      <c r="O42" s="5">
        <f t="shared" si="3"/>
        <v>0</v>
      </c>
      <c r="P42" s="5">
        <f t="shared" si="3"/>
        <v>0</v>
      </c>
      <c r="Q42" s="5">
        <f t="shared" si="3"/>
        <v>0</v>
      </c>
      <c r="R42" s="5">
        <f t="shared" si="3"/>
        <v>0</v>
      </c>
      <c r="S42" s="5">
        <f t="shared" si="3"/>
        <v>0</v>
      </c>
      <c r="T42" s="5">
        <f t="shared" si="3"/>
        <v>0</v>
      </c>
      <c r="U42" s="5">
        <f t="shared" si="3"/>
        <v>0</v>
      </c>
      <c r="V42" s="5">
        <f t="shared" si="3"/>
        <v>0</v>
      </c>
      <c r="W42" s="5">
        <f t="shared" si="3"/>
        <v>0</v>
      </c>
      <c r="X42" s="5">
        <f t="shared" si="3"/>
        <v>0</v>
      </c>
      <c r="Y42" s="5">
        <f t="shared" si="3"/>
        <v>0</v>
      </c>
      <c r="Z42" s="5">
        <f t="shared" si="3"/>
        <v>0</v>
      </c>
      <c r="AA42" s="5">
        <f t="shared" si="2"/>
        <v>0</v>
      </c>
    </row>
    <row r="43" spans="1:27" x14ac:dyDescent="0.25">
      <c r="A43" s="6">
        <v>41</v>
      </c>
      <c r="B43" s="7">
        <v>2210</v>
      </c>
      <c r="C43" s="7" t="s">
        <v>39</v>
      </c>
      <c r="D43" s="7">
        <v>35</v>
      </c>
      <c r="E43" s="8" t="s">
        <v>77</v>
      </c>
      <c r="F43" s="5" t="s">
        <v>102</v>
      </c>
      <c r="G43" s="5">
        <v>2.1</v>
      </c>
      <c r="I43" s="9">
        <v>525</v>
      </c>
      <c r="J43" s="5">
        <f t="shared" si="4"/>
        <v>0</v>
      </c>
      <c r="K43" s="5">
        <f t="shared" si="3"/>
        <v>0</v>
      </c>
      <c r="L43" s="5">
        <f t="shared" si="3"/>
        <v>0</v>
      </c>
      <c r="M43" s="5">
        <f t="shared" si="3"/>
        <v>0</v>
      </c>
      <c r="N43" s="5">
        <f t="shared" si="3"/>
        <v>0</v>
      </c>
      <c r="O43" s="5">
        <f t="shared" si="3"/>
        <v>0</v>
      </c>
      <c r="P43" s="5">
        <f t="shared" si="3"/>
        <v>0</v>
      </c>
      <c r="Q43" s="5">
        <f t="shared" si="3"/>
        <v>0</v>
      </c>
      <c r="R43" s="5">
        <f t="shared" si="3"/>
        <v>0</v>
      </c>
      <c r="S43" s="5">
        <f t="shared" si="3"/>
        <v>0</v>
      </c>
      <c r="T43" s="5">
        <f t="shared" si="3"/>
        <v>0</v>
      </c>
      <c r="U43" s="5">
        <f t="shared" si="3"/>
        <v>0</v>
      </c>
      <c r="V43" s="5">
        <f t="shared" si="3"/>
        <v>0</v>
      </c>
      <c r="W43" s="5">
        <f t="shared" si="3"/>
        <v>0</v>
      </c>
      <c r="X43" s="5">
        <f t="shared" si="3"/>
        <v>0</v>
      </c>
      <c r="Y43" s="5">
        <f t="shared" si="3"/>
        <v>0</v>
      </c>
      <c r="Z43" s="5">
        <f t="shared" si="3"/>
        <v>0</v>
      </c>
      <c r="AA43" s="5">
        <f t="shared" si="2"/>
        <v>0</v>
      </c>
    </row>
    <row r="44" spans="1:27" x14ac:dyDescent="0.25">
      <c r="A44" s="6">
        <v>42</v>
      </c>
      <c r="B44" s="7">
        <v>2211</v>
      </c>
      <c r="C44" s="7" t="s">
        <v>40</v>
      </c>
      <c r="D44" s="7">
        <v>50</v>
      </c>
      <c r="E44" s="8" t="s">
        <v>76</v>
      </c>
      <c r="F44" s="5" t="s">
        <v>101</v>
      </c>
      <c r="G44" s="5">
        <v>2.1</v>
      </c>
      <c r="H44" s="5">
        <v>1.1000000000000001</v>
      </c>
      <c r="I44" s="9">
        <v>930</v>
      </c>
      <c r="J44" s="5">
        <f t="shared" si="4"/>
        <v>1.1579569892473121</v>
      </c>
      <c r="K44" s="5">
        <f t="shared" si="3"/>
        <v>2.3159139784946241</v>
      </c>
      <c r="L44" s="5">
        <f t="shared" si="3"/>
        <v>3.4738709677419362</v>
      </c>
      <c r="M44" s="5">
        <f t="shared" si="3"/>
        <v>5.7897849462365594</v>
      </c>
      <c r="N44" s="5">
        <f t="shared" si="3"/>
        <v>11.579569892473119</v>
      </c>
      <c r="O44" s="5">
        <f t="shared" si="3"/>
        <v>17.369354838709679</v>
      </c>
      <c r="P44" s="5">
        <f t="shared" si="3"/>
        <v>17.369354838709679</v>
      </c>
      <c r="Q44" s="5">
        <f t="shared" si="3"/>
        <v>23.159139784946237</v>
      </c>
      <c r="R44" s="5">
        <f t="shared" si="3"/>
        <v>28.948924731182796</v>
      </c>
      <c r="S44" s="5">
        <f t="shared" si="3"/>
        <v>34.738709677419358</v>
      </c>
      <c r="T44" s="5">
        <f t="shared" si="3"/>
        <v>46.318279569892475</v>
      </c>
      <c r="U44" s="5">
        <f t="shared" si="3"/>
        <v>55.581935483870978</v>
      </c>
      <c r="V44" s="5">
        <f t="shared" si="3"/>
        <v>3.4738709677419362</v>
      </c>
      <c r="W44" s="5">
        <f t="shared" si="3"/>
        <v>5.7897849462365594</v>
      </c>
      <c r="X44" s="5">
        <f t="shared" si="3"/>
        <v>11.579569892473119</v>
      </c>
      <c r="Y44" s="5">
        <f t="shared" si="3"/>
        <v>17.369354838709679</v>
      </c>
      <c r="Z44" s="5">
        <f t="shared" si="3"/>
        <v>17.369354838709679</v>
      </c>
      <c r="AA44" s="5">
        <f t="shared" si="2"/>
        <v>23.159139784946237</v>
      </c>
    </row>
    <row r="45" spans="1:27" x14ac:dyDescent="0.25">
      <c r="A45" s="6">
        <v>43</v>
      </c>
      <c r="B45" s="7">
        <v>2301</v>
      </c>
      <c r="C45" s="7" t="s">
        <v>41</v>
      </c>
      <c r="D45" s="7">
        <v>70</v>
      </c>
      <c r="E45" s="8" t="s">
        <v>80</v>
      </c>
      <c r="F45" s="5" t="s">
        <v>101</v>
      </c>
      <c r="G45" s="5">
        <v>2.1</v>
      </c>
      <c r="H45" s="5">
        <v>1.1000000000000001</v>
      </c>
      <c r="I45" s="9">
        <v>887</v>
      </c>
      <c r="J45" s="5">
        <f t="shared" si="4"/>
        <v>1.2140924464487035</v>
      </c>
      <c r="K45" s="5">
        <f t="shared" si="3"/>
        <v>2.428184892897407</v>
      </c>
      <c r="L45" s="5">
        <f t="shared" si="3"/>
        <v>3.6422773393461108</v>
      </c>
      <c r="M45" s="5">
        <f t="shared" si="3"/>
        <v>6.0704622322435169</v>
      </c>
      <c r="N45" s="5">
        <f t="shared" si="3"/>
        <v>12.140924464487034</v>
      </c>
      <c r="O45" s="5">
        <f t="shared" si="3"/>
        <v>18.211386696730553</v>
      </c>
      <c r="P45" s="5">
        <f t="shared" si="3"/>
        <v>18.211386696730553</v>
      </c>
      <c r="Q45" s="5">
        <f t="shared" si="3"/>
        <v>24.281848928974068</v>
      </c>
      <c r="R45" s="5">
        <f t="shared" si="3"/>
        <v>30.352311161217585</v>
      </c>
      <c r="S45" s="5">
        <f t="shared" si="3"/>
        <v>36.422773393461107</v>
      </c>
      <c r="T45" s="5">
        <f t="shared" si="3"/>
        <v>48.563697857948135</v>
      </c>
      <c r="U45" s="5">
        <f t="shared" si="3"/>
        <v>58.276437429537772</v>
      </c>
      <c r="V45" s="5">
        <f t="shared" si="3"/>
        <v>3.6422773393461108</v>
      </c>
      <c r="W45" s="5">
        <f t="shared" si="3"/>
        <v>6.0704622322435169</v>
      </c>
      <c r="X45" s="5">
        <f t="shared" si="3"/>
        <v>12.140924464487034</v>
      </c>
      <c r="Y45" s="5">
        <f t="shared" si="3"/>
        <v>18.211386696730553</v>
      </c>
      <c r="Z45" s="5">
        <f t="shared" si="3"/>
        <v>18.211386696730553</v>
      </c>
      <c r="AA45" s="5">
        <f t="shared" si="2"/>
        <v>24.281848928974068</v>
      </c>
    </row>
    <row r="46" spans="1:27" x14ac:dyDescent="0.25">
      <c r="A46" s="6">
        <v>44</v>
      </c>
      <c r="B46" s="7">
        <v>2302</v>
      </c>
      <c r="C46" s="7" t="s">
        <v>42</v>
      </c>
      <c r="D46" s="7">
        <v>70</v>
      </c>
      <c r="E46" s="8" t="s">
        <v>80</v>
      </c>
      <c r="F46" s="5" t="s">
        <v>101</v>
      </c>
      <c r="G46" s="5">
        <v>2.1</v>
      </c>
      <c r="H46" s="5">
        <v>1.1000000000000001</v>
      </c>
      <c r="I46" s="9">
        <v>518</v>
      </c>
      <c r="J46" s="5">
        <f t="shared" si="4"/>
        <v>2.0789575289575293</v>
      </c>
      <c r="K46" s="5">
        <f t="shared" si="3"/>
        <v>4.1579150579150586</v>
      </c>
      <c r="L46" s="5">
        <f t="shared" si="3"/>
        <v>6.2368725868725878</v>
      </c>
      <c r="M46" s="5">
        <f t="shared" si="3"/>
        <v>10.394787644787646</v>
      </c>
      <c r="N46" s="5">
        <f t="shared" si="3"/>
        <v>20.789575289575293</v>
      </c>
      <c r="O46" s="5">
        <f t="shared" si="3"/>
        <v>31.184362934362937</v>
      </c>
      <c r="P46" s="5">
        <f t="shared" si="3"/>
        <v>31.184362934362937</v>
      </c>
      <c r="Q46" s="5">
        <f t="shared" si="3"/>
        <v>41.579150579150586</v>
      </c>
      <c r="R46" s="5">
        <f t="shared" si="3"/>
        <v>51.973938223938234</v>
      </c>
      <c r="S46" s="5">
        <f t="shared" si="3"/>
        <v>62.368725868725875</v>
      </c>
      <c r="T46" s="5">
        <f t="shared" si="3"/>
        <v>83.158301158301171</v>
      </c>
      <c r="U46" s="5">
        <f t="shared" si="3"/>
        <v>99.789961389961405</v>
      </c>
      <c r="V46" s="5">
        <f t="shared" si="3"/>
        <v>6.2368725868725878</v>
      </c>
      <c r="W46" s="5">
        <f t="shared" si="3"/>
        <v>10.394787644787646</v>
      </c>
      <c r="X46" s="5">
        <f t="shared" si="3"/>
        <v>20.789575289575293</v>
      </c>
      <c r="Y46" s="5">
        <f t="shared" si="3"/>
        <v>31.184362934362937</v>
      </c>
      <c r="Z46" s="5">
        <f t="shared" si="3"/>
        <v>31.184362934362937</v>
      </c>
      <c r="AA46" s="5">
        <f t="shared" si="2"/>
        <v>41.579150579150586</v>
      </c>
    </row>
    <row r="47" spans="1:27" x14ac:dyDescent="0.25">
      <c r="A47" s="6">
        <v>45</v>
      </c>
      <c r="B47" s="7">
        <v>2303</v>
      </c>
      <c r="C47" s="7" t="s">
        <v>43</v>
      </c>
      <c r="D47" s="7">
        <v>70</v>
      </c>
      <c r="E47" s="8" t="s">
        <v>80</v>
      </c>
      <c r="F47" s="5" t="s">
        <v>101</v>
      </c>
      <c r="G47" s="5">
        <v>2.1</v>
      </c>
      <c r="H47" s="5">
        <v>1.1000000000000001</v>
      </c>
      <c r="I47" s="9">
        <v>111.22199999999999</v>
      </c>
      <c r="J47" s="5">
        <f t="shared" si="4"/>
        <v>9.6824369279459095</v>
      </c>
      <c r="K47" s="5">
        <f t="shared" si="3"/>
        <v>19.364873855891819</v>
      </c>
      <c r="L47" s="5">
        <f t="shared" si="3"/>
        <v>29.04731078383773</v>
      </c>
      <c r="M47" s="5">
        <f t="shared" si="3"/>
        <v>48.412184639729546</v>
      </c>
      <c r="N47" s="5">
        <f t="shared" si="3"/>
        <v>96.824369279459091</v>
      </c>
      <c r="O47" s="5">
        <f t="shared" si="3"/>
        <v>145.23655391918865</v>
      </c>
      <c r="P47" s="5">
        <f t="shared" si="3"/>
        <v>145.23655391918865</v>
      </c>
      <c r="Q47" s="5">
        <f t="shared" si="3"/>
        <v>193.64873855891818</v>
      </c>
      <c r="R47" s="5">
        <f t="shared" si="3"/>
        <v>242.06092319864777</v>
      </c>
      <c r="S47" s="5">
        <f t="shared" si="3"/>
        <v>290.4731078383773</v>
      </c>
      <c r="T47" s="5">
        <f t="shared" si="3"/>
        <v>387.29747711783637</v>
      </c>
      <c r="U47" s="5">
        <f t="shared" si="3"/>
        <v>464.75697254140368</v>
      </c>
      <c r="V47" s="5">
        <f t="shared" si="3"/>
        <v>29.04731078383773</v>
      </c>
      <c r="W47" s="5">
        <f t="shared" si="3"/>
        <v>48.412184639729546</v>
      </c>
      <c r="X47" s="5">
        <f t="shared" si="3"/>
        <v>96.824369279459091</v>
      </c>
      <c r="Y47" s="5">
        <f t="shared" si="3"/>
        <v>145.23655391918865</v>
      </c>
      <c r="Z47" s="5">
        <f t="shared" si="3"/>
        <v>145.23655391918865</v>
      </c>
      <c r="AA47" s="5">
        <f t="shared" si="2"/>
        <v>193.64873855891818</v>
      </c>
    </row>
    <row r="48" spans="1:27" x14ac:dyDescent="0.25">
      <c r="A48" s="6">
        <v>46</v>
      </c>
      <c r="B48" s="7">
        <v>2304</v>
      </c>
      <c r="C48" s="7" t="s">
        <v>44</v>
      </c>
      <c r="D48" s="7">
        <v>70</v>
      </c>
      <c r="E48" s="8" t="s">
        <v>80</v>
      </c>
      <c r="F48" s="5" t="s">
        <v>101</v>
      </c>
      <c r="G48" s="5">
        <v>2.1</v>
      </c>
      <c r="H48" s="5">
        <v>1.1000000000000001</v>
      </c>
      <c r="I48" s="9">
        <v>37.073999999999998</v>
      </c>
      <c r="J48" s="5">
        <f t="shared" si="4"/>
        <v>29.047310783837734</v>
      </c>
      <c r="K48" s="5">
        <f t="shared" si="3"/>
        <v>58.094621567675468</v>
      </c>
      <c r="L48" s="5">
        <f t="shared" si="3"/>
        <v>87.141932351513205</v>
      </c>
      <c r="M48" s="5">
        <f t="shared" si="3"/>
        <v>145.23655391918865</v>
      </c>
      <c r="N48" s="5">
        <f t="shared" si="3"/>
        <v>290.4731078383773</v>
      </c>
      <c r="O48" s="5">
        <f t="shared" si="3"/>
        <v>435.70966175756604</v>
      </c>
      <c r="P48" s="5">
        <f t="shared" si="3"/>
        <v>435.70966175756604</v>
      </c>
      <c r="Q48" s="5">
        <f t="shared" si="3"/>
        <v>580.9462156767546</v>
      </c>
      <c r="R48" s="5">
        <f t="shared" si="3"/>
        <v>726.18276959594334</v>
      </c>
      <c r="S48" s="5">
        <f t="shared" si="3"/>
        <v>871.41932351513208</v>
      </c>
      <c r="T48" s="5">
        <f t="shared" si="3"/>
        <v>1161.8924313535092</v>
      </c>
      <c r="U48" s="5">
        <f t="shared" si="3"/>
        <v>1394.2709176242113</v>
      </c>
      <c r="V48" s="5">
        <f t="shared" si="3"/>
        <v>87.141932351513205</v>
      </c>
      <c r="W48" s="5">
        <f t="shared" si="3"/>
        <v>145.23655391918865</v>
      </c>
      <c r="X48" s="5">
        <f t="shared" si="3"/>
        <v>290.4731078383773</v>
      </c>
      <c r="Y48" s="5">
        <f t="shared" si="3"/>
        <v>435.70966175756604</v>
      </c>
      <c r="Z48" s="5">
        <f t="shared" ref="Z48:AA94" si="5">$H48*1000/$I48*Z$2*(100-$G48)/100</f>
        <v>435.70966175756604</v>
      </c>
      <c r="AA48" s="5">
        <f t="shared" si="5"/>
        <v>580.9462156767546</v>
      </c>
    </row>
    <row r="49" spans="1:27" x14ac:dyDescent="0.25">
      <c r="A49" s="6">
        <v>47</v>
      </c>
      <c r="B49" s="7">
        <v>2305</v>
      </c>
      <c r="C49" s="7" t="s">
        <v>45</v>
      </c>
      <c r="D49" s="7">
        <v>70</v>
      </c>
      <c r="E49" s="8" t="s">
        <v>80</v>
      </c>
      <c r="F49" s="5" t="s">
        <v>101</v>
      </c>
      <c r="G49" s="5">
        <v>2.1</v>
      </c>
      <c r="H49" s="5">
        <v>1.1000000000000001</v>
      </c>
      <c r="I49" s="9">
        <v>740</v>
      </c>
      <c r="J49" s="5">
        <f t="shared" si="4"/>
        <v>1.4552702702702702</v>
      </c>
      <c r="K49" s="5">
        <f t="shared" si="4"/>
        <v>2.9105405405405405</v>
      </c>
      <c r="L49" s="5">
        <f t="shared" si="4"/>
        <v>4.3658108108108111</v>
      </c>
      <c r="M49" s="5">
        <f t="shared" si="4"/>
        <v>7.2763513513513507</v>
      </c>
      <c r="N49" s="5">
        <f t="shared" si="4"/>
        <v>14.552702702702701</v>
      </c>
      <c r="O49" s="5">
        <f t="shared" si="4"/>
        <v>21.829054054054055</v>
      </c>
      <c r="P49" s="5">
        <f t="shared" si="4"/>
        <v>21.829054054054055</v>
      </c>
      <c r="Q49" s="5">
        <f t="shared" si="4"/>
        <v>29.105405405405403</v>
      </c>
      <c r="R49" s="5">
        <f t="shared" si="4"/>
        <v>36.381756756756758</v>
      </c>
      <c r="S49" s="5">
        <f t="shared" si="4"/>
        <v>43.658108108108109</v>
      </c>
      <c r="T49" s="5">
        <f t="shared" si="4"/>
        <v>58.210810810810806</v>
      </c>
      <c r="U49" s="5">
        <f t="shared" si="4"/>
        <v>69.852972972972978</v>
      </c>
      <c r="V49" s="5">
        <f t="shared" si="4"/>
        <v>4.3658108108108111</v>
      </c>
      <c r="W49" s="5">
        <f t="shared" si="4"/>
        <v>7.2763513513513507</v>
      </c>
      <c r="X49" s="5">
        <f t="shared" si="4"/>
        <v>14.552702702702701</v>
      </c>
      <c r="Y49" s="5">
        <f t="shared" si="4"/>
        <v>21.829054054054055</v>
      </c>
      <c r="Z49" s="5">
        <f t="shared" si="5"/>
        <v>21.829054054054055</v>
      </c>
      <c r="AA49" s="5">
        <f t="shared" si="5"/>
        <v>29.105405405405403</v>
      </c>
    </row>
    <row r="50" spans="1:27" x14ac:dyDescent="0.25">
      <c r="A50" s="6">
        <v>48</v>
      </c>
      <c r="B50" s="7">
        <v>2306</v>
      </c>
      <c r="C50" s="7" t="s">
        <v>46</v>
      </c>
      <c r="D50" s="7">
        <v>90</v>
      </c>
      <c r="E50" s="8" t="s">
        <v>81</v>
      </c>
      <c r="F50" s="5" t="s">
        <v>101</v>
      </c>
      <c r="G50" s="5">
        <v>2.1</v>
      </c>
      <c r="H50" s="5">
        <v>1.1000000000000001</v>
      </c>
      <c r="I50" s="9">
        <v>131.51249999999999</v>
      </c>
      <c r="J50" s="5">
        <f t="shared" si="4"/>
        <v>8.1885752304914003</v>
      </c>
      <c r="K50" s="5">
        <f t="shared" si="4"/>
        <v>16.377150460982801</v>
      </c>
      <c r="L50" s="5">
        <f t="shared" si="4"/>
        <v>24.565725691474203</v>
      </c>
      <c r="M50" s="5">
        <f t="shared" si="4"/>
        <v>40.942876152456996</v>
      </c>
      <c r="N50" s="5">
        <f t="shared" si="4"/>
        <v>81.885752304913993</v>
      </c>
      <c r="O50" s="5">
        <f t="shared" si="4"/>
        <v>122.828628457371</v>
      </c>
      <c r="P50" s="5">
        <f t="shared" si="4"/>
        <v>122.828628457371</v>
      </c>
      <c r="Q50" s="5">
        <f t="shared" si="4"/>
        <v>163.77150460982799</v>
      </c>
      <c r="R50" s="5">
        <f t="shared" si="4"/>
        <v>204.714380762285</v>
      </c>
      <c r="S50" s="5">
        <f t="shared" si="4"/>
        <v>245.65725691474199</v>
      </c>
      <c r="T50" s="5">
        <f t="shared" si="4"/>
        <v>327.54300921965597</v>
      </c>
      <c r="U50" s="5">
        <f t="shared" si="4"/>
        <v>393.05161106358725</v>
      </c>
      <c r="V50" s="5">
        <f t="shared" si="4"/>
        <v>24.565725691474203</v>
      </c>
      <c r="W50" s="5">
        <f t="shared" si="4"/>
        <v>40.942876152456996</v>
      </c>
      <c r="X50" s="5">
        <f t="shared" si="4"/>
        <v>81.885752304913993</v>
      </c>
      <c r="Y50" s="5">
        <f t="shared" si="4"/>
        <v>122.828628457371</v>
      </c>
      <c r="Z50" s="5">
        <f t="shared" si="5"/>
        <v>122.828628457371</v>
      </c>
      <c r="AA50" s="5">
        <f t="shared" si="5"/>
        <v>163.77150460982799</v>
      </c>
    </row>
    <row r="51" spans="1:27" x14ac:dyDescent="0.25">
      <c r="A51" s="6">
        <v>49</v>
      </c>
      <c r="B51" s="7">
        <v>2307</v>
      </c>
      <c r="C51" s="7" t="s">
        <v>41</v>
      </c>
      <c r="D51" s="7">
        <v>70</v>
      </c>
      <c r="E51" s="8" t="s">
        <v>80</v>
      </c>
      <c r="F51" s="5" t="s">
        <v>101</v>
      </c>
      <c r="G51" s="5">
        <v>2.1</v>
      </c>
      <c r="H51" s="5">
        <v>1.1000000000000001</v>
      </c>
      <c r="I51" s="9">
        <v>887</v>
      </c>
      <c r="J51" s="5">
        <f t="shared" si="4"/>
        <v>1.2140924464487035</v>
      </c>
      <c r="K51" s="5">
        <f t="shared" si="4"/>
        <v>2.428184892897407</v>
      </c>
      <c r="L51" s="5">
        <f t="shared" si="4"/>
        <v>3.6422773393461108</v>
      </c>
      <c r="M51" s="5">
        <f t="shared" si="4"/>
        <v>6.0704622322435169</v>
      </c>
      <c r="N51" s="5">
        <f t="shared" si="4"/>
        <v>12.140924464487034</v>
      </c>
      <c r="O51" s="5">
        <f t="shared" si="4"/>
        <v>18.211386696730553</v>
      </c>
      <c r="P51" s="5">
        <f t="shared" si="4"/>
        <v>18.211386696730553</v>
      </c>
      <c r="Q51" s="5">
        <f t="shared" si="4"/>
        <v>24.281848928974068</v>
      </c>
      <c r="R51" s="5">
        <f t="shared" si="4"/>
        <v>30.352311161217585</v>
      </c>
      <c r="S51" s="5">
        <f t="shared" si="4"/>
        <v>36.422773393461107</v>
      </c>
      <c r="T51" s="5">
        <f t="shared" si="4"/>
        <v>48.563697857948135</v>
      </c>
      <c r="U51" s="5">
        <f t="shared" si="4"/>
        <v>58.276437429537772</v>
      </c>
      <c r="V51" s="5">
        <f t="shared" si="4"/>
        <v>3.6422773393461108</v>
      </c>
      <c r="W51" s="5">
        <f t="shared" si="4"/>
        <v>6.0704622322435169</v>
      </c>
      <c r="X51" s="5">
        <f t="shared" si="4"/>
        <v>12.140924464487034</v>
      </c>
      <c r="Y51" s="5">
        <f t="shared" si="4"/>
        <v>18.211386696730553</v>
      </c>
      <c r="Z51" s="5">
        <f t="shared" si="5"/>
        <v>18.211386696730553</v>
      </c>
      <c r="AA51" s="5">
        <f t="shared" si="5"/>
        <v>24.281848928974068</v>
      </c>
    </row>
    <row r="52" spans="1:27" x14ac:dyDescent="0.25">
      <c r="A52" s="6">
        <v>50</v>
      </c>
      <c r="B52" s="7">
        <v>2310</v>
      </c>
      <c r="C52" s="7" t="s">
        <v>47</v>
      </c>
      <c r="D52" s="7">
        <v>135</v>
      </c>
      <c r="E52" s="8" t="s">
        <v>82</v>
      </c>
      <c r="F52" s="5" t="s">
        <v>101</v>
      </c>
      <c r="G52" s="5">
        <v>2.1</v>
      </c>
      <c r="H52" s="5">
        <v>1</v>
      </c>
      <c r="I52" s="9">
        <v>755.76</v>
      </c>
      <c r="J52" s="5">
        <f t="shared" si="4"/>
        <v>1.2953847782364774</v>
      </c>
      <c r="K52" s="5">
        <f t="shared" si="4"/>
        <v>2.5907695564729547</v>
      </c>
      <c r="L52" s="5">
        <f t="shared" si="4"/>
        <v>3.8861543347094325</v>
      </c>
      <c r="M52" s="5">
        <f t="shared" si="4"/>
        <v>6.4769238911823868</v>
      </c>
      <c r="N52" s="5">
        <f t="shared" si="4"/>
        <v>12.953847782364774</v>
      </c>
      <c r="O52" s="5">
        <f t="shared" si="4"/>
        <v>19.430771673547163</v>
      </c>
      <c r="P52" s="5">
        <f t="shared" si="4"/>
        <v>19.430771673547163</v>
      </c>
      <c r="Q52" s="5">
        <f t="shared" si="4"/>
        <v>25.907695564729547</v>
      </c>
      <c r="R52" s="5">
        <f t="shared" si="4"/>
        <v>32.384619455911931</v>
      </c>
      <c r="S52" s="5">
        <f t="shared" si="4"/>
        <v>38.861543347094326</v>
      </c>
      <c r="T52" s="5">
        <f t="shared" si="4"/>
        <v>51.815391129459094</v>
      </c>
      <c r="U52" s="5">
        <f t="shared" si="4"/>
        <v>62.17846935535092</v>
      </c>
      <c r="V52" s="5">
        <f t="shared" si="4"/>
        <v>3.8861543347094325</v>
      </c>
      <c r="W52" s="5">
        <f t="shared" si="4"/>
        <v>6.4769238911823868</v>
      </c>
      <c r="X52" s="5">
        <f t="shared" si="4"/>
        <v>12.953847782364774</v>
      </c>
      <c r="Y52" s="5">
        <f t="shared" si="4"/>
        <v>19.430771673547163</v>
      </c>
      <c r="Z52" s="5">
        <f t="shared" si="5"/>
        <v>19.430771673547163</v>
      </c>
      <c r="AA52" s="5">
        <f t="shared" si="5"/>
        <v>25.907695564729547</v>
      </c>
    </row>
    <row r="53" spans="1:27" x14ac:dyDescent="0.25">
      <c r="A53" s="6">
        <v>51</v>
      </c>
      <c r="B53" s="7">
        <v>2311</v>
      </c>
      <c r="C53" s="7" t="s">
        <v>48</v>
      </c>
      <c r="D53" s="7">
        <v>135</v>
      </c>
      <c r="E53" s="8" t="s">
        <v>82</v>
      </c>
      <c r="F53" s="5" t="s">
        <v>101</v>
      </c>
      <c r="G53" s="5">
        <v>2.1</v>
      </c>
      <c r="H53" s="5">
        <v>1</v>
      </c>
      <c r="I53" s="9">
        <v>152.304</v>
      </c>
      <c r="J53" s="5">
        <f t="shared" si="4"/>
        <v>6.4279336064712682</v>
      </c>
      <c r="K53" s="5">
        <f t="shared" si="4"/>
        <v>12.855867212942536</v>
      </c>
      <c r="L53" s="5">
        <f t="shared" si="4"/>
        <v>19.283800819413806</v>
      </c>
      <c r="M53" s="5">
        <f t="shared" si="4"/>
        <v>32.13966803235634</v>
      </c>
      <c r="N53" s="5">
        <f t="shared" si="4"/>
        <v>64.27933606471268</v>
      </c>
      <c r="O53" s="5">
        <f t="shared" si="4"/>
        <v>96.419004097069035</v>
      </c>
      <c r="P53" s="5">
        <f t="shared" si="4"/>
        <v>96.419004097069035</v>
      </c>
      <c r="Q53" s="5">
        <f t="shared" si="4"/>
        <v>128.55867212942536</v>
      </c>
      <c r="R53" s="5">
        <f t="shared" si="4"/>
        <v>160.69834016178172</v>
      </c>
      <c r="S53" s="5">
        <f t="shared" si="4"/>
        <v>192.83800819413807</v>
      </c>
      <c r="T53" s="5">
        <f t="shared" si="4"/>
        <v>257.11734425885072</v>
      </c>
      <c r="U53" s="5">
        <f t="shared" si="4"/>
        <v>308.54081311062089</v>
      </c>
      <c r="V53" s="5">
        <f t="shared" si="4"/>
        <v>19.283800819413806</v>
      </c>
      <c r="W53" s="5">
        <f t="shared" si="4"/>
        <v>32.13966803235634</v>
      </c>
      <c r="X53" s="5">
        <f t="shared" si="4"/>
        <v>64.27933606471268</v>
      </c>
      <c r="Y53" s="5">
        <f t="shared" si="4"/>
        <v>96.419004097069035</v>
      </c>
      <c r="Z53" s="5">
        <f t="shared" si="5"/>
        <v>96.419004097069035</v>
      </c>
      <c r="AA53" s="5">
        <f t="shared" si="5"/>
        <v>128.55867212942536</v>
      </c>
    </row>
    <row r="54" spans="1:27" x14ac:dyDescent="0.25">
      <c r="A54" s="6">
        <v>52</v>
      </c>
      <c r="B54" s="11">
        <v>2313</v>
      </c>
      <c r="C54" s="11" t="s">
        <v>49</v>
      </c>
      <c r="D54" s="11">
        <v>70</v>
      </c>
      <c r="E54" s="12" t="s">
        <v>83</v>
      </c>
      <c r="F54" s="5" t="s">
        <v>102</v>
      </c>
      <c r="G54" s="5">
        <v>2.1</v>
      </c>
      <c r="H54" s="5">
        <v>1.1000000000000001</v>
      </c>
      <c r="I54" s="13">
        <v>222.44399999999999</v>
      </c>
      <c r="J54" s="5">
        <f t="shared" si="4"/>
        <v>4.8412184639729547</v>
      </c>
      <c r="K54" s="5">
        <f t="shared" si="4"/>
        <v>9.6824369279459095</v>
      </c>
      <c r="L54" s="5">
        <f t="shared" si="4"/>
        <v>14.523655391918865</v>
      </c>
      <c r="M54" s="5">
        <f t="shared" si="4"/>
        <v>24.206092319864773</v>
      </c>
      <c r="N54" s="5">
        <f t="shared" si="4"/>
        <v>48.412184639729546</v>
      </c>
      <c r="O54" s="5">
        <f t="shared" si="4"/>
        <v>72.618276959594326</v>
      </c>
      <c r="P54" s="5">
        <f t="shared" si="4"/>
        <v>72.618276959594326</v>
      </c>
      <c r="Q54" s="5">
        <f t="shared" si="4"/>
        <v>96.824369279459091</v>
      </c>
      <c r="R54" s="5">
        <f t="shared" si="4"/>
        <v>121.03046159932389</v>
      </c>
      <c r="S54" s="5">
        <f t="shared" si="4"/>
        <v>145.23655391918865</v>
      </c>
      <c r="T54" s="5">
        <f t="shared" si="4"/>
        <v>193.64873855891818</v>
      </c>
      <c r="U54" s="5">
        <f t="shared" si="4"/>
        <v>232.37848627070184</v>
      </c>
      <c r="V54" s="5">
        <f t="shared" si="4"/>
        <v>14.523655391918865</v>
      </c>
      <c r="W54" s="5">
        <f t="shared" si="4"/>
        <v>24.206092319864773</v>
      </c>
      <c r="X54" s="5">
        <f t="shared" si="4"/>
        <v>48.412184639729546</v>
      </c>
      <c r="Y54" s="5">
        <f t="shared" si="4"/>
        <v>72.618276959594326</v>
      </c>
      <c r="Z54" s="5">
        <f t="shared" si="5"/>
        <v>72.618276959594326</v>
      </c>
      <c r="AA54" s="5">
        <f t="shared" si="5"/>
        <v>96.824369279459091</v>
      </c>
    </row>
    <row r="55" spans="1:27" x14ac:dyDescent="0.25">
      <c r="A55" s="6">
        <v>53</v>
      </c>
      <c r="B55" s="11">
        <v>2314</v>
      </c>
      <c r="C55" s="11" t="s">
        <v>48</v>
      </c>
      <c r="D55" s="11">
        <v>135</v>
      </c>
      <c r="E55" s="22" t="s">
        <v>84</v>
      </c>
      <c r="F55" s="5" t="s">
        <v>102</v>
      </c>
      <c r="G55" s="5">
        <v>2.1</v>
      </c>
      <c r="H55" s="5">
        <v>1</v>
      </c>
      <c r="I55" s="13">
        <v>228.45599999999999</v>
      </c>
      <c r="J55" s="5">
        <f t="shared" si="4"/>
        <v>4.2852890709808467</v>
      </c>
      <c r="K55" s="5">
        <f t="shared" si="4"/>
        <v>8.5705781419616933</v>
      </c>
      <c r="L55" s="5">
        <f t="shared" si="4"/>
        <v>12.855867212942536</v>
      </c>
      <c r="M55" s="5">
        <f t="shared" si="4"/>
        <v>21.426445354904232</v>
      </c>
      <c r="N55" s="5">
        <f t="shared" si="4"/>
        <v>42.852890709808463</v>
      </c>
      <c r="O55" s="5">
        <f t="shared" si="4"/>
        <v>64.279336064712695</v>
      </c>
      <c r="P55" s="5">
        <f t="shared" si="4"/>
        <v>64.279336064712695</v>
      </c>
      <c r="Q55" s="5">
        <f t="shared" si="4"/>
        <v>85.705781419616926</v>
      </c>
      <c r="R55" s="5">
        <f t="shared" si="4"/>
        <v>107.13222677452114</v>
      </c>
      <c r="S55" s="5">
        <f t="shared" si="4"/>
        <v>128.55867212942539</v>
      </c>
      <c r="T55" s="5">
        <f t="shared" si="4"/>
        <v>171.41156283923385</v>
      </c>
      <c r="U55" s="5">
        <f t="shared" si="4"/>
        <v>205.69387540708058</v>
      </c>
      <c r="V55" s="5">
        <f t="shared" si="4"/>
        <v>12.855867212942536</v>
      </c>
      <c r="W55" s="5">
        <f t="shared" si="4"/>
        <v>21.426445354904232</v>
      </c>
      <c r="X55" s="5">
        <f t="shared" si="4"/>
        <v>42.852890709808463</v>
      </c>
      <c r="Y55" s="5">
        <f t="shared" si="4"/>
        <v>64.279336064712695</v>
      </c>
      <c r="Z55" s="5">
        <f t="shared" si="5"/>
        <v>64.279336064712695</v>
      </c>
      <c r="AA55" s="5">
        <f t="shared" si="5"/>
        <v>85.705781419616926</v>
      </c>
    </row>
    <row r="56" spans="1:27" x14ac:dyDescent="0.25">
      <c r="A56" s="6">
        <v>54</v>
      </c>
      <c r="B56" s="11">
        <v>2315</v>
      </c>
      <c r="C56" s="11" t="s">
        <v>49</v>
      </c>
      <c r="D56" s="11">
        <v>70</v>
      </c>
      <c r="E56" s="12" t="s">
        <v>80</v>
      </c>
      <c r="F56" s="5" t="s">
        <v>101</v>
      </c>
      <c r="G56" s="5">
        <v>2.1</v>
      </c>
      <c r="H56" s="5">
        <v>1.1000000000000001</v>
      </c>
      <c r="I56" s="13">
        <v>222.44399999999999</v>
      </c>
      <c r="J56" s="5">
        <f t="shared" si="4"/>
        <v>4.8412184639729547</v>
      </c>
      <c r="K56" s="5">
        <f t="shared" si="4"/>
        <v>9.6824369279459095</v>
      </c>
      <c r="L56" s="5">
        <f t="shared" si="4"/>
        <v>14.523655391918865</v>
      </c>
      <c r="M56" s="5">
        <f t="shared" si="4"/>
        <v>24.206092319864773</v>
      </c>
      <c r="N56" s="5">
        <f t="shared" si="4"/>
        <v>48.412184639729546</v>
      </c>
      <c r="O56" s="5">
        <f t="shared" si="4"/>
        <v>72.618276959594326</v>
      </c>
      <c r="P56" s="5">
        <f t="shared" si="4"/>
        <v>72.618276959594326</v>
      </c>
      <c r="Q56" s="5">
        <f t="shared" si="4"/>
        <v>96.824369279459091</v>
      </c>
      <c r="R56" s="5">
        <f t="shared" si="4"/>
        <v>121.03046159932389</v>
      </c>
      <c r="S56" s="5">
        <f t="shared" si="4"/>
        <v>145.23655391918865</v>
      </c>
      <c r="T56" s="5">
        <f t="shared" si="4"/>
        <v>193.64873855891818</v>
      </c>
      <c r="U56" s="5">
        <f t="shared" si="4"/>
        <v>232.37848627070184</v>
      </c>
      <c r="V56" s="5">
        <f t="shared" si="4"/>
        <v>14.523655391918865</v>
      </c>
      <c r="W56" s="5">
        <f t="shared" si="4"/>
        <v>24.206092319864773</v>
      </c>
      <c r="X56" s="5">
        <f t="shared" si="4"/>
        <v>48.412184639729546</v>
      </c>
      <c r="Y56" s="5">
        <f t="shared" si="4"/>
        <v>72.618276959594326</v>
      </c>
      <c r="Z56" s="5">
        <f t="shared" si="5"/>
        <v>72.618276959594326</v>
      </c>
      <c r="AA56" s="5">
        <f t="shared" si="5"/>
        <v>96.824369279459091</v>
      </c>
    </row>
    <row r="57" spans="1:27" x14ac:dyDescent="0.25">
      <c r="A57" s="6">
        <v>55</v>
      </c>
      <c r="B57" s="11">
        <v>2316</v>
      </c>
      <c r="C57" s="11" t="s">
        <v>48</v>
      </c>
      <c r="D57" s="11">
        <v>135</v>
      </c>
      <c r="E57" s="12" t="s">
        <v>82</v>
      </c>
      <c r="F57" s="5" t="s">
        <v>101</v>
      </c>
      <c r="G57" s="5">
        <v>2.1</v>
      </c>
      <c r="H57" s="5">
        <v>1</v>
      </c>
      <c r="I57" s="13">
        <v>228.45599999999999</v>
      </c>
      <c r="J57" s="5">
        <f t="shared" si="4"/>
        <v>4.2852890709808467</v>
      </c>
      <c r="K57" s="5">
        <f t="shared" si="4"/>
        <v>8.5705781419616933</v>
      </c>
      <c r="L57" s="5">
        <f t="shared" si="4"/>
        <v>12.855867212942536</v>
      </c>
      <c r="M57" s="5">
        <f t="shared" si="4"/>
        <v>21.426445354904232</v>
      </c>
      <c r="N57" s="5">
        <f t="shared" si="4"/>
        <v>42.852890709808463</v>
      </c>
      <c r="O57" s="5">
        <f t="shared" si="4"/>
        <v>64.279336064712695</v>
      </c>
      <c r="P57" s="5">
        <f t="shared" si="4"/>
        <v>64.279336064712695</v>
      </c>
      <c r="Q57" s="5">
        <f t="shared" si="4"/>
        <v>85.705781419616926</v>
      </c>
      <c r="R57" s="5">
        <f t="shared" si="4"/>
        <v>107.13222677452114</v>
      </c>
      <c r="S57" s="5">
        <f t="shared" si="4"/>
        <v>128.55867212942539</v>
      </c>
      <c r="T57" s="5">
        <f t="shared" si="4"/>
        <v>171.41156283923385</v>
      </c>
      <c r="U57" s="5">
        <f t="shared" si="4"/>
        <v>205.69387540708058</v>
      </c>
      <c r="V57" s="5">
        <f t="shared" si="4"/>
        <v>12.855867212942536</v>
      </c>
      <c r="W57" s="5">
        <f t="shared" si="4"/>
        <v>21.426445354904232</v>
      </c>
      <c r="X57" s="5">
        <f t="shared" si="4"/>
        <v>42.852890709808463</v>
      </c>
      <c r="Y57" s="5">
        <f t="shared" si="4"/>
        <v>64.279336064712695</v>
      </c>
      <c r="Z57" s="5">
        <f t="shared" si="5"/>
        <v>64.279336064712695</v>
      </c>
      <c r="AA57" s="5">
        <f t="shared" si="5"/>
        <v>85.705781419616926</v>
      </c>
    </row>
    <row r="58" spans="1:27" x14ac:dyDescent="0.25">
      <c r="A58" s="6">
        <v>56</v>
      </c>
      <c r="B58" s="11">
        <v>2317</v>
      </c>
      <c r="C58" s="11" t="s">
        <v>50</v>
      </c>
      <c r="D58" s="11">
        <v>270</v>
      </c>
      <c r="E58" s="22" t="s">
        <v>85</v>
      </c>
      <c r="F58" s="5" t="s">
        <v>101</v>
      </c>
      <c r="G58" s="5">
        <v>2.1</v>
      </c>
      <c r="H58" s="5">
        <v>0.9</v>
      </c>
      <c r="I58" s="13">
        <v>316</v>
      </c>
      <c r="J58" s="5">
        <f t="shared" si="4"/>
        <v>2.7882911392405068</v>
      </c>
      <c r="K58" s="5">
        <f t="shared" si="4"/>
        <v>5.5765822784810135</v>
      </c>
      <c r="L58" s="5">
        <f t="shared" si="4"/>
        <v>8.3648734177215207</v>
      </c>
      <c r="M58" s="5">
        <f t="shared" si="4"/>
        <v>13.941455696202532</v>
      </c>
      <c r="N58" s="5">
        <f t="shared" si="4"/>
        <v>27.882911392405063</v>
      </c>
      <c r="O58" s="5">
        <f t="shared" si="4"/>
        <v>41.824367088607595</v>
      </c>
      <c r="P58" s="5">
        <f t="shared" si="4"/>
        <v>41.824367088607595</v>
      </c>
      <c r="Q58" s="5">
        <f t="shared" si="4"/>
        <v>55.765822784810126</v>
      </c>
      <c r="R58" s="5">
        <f t="shared" si="4"/>
        <v>69.707278481012665</v>
      </c>
      <c r="S58" s="5">
        <f t="shared" si="4"/>
        <v>83.648734177215189</v>
      </c>
      <c r="T58" s="5">
        <f t="shared" si="4"/>
        <v>111.53164556962025</v>
      </c>
      <c r="U58" s="5">
        <f t="shared" si="4"/>
        <v>133.83797468354433</v>
      </c>
      <c r="V58" s="5">
        <f t="shared" si="4"/>
        <v>8.3648734177215207</v>
      </c>
      <c r="W58" s="5">
        <f t="shared" si="4"/>
        <v>13.941455696202532</v>
      </c>
      <c r="X58" s="5">
        <f t="shared" si="4"/>
        <v>27.882911392405063</v>
      </c>
      <c r="Y58" s="5">
        <f t="shared" si="4"/>
        <v>41.824367088607595</v>
      </c>
      <c r="Z58" s="5">
        <f t="shared" si="5"/>
        <v>41.824367088607595</v>
      </c>
      <c r="AA58" s="5">
        <f t="shared" si="5"/>
        <v>55.765822784810126</v>
      </c>
    </row>
    <row r="59" spans="1:27" x14ac:dyDescent="0.25">
      <c r="A59" s="6">
        <v>57</v>
      </c>
      <c r="B59" s="11">
        <v>2318</v>
      </c>
      <c r="C59" s="11" t="s">
        <v>51</v>
      </c>
      <c r="D59" s="11">
        <v>180</v>
      </c>
      <c r="E59" s="22" t="s">
        <v>114</v>
      </c>
      <c r="F59" s="5" t="s">
        <v>102</v>
      </c>
      <c r="G59" s="5">
        <v>2.1</v>
      </c>
      <c r="I59" s="13">
        <v>262.5</v>
      </c>
      <c r="J59" s="5">
        <f t="shared" si="4"/>
        <v>0</v>
      </c>
      <c r="K59" s="5">
        <f t="shared" si="4"/>
        <v>0</v>
      </c>
      <c r="L59" s="5">
        <f t="shared" si="4"/>
        <v>0</v>
      </c>
      <c r="M59" s="5">
        <f t="shared" si="4"/>
        <v>0</v>
      </c>
      <c r="N59" s="5">
        <f t="shared" si="4"/>
        <v>0</v>
      </c>
      <c r="O59" s="5">
        <f t="shared" si="4"/>
        <v>0</v>
      </c>
      <c r="P59" s="5">
        <f t="shared" si="4"/>
        <v>0</v>
      </c>
      <c r="Q59" s="5">
        <f t="shared" si="4"/>
        <v>0</v>
      </c>
      <c r="R59" s="5">
        <f t="shared" si="4"/>
        <v>0</v>
      </c>
      <c r="S59" s="5">
        <f t="shared" si="4"/>
        <v>0</v>
      </c>
      <c r="T59" s="5">
        <f t="shared" si="4"/>
        <v>0</v>
      </c>
      <c r="U59" s="5">
        <f t="shared" si="4"/>
        <v>0</v>
      </c>
      <c r="V59" s="5">
        <f t="shared" si="4"/>
        <v>0</v>
      </c>
      <c r="W59" s="5">
        <f t="shared" si="4"/>
        <v>0</v>
      </c>
      <c r="X59" s="5">
        <f t="shared" si="4"/>
        <v>0</v>
      </c>
      <c r="Y59" s="5">
        <f t="shared" si="4"/>
        <v>0</v>
      </c>
      <c r="Z59" s="5">
        <f t="shared" si="5"/>
        <v>0</v>
      </c>
      <c r="AA59" s="5">
        <f t="shared" si="5"/>
        <v>0</v>
      </c>
    </row>
    <row r="60" spans="1:27" x14ac:dyDescent="0.25">
      <c r="A60" s="6">
        <v>58</v>
      </c>
      <c r="B60" s="11">
        <v>2319</v>
      </c>
      <c r="C60" s="11" t="s">
        <v>49</v>
      </c>
      <c r="D60" s="11">
        <v>70</v>
      </c>
      <c r="E60" s="12" t="s">
        <v>83</v>
      </c>
      <c r="F60" s="5" t="s">
        <v>102</v>
      </c>
      <c r="G60" s="5">
        <v>2.1</v>
      </c>
      <c r="H60" s="5">
        <v>1.1000000000000001</v>
      </c>
      <c r="I60" s="13">
        <v>481</v>
      </c>
      <c r="J60" s="5">
        <f t="shared" si="4"/>
        <v>2.2388773388773391</v>
      </c>
      <c r="K60" s="5">
        <f t="shared" si="4"/>
        <v>4.4777546777546782</v>
      </c>
      <c r="L60" s="5">
        <f t="shared" si="4"/>
        <v>6.7166320166320164</v>
      </c>
      <c r="M60" s="5">
        <f t="shared" si="4"/>
        <v>11.194386694386694</v>
      </c>
      <c r="N60" s="5">
        <f t="shared" si="4"/>
        <v>22.388773388773387</v>
      </c>
      <c r="O60" s="5">
        <f t="shared" si="4"/>
        <v>33.583160083160081</v>
      </c>
      <c r="P60" s="5">
        <f t="shared" si="4"/>
        <v>33.583160083160081</v>
      </c>
      <c r="Q60" s="5">
        <f t="shared" si="4"/>
        <v>44.777546777546775</v>
      </c>
      <c r="R60" s="5">
        <f t="shared" si="4"/>
        <v>55.971933471933468</v>
      </c>
      <c r="S60" s="5">
        <f t="shared" si="4"/>
        <v>67.166320166320162</v>
      </c>
      <c r="T60" s="5">
        <f t="shared" si="4"/>
        <v>89.555093555093549</v>
      </c>
      <c r="U60" s="5">
        <f t="shared" si="4"/>
        <v>107.46611226611226</v>
      </c>
      <c r="V60" s="5">
        <f t="shared" si="4"/>
        <v>6.7166320166320164</v>
      </c>
      <c r="W60" s="5">
        <f t="shared" si="4"/>
        <v>11.194386694386694</v>
      </c>
      <c r="X60" s="5">
        <f t="shared" si="4"/>
        <v>22.388773388773387</v>
      </c>
      <c r="Y60" s="5">
        <f t="shared" si="4"/>
        <v>33.583160083160081</v>
      </c>
      <c r="Z60" s="5">
        <f t="shared" si="5"/>
        <v>33.583160083160081</v>
      </c>
      <c r="AA60" s="5">
        <f t="shared" si="5"/>
        <v>44.777546777546775</v>
      </c>
    </row>
    <row r="61" spans="1:27" x14ac:dyDescent="0.25">
      <c r="A61" s="6">
        <v>59</v>
      </c>
      <c r="B61" s="7">
        <v>2320</v>
      </c>
      <c r="C61" s="7" t="s">
        <v>48</v>
      </c>
      <c r="D61" s="7">
        <v>135</v>
      </c>
      <c r="E61" s="8" t="s">
        <v>82</v>
      </c>
      <c r="F61" s="5" t="s">
        <v>101</v>
      </c>
      <c r="G61" s="5">
        <v>2.1</v>
      </c>
      <c r="H61" s="5">
        <v>1</v>
      </c>
      <c r="I61" s="9">
        <v>152.304</v>
      </c>
      <c r="J61" s="5">
        <f t="shared" si="4"/>
        <v>6.4279336064712682</v>
      </c>
      <c r="K61" s="5">
        <f t="shared" si="4"/>
        <v>12.855867212942536</v>
      </c>
      <c r="L61" s="5">
        <f t="shared" si="4"/>
        <v>19.283800819413806</v>
      </c>
      <c r="M61" s="5">
        <f t="shared" si="4"/>
        <v>32.13966803235634</v>
      </c>
      <c r="N61" s="5">
        <f t="shared" si="4"/>
        <v>64.27933606471268</v>
      </c>
      <c r="O61" s="5">
        <f t="shared" si="4"/>
        <v>96.419004097069035</v>
      </c>
      <c r="P61" s="5">
        <f t="shared" si="4"/>
        <v>96.419004097069035</v>
      </c>
      <c r="Q61" s="5">
        <f t="shared" si="4"/>
        <v>128.55867212942536</v>
      </c>
      <c r="R61" s="5">
        <f t="shared" si="4"/>
        <v>160.69834016178172</v>
      </c>
      <c r="S61" s="5">
        <f t="shared" si="4"/>
        <v>192.83800819413807</v>
      </c>
      <c r="T61" s="5">
        <f t="shared" si="4"/>
        <v>257.11734425885072</v>
      </c>
      <c r="U61" s="5">
        <f t="shared" si="4"/>
        <v>308.54081311062089</v>
      </c>
      <c r="V61" s="5">
        <f t="shared" si="4"/>
        <v>19.283800819413806</v>
      </c>
      <c r="W61" s="5">
        <f t="shared" si="4"/>
        <v>32.13966803235634</v>
      </c>
      <c r="X61" s="5">
        <f t="shared" si="4"/>
        <v>64.27933606471268</v>
      </c>
      <c r="Y61" s="5">
        <f t="shared" si="4"/>
        <v>96.419004097069035</v>
      </c>
      <c r="Z61" s="5">
        <f t="shared" si="5"/>
        <v>96.419004097069035</v>
      </c>
      <c r="AA61" s="5">
        <f t="shared" si="5"/>
        <v>128.55867212942536</v>
      </c>
    </row>
    <row r="62" spans="1:27" x14ac:dyDescent="0.25">
      <c r="A62" s="6">
        <v>60</v>
      </c>
      <c r="B62" s="11">
        <v>2321</v>
      </c>
      <c r="C62" s="11" t="s">
        <v>46</v>
      </c>
      <c r="D62" s="11">
        <v>90</v>
      </c>
      <c r="E62" s="12" t="s">
        <v>81</v>
      </c>
      <c r="F62" s="5" t="s">
        <v>101</v>
      </c>
      <c r="G62" s="5">
        <v>2.1</v>
      </c>
      <c r="H62" s="5">
        <v>1.1000000000000001</v>
      </c>
      <c r="I62" s="13">
        <v>219.1875</v>
      </c>
      <c r="J62" s="5">
        <f t="shared" si="4"/>
        <v>4.9131451382948397</v>
      </c>
      <c r="K62" s="5">
        <f t="shared" si="4"/>
        <v>9.8262902765896794</v>
      </c>
      <c r="L62" s="5">
        <f t="shared" si="4"/>
        <v>14.73943541488452</v>
      </c>
      <c r="M62" s="5">
        <f t="shared" si="4"/>
        <v>24.565725691474196</v>
      </c>
      <c r="N62" s="5">
        <f t="shared" si="4"/>
        <v>49.131451382948391</v>
      </c>
      <c r="O62" s="5">
        <f t="shared" si="4"/>
        <v>73.697177074422584</v>
      </c>
      <c r="P62" s="5">
        <f t="shared" si="4"/>
        <v>73.697177074422584</v>
      </c>
      <c r="Q62" s="5">
        <f t="shared" si="4"/>
        <v>98.262902765896783</v>
      </c>
      <c r="R62" s="5">
        <f t="shared" si="4"/>
        <v>122.82862845737098</v>
      </c>
      <c r="S62" s="5">
        <f t="shared" si="4"/>
        <v>147.39435414884517</v>
      </c>
      <c r="T62" s="5">
        <f t="shared" si="4"/>
        <v>196.52580553179357</v>
      </c>
      <c r="U62" s="5">
        <f t="shared" si="4"/>
        <v>235.83096663815232</v>
      </c>
      <c r="V62" s="5">
        <f t="shared" si="4"/>
        <v>14.73943541488452</v>
      </c>
      <c r="W62" s="5">
        <f t="shared" si="4"/>
        <v>24.565725691474196</v>
      </c>
      <c r="X62" s="5">
        <f t="shared" si="4"/>
        <v>49.131451382948391</v>
      </c>
      <c r="Y62" s="5">
        <f t="shared" si="4"/>
        <v>73.697177074422584</v>
      </c>
      <c r="Z62" s="5">
        <f t="shared" si="5"/>
        <v>73.697177074422584</v>
      </c>
      <c r="AA62" s="5">
        <f t="shared" si="5"/>
        <v>98.262902765896783</v>
      </c>
    </row>
    <row r="63" spans="1:27" x14ac:dyDescent="0.25">
      <c r="A63" s="6">
        <v>61</v>
      </c>
      <c r="B63" s="11">
        <v>2322</v>
      </c>
      <c r="C63" s="11" t="s">
        <v>36</v>
      </c>
      <c r="D63" s="11">
        <v>45</v>
      </c>
      <c r="E63" s="22" t="s">
        <v>95</v>
      </c>
      <c r="F63" s="5" t="s">
        <v>102</v>
      </c>
      <c r="G63" s="5">
        <v>2.1</v>
      </c>
      <c r="H63" s="5">
        <v>1.2</v>
      </c>
      <c r="I63" s="13">
        <v>263.02499999999998</v>
      </c>
      <c r="J63" s="5">
        <f t="shared" si="4"/>
        <v>4.4664955802680355</v>
      </c>
      <c r="K63" s="5">
        <f t="shared" si="4"/>
        <v>8.932991160536071</v>
      </c>
      <c r="L63" s="5">
        <f t="shared" si="4"/>
        <v>13.399486740804107</v>
      </c>
      <c r="M63" s="5">
        <f t="shared" si="4"/>
        <v>22.33247790134018</v>
      </c>
      <c r="N63" s="5">
        <f t="shared" si="4"/>
        <v>44.66495580268036</v>
      </c>
      <c r="O63" s="5">
        <f t="shared" si="4"/>
        <v>66.997433704020537</v>
      </c>
      <c r="P63" s="5">
        <f t="shared" si="4"/>
        <v>66.997433704020537</v>
      </c>
      <c r="Q63" s="5">
        <f t="shared" si="4"/>
        <v>89.329911605360721</v>
      </c>
      <c r="R63" s="5">
        <f t="shared" si="4"/>
        <v>111.66238950670089</v>
      </c>
      <c r="S63" s="5">
        <f t="shared" si="4"/>
        <v>133.99486740804107</v>
      </c>
      <c r="T63" s="5">
        <f t="shared" si="4"/>
        <v>178.65982321072144</v>
      </c>
      <c r="U63" s="5">
        <f t="shared" si="4"/>
        <v>214.39178785286572</v>
      </c>
      <c r="V63" s="5">
        <f t="shared" si="4"/>
        <v>13.399486740804107</v>
      </c>
      <c r="W63" s="5">
        <f t="shared" si="4"/>
        <v>22.33247790134018</v>
      </c>
      <c r="X63" s="5">
        <f t="shared" si="4"/>
        <v>44.66495580268036</v>
      </c>
      <c r="Y63" s="5">
        <f t="shared" si="4"/>
        <v>66.997433704020537</v>
      </c>
      <c r="Z63" s="5">
        <f t="shared" si="5"/>
        <v>66.997433704020537</v>
      </c>
      <c r="AA63" s="5">
        <f t="shared" si="5"/>
        <v>89.329911605360721</v>
      </c>
    </row>
    <row r="64" spans="1:27" x14ac:dyDescent="0.25">
      <c r="A64" s="6">
        <v>62</v>
      </c>
      <c r="B64" s="14">
        <v>2323</v>
      </c>
      <c r="C64" s="7" t="s">
        <v>48</v>
      </c>
      <c r="D64" s="7">
        <v>135</v>
      </c>
      <c r="E64" s="8" t="s">
        <v>84</v>
      </c>
      <c r="F64" s="5" t="s">
        <v>102</v>
      </c>
      <c r="G64" s="5">
        <v>2.1</v>
      </c>
      <c r="H64" s="5">
        <v>1</v>
      </c>
      <c r="I64" s="9">
        <v>228.45599999999999</v>
      </c>
      <c r="J64" s="5">
        <f t="shared" ref="J64:Y94" si="6">$H64*1000/$I64*J$2*(100-$G64)/100</f>
        <v>4.2852890709808467</v>
      </c>
      <c r="K64" s="5">
        <f t="shared" si="6"/>
        <v>8.5705781419616933</v>
      </c>
      <c r="L64" s="5">
        <f t="shared" si="6"/>
        <v>12.855867212942536</v>
      </c>
      <c r="M64" s="5">
        <f t="shared" si="6"/>
        <v>21.426445354904232</v>
      </c>
      <c r="N64" s="5">
        <f t="shared" si="6"/>
        <v>42.852890709808463</v>
      </c>
      <c r="O64" s="5">
        <f t="shared" si="6"/>
        <v>64.279336064712695</v>
      </c>
      <c r="P64" s="5">
        <f t="shared" si="6"/>
        <v>64.279336064712695</v>
      </c>
      <c r="Q64" s="5">
        <f t="shared" si="6"/>
        <v>85.705781419616926</v>
      </c>
      <c r="R64" s="5">
        <f t="shared" si="6"/>
        <v>107.13222677452114</v>
      </c>
      <c r="S64" s="5">
        <f t="shared" si="6"/>
        <v>128.55867212942539</v>
      </c>
      <c r="T64" s="5">
        <f t="shared" si="6"/>
        <v>171.41156283923385</v>
      </c>
      <c r="U64" s="5">
        <f t="shared" si="6"/>
        <v>205.69387540708058</v>
      </c>
      <c r="V64" s="5">
        <f t="shared" si="6"/>
        <v>12.855867212942536</v>
      </c>
      <c r="W64" s="5">
        <f t="shared" si="6"/>
        <v>21.426445354904232</v>
      </c>
      <c r="X64" s="5">
        <f t="shared" si="6"/>
        <v>42.852890709808463</v>
      </c>
      <c r="Y64" s="5">
        <f t="shared" si="6"/>
        <v>64.279336064712695</v>
      </c>
      <c r="Z64" s="5">
        <f t="shared" si="5"/>
        <v>64.279336064712695</v>
      </c>
      <c r="AA64" s="5">
        <f t="shared" si="5"/>
        <v>85.705781419616926</v>
      </c>
    </row>
    <row r="65" spans="1:27" x14ac:dyDescent="0.25">
      <c r="A65" s="6">
        <v>63</v>
      </c>
      <c r="B65" s="7">
        <v>2324</v>
      </c>
      <c r="C65" s="7" t="s">
        <v>49</v>
      </c>
      <c r="D65" s="7">
        <v>70</v>
      </c>
      <c r="E65" s="8" t="s">
        <v>83</v>
      </c>
      <c r="F65" s="5" t="s">
        <v>102</v>
      </c>
      <c r="G65" s="5">
        <v>2.1</v>
      </c>
      <c r="H65" s="5">
        <v>1.1000000000000001</v>
      </c>
      <c r="I65" s="9">
        <v>222.44399999999999</v>
      </c>
      <c r="J65" s="5">
        <f t="shared" si="6"/>
        <v>4.8412184639729547</v>
      </c>
      <c r="K65" s="5">
        <f t="shared" si="6"/>
        <v>9.6824369279459095</v>
      </c>
      <c r="L65" s="5">
        <f t="shared" si="6"/>
        <v>14.523655391918865</v>
      </c>
      <c r="M65" s="5">
        <f t="shared" si="6"/>
        <v>24.206092319864773</v>
      </c>
      <c r="N65" s="5">
        <f t="shared" si="6"/>
        <v>48.412184639729546</v>
      </c>
      <c r="O65" s="5">
        <f t="shared" si="6"/>
        <v>72.618276959594326</v>
      </c>
      <c r="P65" s="5">
        <f t="shared" si="6"/>
        <v>72.618276959594326</v>
      </c>
      <c r="Q65" s="5">
        <f t="shared" si="6"/>
        <v>96.824369279459091</v>
      </c>
      <c r="R65" s="5">
        <f t="shared" si="6"/>
        <v>121.03046159932389</v>
      </c>
      <c r="S65" s="5">
        <f t="shared" si="6"/>
        <v>145.23655391918865</v>
      </c>
      <c r="T65" s="5">
        <f t="shared" si="6"/>
        <v>193.64873855891818</v>
      </c>
      <c r="U65" s="5">
        <f t="shared" si="6"/>
        <v>232.37848627070184</v>
      </c>
      <c r="V65" s="5">
        <f t="shared" si="6"/>
        <v>14.523655391918865</v>
      </c>
      <c r="W65" s="5">
        <f t="shared" si="6"/>
        <v>24.206092319864773</v>
      </c>
      <c r="X65" s="5">
        <f t="shared" si="6"/>
        <v>48.412184639729546</v>
      </c>
      <c r="Y65" s="5">
        <f t="shared" si="6"/>
        <v>72.618276959594326</v>
      </c>
      <c r="Z65" s="5">
        <f t="shared" si="5"/>
        <v>72.618276959594326</v>
      </c>
      <c r="AA65" s="5">
        <f t="shared" si="5"/>
        <v>96.824369279459091</v>
      </c>
    </row>
    <row r="66" spans="1:27" x14ac:dyDescent="0.25">
      <c r="A66" s="6">
        <v>64</v>
      </c>
      <c r="B66" s="7">
        <v>2325</v>
      </c>
      <c r="C66" s="7" t="s">
        <v>52</v>
      </c>
      <c r="D66" s="7">
        <v>330</v>
      </c>
      <c r="E66" s="8" t="s">
        <v>85</v>
      </c>
      <c r="F66" s="5" t="s">
        <v>101</v>
      </c>
      <c r="G66" s="5">
        <v>2.1</v>
      </c>
      <c r="H66" s="5">
        <v>0.9</v>
      </c>
      <c r="I66" s="9">
        <v>178</v>
      </c>
      <c r="J66" s="5">
        <f t="shared" si="6"/>
        <v>4.95</v>
      </c>
      <c r="K66" s="5">
        <f t="shared" si="6"/>
        <v>9.9</v>
      </c>
      <c r="L66" s="5">
        <f t="shared" si="6"/>
        <v>14.850000000000001</v>
      </c>
      <c r="M66" s="5">
        <f t="shared" si="6"/>
        <v>24.750000000000004</v>
      </c>
      <c r="N66" s="5">
        <f t="shared" si="6"/>
        <v>49.500000000000007</v>
      </c>
      <c r="O66" s="5">
        <f t="shared" si="6"/>
        <v>74.250000000000014</v>
      </c>
      <c r="P66" s="5">
        <f t="shared" si="6"/>
        <v>74.250000000000014</v>
      </c>
      <c r="Q66" s="5">
        <f t="shared" si="6"/>
        <v>99.000000000000014</v>
      </c>
      <c r="R66" s="5">
        <f t="shared" si="6"/>
        <v>123.75000000000001</v>
      </c>
      <c r="S66" s="5">
        <f t="shared" si="6"/>
        <v>148.50000000000003</v>
      </c>
      <c r="T66" s="5">
        <f t="shared" si="6"/>
        <v>198.00000000000003</v>
      </c>
      <c r="U66" s="5">
        <f t="shared" si="6"/>
        <v>237.60000000000002</v>
      </c>
      <c r="V66" s="5">
        <f t="shared" si="6"/>
        <v>14.850000000000001</v>
      </c>
      <c r="W66" s="5">
        <f t="shared" si="6"/>
        <v>24.750000000000004</v>
      </c>
      <c r="X66" s="5">
        <f t="shared" si="6"/>
        <v>49.500000000000007</v>
      </c>
      <c r="Y66" s="5">
        <f t="shared" si="6"/>
        <v>74.250000000000014</v>
      </c>
      <c r="Z66" s="5">
        <f t="shared" si="5"/>
        <v>74.250000000000014</v>
      </c>
      <c r="AA66" s="5">
        <f t="shared" si="5"/>
        <v>99.000000000000014</v>
      </c>
    </row>
    <row r="67" spans="1:27" x14ac:dyDescent="0.25">
      <c r="A67" s="6">
        <v>65</v>
      </c>
      <c r="B67" s="7">
        <v>2326</v>
      </c>
      <c r="C67" s="7" t="s">
        <v>49</v>
      </c>
      <c r="D67" s="7">
        <v>70</v>
      </c>
      <c r="E67" s="8" t="s">
        <v>83</v>
      </c>
      <c r="F67" s="5" t="s">
        <v>102</v>
      </c>
      <c r="G67" s="5">
        <v>2.1</v>
      </c>
      <c r="H67" s="5">
        <v>1.1000000000000001</v>
      </c>
      <c r="I67" s="9">
        <v>111.22199999999999</v>
      </c>
      <c r="J67" s="5">
        <f t="shared" si="6"/>
        <v>9.6824369279459095</v>
      </c>
      <c r="K67" s="5">
        <f t="shared" si="6"/>
        <v>19.364873855891819</v>
      </c>
      <c r="L67" s="5">
        <f t="shared" si="6"/>
        <v>29.04731078383773</v>
      </c>
      <c r="M67" s="5">
        <f t="shared" si="6"/>
        <v>48.412184639729546</v>
      </c>
      <c r="N67" s="5">
        <f t="shared" si="6"/>
        <v>96.824369279459091</v>
      </c>
      <c r="O67" s="5">
        <f t="shared" si="6"/>
        <v>145.23655391918865</v>
      </c>
      <c r="P67" s="5">
        <f t="shared" si="6"/>
        <v>145.23655391918865</v>
      </c>
      <c r="Q67" s="5">
        <f t="shared" si="6"/>
        <v>193.64873855891818</v>
      </c>
      <c r="R67" s="5">
        <f t="shared" si="6"/>
        <v>242.06092319864777</v>
      </c>
      <c r="S67" s="5">
        <f t="shared" si="6"/>
        <v>290.4731078383773</v>
      </c>
      <c r="T67" s="5">
        <f t="shared" si="6"/>
        <v>387.29747711783637</v>
      </c>
      <c r="U67" s="5">
        <f t="shared" si="6"/>
        <v>464.75697254140368</v>
      </c>
      <c r="V67" s="5">
        <f t="shared" si="6"/>
        <v>29.04731078383773</v>
      </c>
      <c r="W67" s="5">
        <f t="shared" si="6"/>
        <v>48.412184639729546</v>
      </c>
      <c r="X67" s="5">
        <f t="shared" si="6"/>
        <v>96.824369279459091</v>
      </c>
      <c r="Y67" s="5">
        <f t="shared" si="6"/>
        <v>145.23655391918865</v>
      </c>
      <c r="Z67" s="5">
        <f t="shared" si="5"/>
        <v>145.23655391918865</v>
      </c>
      <c r="AA67" s="5">
        <f t="shared" si="5"/>
        <v>193.64873855891818</v>
      </c>
    </row>
    <row r="68" spans="1:27" x14ac:dyDescent="0.25">
      <c r="A68" s="6">
        <v>66</v>
      </c>
      <c r="B68" s="7">
        <v>3201</v>
      </c>
      <c r="C68" s="7" t="s">
        <v>53</v>
      </c>
      <c r="D68" s="7">
        <v>50</v>
      </c>
      <c r="E68" s="8" t="s">
        <v>90</v>
      </c>
      <c r="F68" s="5" t="s">
        <v>96</v>
      </c>
      <c r="G68" s="5">
        <v>2.1</v>
      </c>
      <c r="H68" s="5">
        <v>1.1000000000000001</v>
      </c>
      <c r="I68" s="9">
        <v>49.598999999999997</v>
      </c>
      <c r="J68" s="5">
        <f t="shared" si="6"/>
        <v>21.71213129296962</v>
      </c>
      <c r="K68" s="5">
        <f t="shared" si="6"/>
        <v>43.424262585939239</v>
      </c>
      <c r="L68" s="5">
        <f t="shared" si="6"/>
        <v>65.136393878908862</v>
      </c>
      <c r="M68" s="5">
        <f t="shared" si="6"/>
        <v>108.56065646484811</v>
      </c>
      <c r="N68" s="5">
        <f t="shared" si="6"/>
        <v>217.12131292969622</v>
      </c>
      <c r="O68" s="5">
        <f t="shared" si="6"/>
        <v>325.6819693945443</v>
      </c>
      <c r="P68" s="5">
        <f t="shared" si="6"/>
        <v>325.6819693945443</v>
      </c>
      <c r="Q68" s="5">
        <f t="shared" si="6"/>
        <v>434.24262585939243</v>
      </c>
      <c r="R68" s="5">
        <f t="shared" si="6"/>
        <v>542.80328232424051</v>
      </c>
      <c r="S68" s="5">
        <f t="shared" si="6"/>
        <v>651.36393878908859</v>
      </c>
      <c r="T68" s="5">
        <f t="shared" si="6"/>
        <v>868.48525171878487</v>
      </c>
      <c r="U68" s="5">
        <f t="shared" si="6"/>
        <v>1042.1823020625418</v>
      </c>
      <c r="V68" s="5">
        <f t="shared" si="6"/>
        <v>65.136393878908862</v>
      </c>
      <c r="W68" s="5">
        <f t="shared" si="6"/>
        <v>108.56065646484811</v>
      </c>
      <c r="X68" s="5">
        <f t="shared" si="6"/>
        <v>217.12131292969622</v>
      </c>
      <c r="Y68" s="5">
        <f t="shared" si="6"/>
        <v>325.6819693945443</v>
      </c>
      <c r="Z68" s="5">
        <f t="shared" si="5"/>
        <v>325.6819693945443</v>
      </c>
      <c r="AA68" s="5">
        <f t="shared" si="5"/>
        <v>434.24262585939243</v>
      </c>
    </row>
    <row r="69" spans="1:27" x14ac:dyDescent="0.25">
      <c r="A69" s="6">
        <v>67</v>
      </c>
      <c r="B69" s="7">
        <v>3202</v>
      </c>
      <c r="C69" s="7" t="s">
        <v>54</v>
      </c>
      <c r="D69" s="7">
        <v>50</v>
      </c>
      <c r="E69" s="8" t="s">
        <v>90</v>
      </c>
      <c r="F69" s="5" t="s">
        <v>96</v>
      </c>
      <c r="G69" s="5">
        <v>2.1</v>
      </c>
      <c r="H69" s="5">
        <v>1.1000000000000001</v>
      </c>
      <c r="I69" s="9">
        <v>99.197999999999993</v>
      </c>
      <c r="J69" s="5">
        <f t="shared" si="6"/>
        <v>10.85606564648481</v>
      </c>
      <c r="K69" s="5">
        <f t="shared" si="6"/>
        <v>21.71213129296962</v>
      </c>
      <c r="L69" s="5">
        <f t="shared" si="6"/>
        <v>32.568196939454431</v>
      </c>
      <c r="M69" s="5">
        <f t="shared" si="6"/>
        <v>54.280328232424054</v>
      </c>
      <c r="N69" s="5">
        <f t="shared" si="6"/>
        <v>108.56065646484811</v>
      </c>
      <c r="O69" s="5">
        <f t="shared" si="6"/>
        <v>162.84098469727215</v>
      </c>
      <c r="P69" s="5">
        <f t="shared" si="6"/>
        <v>162.84098469727215</v>
      </c>
      <c r="Q69" s="5">
        <f t="shared" si="6"/>
        <v>217.12131292969622</v>
      </c>
      <c r="R69" s="5">
        <f t="shared" si="6"/>
        <v>271.40164116212026</v>
      </c>
      <c r="S69" s="5">
        <f t="shared" si="6"/>
        <v>325.6819693945443</v>
      </c>
      <c r="T69" s="5">
        <f t="shared" si="6"/>
        <v>434.24262585939243</v>
      </c>
      <c r="U69" s="5">
        <f t="shared" si="6"/>
        <v>521.0911510312709</v>
      </c>
      <c r="V69" s="5">
        <f t="shared" si="6"/>
        <v>32.568196939454431</v>
      </c>
      <c r="W69" s="5">
        <f t="shared" si="6"/>
        <v>54.280328232424054</v>
      </c>
      <c r="X69" s="5">
        <f t="shared" si="6"/>
        <v>108.56065646484811</v>
      </c>
      <c r="Y69" s="5">
        <f t="shared" si="6"/>
        <v>162.84098469727215</v>
      </c>
      <c r="Z69" s="5">
        <f t="shared" si="5"/>
        <v>162.84098469727215</v>
      </c>
      <c r="AA69" s="5">
        <f t="shared" si="5"/>
        <v>217.12131292969622</v>
      </c>
    </row>
    <row r="70" spans="1:27" x14ac:dyDescent="0.25">
      <c r="A70" s="6">
        <v>68</v>
      </c>
      <c r="B70" s="7">
        <v>3203</v>
      </c>
      <c r="C70" s="7" t="s">
        <v>53</v>
      </c>
      <c r="D70" s="7">
        <v>50</v>
      </c>
      <c r="E70" s="8" t="s">
        <v>90</v>
      </c>
      <c r="F70" s="5" t="s">
        <v>96</v>
      </c>
      <c r="G70" s="5">
        <v>2.1</v>
      </c>
      <c r="H70" s="5">
        <v>1.1000000000000001</v>
      </c>
      <c r="I70" s="9">
        <v>24.799499999999998</v>
      </c>
      <c r="J70" s="5">
        <f t="shared" si="6"/>
        <v>43.424262585939239</v>
      </c>
      <c r="K70" s="5">
        <f t="shared" si="6"/>
        <v>86.848525171878478</v>
      </c>
      <c r="L70" s="5">
        <f t="shared" si="6"/>
        <v>130.27278775781772</v>
      </c>
      <c r="M70" s="5">
        <f t="shared" si="6"/>
        <v>217.12131292969622</v>
      </c>
      <c r="N70" s="5">
        <f t="shared" si="6"/>
        <v>434.24262585939243</v>
      </c>
      <c r="O70" s="5">
        <f t="shared" si="6"/>
        <v>651.36393878908859</v>
      </c>
      <c r="P70" s="5">
        <f t="shared" si="6"/>
        <v>651.36393878908859</v>
      </c>
      <c r="Q70" s="5">
        <f t="shared" si="6"/>
        <v>868.48525171878487</v>
      </c>
      <c r="R70" s="5">
        <f t="shared" si="6"/>
        <v>1085.606564648481</v>
      </c>
      <c r="S70" s="5">
        <f t="shared" si="6"/>
        <v>1302.7278775781772</v>
      </c>
      <c r="T70" s="5">
        <f t="shared" si="6"/>
        <v>1736.9705034375697</v>
      </c>
      <c r="U70" s="5">
        <f t="shared" si="6"/>
        <v>2084.3646041250836</v>
      </c>
      <c r="V70" s="5">
        <f t="shared" si="6"/>
        <v>130.27278775781772</v>
      </c>
      <c r="W70" s="5">
        <f t="shared" si="6"/>
        <v>217.12131292969622</v>
      </c>
      <c r="X70" s="5">
        <f t="shared" si="6"/>
        <v>434.24262585939243</v>
      </c>
      <c r="Y70" s="5">
        <f t="shared" si="6"/>
        <v>651.36393878908859</v>
      </c>
      <c r="Z70" s="5">
        <f t="shared" si="5"/>
        <v>651.36393878908859</v>
      </c>
      <c r="AA70" s="5">
        <f t="shared" si="5"/>
        <v>868.48525171878487</v>
      </c>
    </row>
    <row r="71" spans="1:27" x14ac:dyDescent="0.25">
      <c r="A71" s="6">
        <v>69</v>
      </c>
      <c r="B71" s="7">
        <v>3301</v>
      </c>
      <c r="C71" s="7" t="s">
        <v>55</v>
      </c>
      <c r="D71" s="7">
        <v>70</v>
      </c>
      <c r="E71" s="8" t="s">
        <v>91</v>
      </c>
      <c r="F71" s="5" t="s">
        <v>96</v>
      </c>
      <c r="G71" s="5">
        <v>2.1</v>
      </c>
      <c r="H71" s="5">
        <v>1.1000000000000001</v>
      </c>
      <c r="I71" s="9">
        <v>37.073999999999998</v>
      </c>
      <c r="J71" s="5">
        <f t="shared" si="6"/>
        <v>29.047310783837734</v>
      </c>
      <c r="K71" s="5">
        <f t="shared" si="6"/>
        <v>58.094621567675468</v>
      </c>
      <c r="L71" s="5">
        <f t="shared" si="6"/>
        <v>87.141932351513205</v>
      </c>
      <c r="M71" s="5">
        <f t="shared" si="6"/>
        <v>145.23655391918865</v>
      </c>
      <c r="N71" s="5">
        <f t="shared" si="6"/>
        <v>290.4731078383773</v>
      </c>
      <c r="O71" s="5">
        <f t="shared" si="6"/>
        <v>435.70966175756604</v>
      </c>
      <c r="P71" s="5">
        <f t="shared" si="6"/>
        <v>435.70966175756604</v>
      </c>
      <c r="Q71" s="5">
        <f t="shared" si="6"/>
        <v>580.9462156767546</v>
      </c>
      <c r="R71" s="5">
        <f t="shared" si="6"/>
        <v>726.18276959594334</v>
      </c>
      <c r="S71" s="5">
        <f t="shared" si="6"/>
        <v>871.41932351513208</v>
      </c>
      <c r="T71" s="5">
        <f t="shared" si="6"/>
        <v>1161.8924313535092</v>
      </c>
      <c r="U71" s="5">
        <f t="shared" si="6"/>
        <v>1394.2709176242113</v>
      </c>
      <c r="V71" s="5">
        <f t="shared" si="6"/>
        <v>87.141932351513205</v>
      </c>
      <c r="W71" s="5">
        <f t="shared" si="6"/>
        <v>145.23655391918865</v>
      </c>
      <c r="X71" s="5">
        <f t="shared" si="6"/>
        <v>290.4731078383773</v>
      </c>
      <c r="Y71" s="5">
        <f t="shared" si="6"/>
        <v>435.70966175756604</v>
      </c>
      <c r="Z71" s="5">
        <f t="shared" si="5"/>
        <v>435.70966175756604</v>
      </c>
      <c r="AA71" s="5">
        <f t="shared" si="5"/>
        <v>580.9462156767546</v>
      </c>
    </row>
    <row r="72" spans="1:27" x14ac:dyDescent="0.25">
      <c r="A72" s="6">
        <v>70</v>
      </c>
      <c r="B72" s="7">
        <v>3302</v>
      </c>
      <c r="C72" s="7" t="s">
        <v>56</v>
      </c>
      <c r="D72" s="7">
        <v>70</v>
      </c>
      <c r="E72" s="21" t="s">
        <v>91</v>
      </c>
      <c r="F72" s="5" t="s">
        <v>96</v>
      </c>
      <c r="G72" s="5">
        <v>2.1</v>
      </c>
      <c r="H72" s="5">
        <v>1.1000000000000001</v>
      </c>
      <c r="I72" s="9">
        <v>111.22199999999999</v>
      </c>
      <c r="J72" s="5">
        <f t="shared" si="6"/>
        <v>9.6824369279459095</v>
      </c>
      <c r="K72" s="5">
        <f t="shared" si="6"/>
        <v>19.364873855891819</v>
      </c>
      <c r="L72" s="5">
        <f t="shared" si="6"/>
        <v>29.04731078383773</v>
      </c>
      <c r="M72" s="5">
        <f t="shared" si="6"/>
        <v>48.412184639729546</v>
      </c>
      <c r="N72" s="5">
        <f t="shared" si="6"/>
        <v>96.824369279459091</v>
      </c>
      <c r="O72" s="5">
        <f t="shared" si="6"/>
        <v>145.23655391918865</v>
      </c>
      <c r="P72" s="5">
        <f t="shared" si="6"/>
        <v>145.23655391918865</v>
      </c>
      <c r="Q72" s="5">
        <f t="shared" si="6"/>
        <v>193.64873855891818</v>
      </c>
      <c r="R72" s="5">
        <f t="shared" si="6"/>
        <v>242.06092319864777</v>
      </c>
      <c r="S72" s="5">
        <f t="shared" si="6"/>
        <v>290.4731078383773</v>
      </c>
      <c r="T72" s="5">
        <f t="shared" si="6"/>
        <v>387.29747711783637</v>
      </c>
      <c r="U72" s="5">
        <f t="shared" si="6"/>
        <v>464.75697254140368</v>
      </c>
      <c r="V72" s="5">
        <f t="shared" si="6"/>
        <v>29.04731078383773</v>
      </c>
      <c r="W72" s="5">
        <f t="shared" si="6"/>
        <v>48.412184639729546</v>
      </c>
      <c r="X72" s="5">
        <f t="shared" si="6"/>
        <v>96.824369279459091</v>
      </c>
      <c r="Y72" s="5">
        <f t="shared" si="6"/>
        <v>145.23655391918865</v>
      </c>
      <c r="Z72" s="5">
        <f t="shared" si="5"/>
        <v>145.23655391918865</v>
      </c>
      <c r="AA72" s="5">
        <f t="shared" si="5"/>
        <v>193.64873855891818</v>
      </c>
    </row>
    <row r="73" spans="1:27" x14ac:dyDescent="0.25">
      <c r="A73" s="6">
        <v>71</v>
      </c>
      <c r="B73" s="7">
        <v>3303</v>
      </c>
      <c r="C73" s="7" t="s">
        <v>57</v>
      </c>
      <c r="D73" s="7">
        <v>70</v>
      </c>
      <c r="E73" s="8" t="s">
        <v>91</v>
      </c>
      <c r="F73" s="5" t="s">
        <v>96</v>
      </c>
      <c r="G73" s="5">
        <v>2.1</v>
      </c>
      <c r="H73" s="5">
        <v>1.1000000000000001</v>
      </c>
      <c r="I73" s="9">
        <v>74.147999999999996</v>
      </c>
      <c r="J73" s="5">
        <f t="shared" si="6"/>
        <v>14.523655391918867</v>
      </c>
      <c r="K73" s="5">
        <f t="shared" si="6"/>
        <v>29.047310783837734</v>
      </c>
      <c r="L73" s="5">
        <f t="shared" si="6"/>
        <v>43.570966175756602</v>
      </c>
      <c r="M73" s="5">
        <f t="shared" si="6"/>
        <v>72.618276959594326</v>
      </c>
      <c r="N73" s="5">
        <f t="shared" si="6"/>
        <v>145.23655391918865</v>
      </c>
      <c r="O73" s="5">
        <f t="shared" si="6"/>
        <v>217.85483087878302</v>
      </c>
      <c r="P73" s="5">
        <f t="shared" si="6"/>
        <v>217.85483087878302</v>
      </c>
      <c r="Q73" s="5">
        <f t="shared" si="6"/>
        <v>290.4731078383773</v>
      </c>
      <c r="R73" s="5">
        <f t="shared" si="6"/>
        <v>363.09138479797167</v>
      </c>
      <c r="S73" s="5">
        <f t="shared" si="6"/>
        <v>435.70966175756604</v>
      </c>
      <c r="T73" s="5">
        <f t="shared" si="6"/>
        <v>580.9462156767546</v>
      </c>
      <c r="U73" s="5">
        <f t="shared" si="6"/>
        <v>697.13545881210564</v>
      </c>
      <c r="V73" s="5">
        <f t="shared" si="6"/>
        <v>43.570966175756602</v>
      </c>
      <c r="W73" s="5">
        <f t="shared" si="6"/>
        <v>72.618276959594326</v>
      </c>
      <c r="X73" s="5">
        <f t="shared" si="6"/>
        <v>145.23655391918865</v>
      </c>
      <c r="Y73" s="5">
        <f t="shared" si="6"/>
        <v>217.85483087878302</v>
      </c>
      <c r="Z73" s="5">
        <f t="shared" si="5"/>
        <v>217.85483087878302</v>
      </c>
      <c r="AA73" s="5">
        <f t="shared" si="5"/>
        <v>290.4731078383773</v>
      </c>
    </row>
    <row r="74" spans="1:27" x14ac:dyDescent="0.25">
      <c r="A74" s="6">
        <v>72</v>
      </c>
      <c r="B74" s="7">
        <v>3304</v>
      </c>
      <c r="C74" s="7" t="s">
        <v>58</v>
      </c>
      <c r="D74" s="7">
        <v>135</v>
      </c>
      <c r="E74" s="8" t="s">
        <v>92</v>
      </c>
      <c r="F74" s="5" t="s">
        <v>96</v>
      </c>
      <c r="G74" s="5">
        <v>2.1</v>
      </c>
      <c r="H74" s="5">
        <v>1</v>
      </c>
      <c r="I74" s="9">
        <v>76.152000000000001</v>
      </c>
      <c r="J74" s="5">
        <f t="shared" si="6"/>
        <v>12.855867212942536</v>
      </c>
      <c r="K74" s="5">
        <f t="shared" si="6"/>
        <v>25.711734425885073</v>
      </c>
      <c r="L74" s="5">
        <f t="shared" si="6"/>
        <v>38.567601638827611</v>
      </c>
      <c r="M74" s="5">
        <f t="shared" si="6"/>
        <v>64.27933606471268</v>
      </c>
      <c r="N74" s="5">
        <f t="shared" si="6"/>
        <v>128.55867212942536</v>
      </c>
      <c r="O74" s="5">
        <f t="shared" si="6"/>
        <v>192.83800819413807</v>
      </c>
      <c r="P74" s="5">
        <f t="shared" si="6"/>
        <v>192.83800819413807</v>
      </c>
      <c r="Q74" s="5">
        <f t="shared" si="6"/>
        <v>257.11734425885072</v>
      </c>
      <c r="R74" s="5">
        <f t="shared" si="6"/>
        <v>321.39668032356343</v>
      </c>
      <c r="S74" s="5">
        <f t="shared" si="6"/>
        <v>385.67601638827614</v>
      </c>
      <c r="T74" s="5">
        <f t="shared" si="6"/>
        <v>514.23468851770144</v>
      </c>
      <c r="U74" s="5">
        <f t="shared" si="6"/>
        <v>617.08162622124178</v>
      </c>
      <c r="V74" s="5">
        <f t="shared" si="6"/>
        <v>38.567601638827611</v>
      </c>
      <c r="W74" s="5">
        <f t="shared" si="6"/>
        <v>64.27933606471268</v>
      </c>
      <c r="X74" s="5">
        <f t="shared" si="6"/>
        <v>128.55867212942536</v>
      </c>
      <c r="Y74" s="5">
        <f t="shared" si="6"/>
        <v>192.83800819413807</v>
      </c>
      <c r="Z74" s="5">
        <f t="shared" si="5"/>
        <v>192.83800819413807</v>
      </c>
      <c r="AA74" s="5">
        <f t="shared" si="5"/>
        <v>257.11734425885072</v>
      </c>
    </row>
    <row r="75" spans="1:27" x14ac:dyDescent="0.25">
      <c r="A75" s="6">
        <v>73</v>
      </c>
      <c r="B75" s="7">
        <v>3310</v>
      </c>
      <c r="C75" s="7" t="s">
        <v>58</v>
      </c>
      <c r="D75" s="7">
        <v>135</v>
      </c>
      <c r="E75" s="8" t="s">
        <v>92</v>
      </c>
      <c r="F75" s="5" t="s">
        <v>96</v>
      </c>
      <c r="G75" s="5">
        <v>2.1</v>
      </c>
      <c r="H75" s="5">
        <v>1</v>
      </c>
      <c r="I75" s="9">
        <v>153.30600000000001</v>
      </c>
      <c r="J75" s="5">
        <f t="shared" si="6"/>
        <v>6.385920968520475</v>
      </c>
      <c r="K75" s="5">
        <f t="shared" si="6"/>
        <v>12.77184193704095</v>
      </c>
      <c r="L75" s="5">
        <f t="shared" si="6"/>
        <v>19.157762905561423</v>
      </c>
      <c r="M75" s="5">
        <f t="shared" si="6"/>
        <v>31.929604842602377</v>
      </c>
      <c r="N75" s="5">
        <f t="shared" si="6"/>
        <v>63.859209685204753</v>
      </c>
      <c r="O75" s="5">
        <f t="shared" si="6"/>
        <v>95.788814527807119</v>
      </c>
      <c r="P75" s="5">
        <f t="shared" si="6"/>
        <v>95.788814527807119</v>
      </c>
      <c r="Q75" s="5">
        <f t="shared" si="6"/>
        <v>127.71841937040951</v>
      </c>
      <c r="R75" s="5">
        <f t="shared" si="6"/>
        <v>159.64802421301187</v>
      </c>
      <c r="S75" s="5">
        <f t="shared" si="6"/>
        <v>191.57762905561424</v>
      </c>
      <c r="T75" s="5">
        <f t="shared" si="6"/>
        <v>255.43683874081901</v>
      </c>
      <c r="U75" s="5">
        <f t="shared" si="6"/>
        <v>306.52420648898277</v>
      </c>
      <c r="V75" s="5">
        <f t="shared" si="6"/>
        <v>19.157762905561423</v>
      </c>
      <c r="W75" s="5">
        <f t="shared" si="6"/>
        <v>31.929604842602377</v>
      </c>
      <c r="X75" s="5">
        <f t="shared" si="6"/>
        <v>63.859209685204753</v>
      </c>
      <c r="Y75" s="5">
        <f t="shared" si="6"/>
        <v>95.788814527807119</v>
      </c>
      <c r="Z75" s="5">
        <f t="shared" si="5"/>
        <v>95.788814527807119</v>
      </c>
      <c r="AA75" s="5">
        <f t="shared" si="5"/>
        <v>127.71841937040951</v>
      </c>
    </row>
    <row r="76" spans="1:27" x14ac:dyDescent="0.25">
      <c r="A76" s="6">
        <v>74</v>
      </c>
      <c r="B76" s="7">
        <v>3311</v>
      </c>
      <c r="C76" s="7" t="s">
        <v>59</v>
      </c>
      <c r="D76" s="7">
        <v>270</v>
      </c>
      <c r="E76" s="21" t="s">
        <v>93</v>
      </c>
      <c r="F76" s="5" t="s">
        <v>96</v>
      </c>
      <c r="G76" s="5">
        <v>2.1</v>
      </c>
      <c r="H76" s="5">
        <v>0.9</v>
      </c>
      <c r="I76" s="9">
        <v>148.75</v>
      </c>
      <c r="J76" s="5">
        <f t="shared" si="6"/>
        <v>5.923361344537815</v>
      </c>
      <c r="K76" s="5">
        <f t="shared" si="6"/>
        <v>11.84672268907563</v>
      </c>
      <c r="L76" s="5">
        <f t="shared" si="6"/>
        <v>17.770084033613447</v>
      </c>
      <c r="M76" s="5">
        <f t="shared" si="6"/>
        <v>29.616806722689077</v>
      </c>
      <c r="N76" s="5">
        <f t="shared" si="6"/>
        <v>59.233613445378154</v>
      </c>
      <c r="O76" s="5">
        <f t="shared" si="6"/>
        <v>88.850420168067231</v>
      </c>
      <c r="P76" s="5">
        <f t="shared" si="6"/>
        <v>88.850420168067231</v>
      </c>
      <c r="Q76" s="5">
        <f t="shared" si="6"/>
        <v>118.46722689075631</v>
      </c>
      <c r="R76" s="5">
        <f t="shared" si="6"/>
        <v>148.0840336134454</v>
      </c>
      <c r="S76" s="5">
        <f t="shared" si="6"/>
        <v>177.70084033613446</v>
      </c>
      <c r="T76" s="5">
        <f t="shared" si="6"/>
        <v>236.93445378151262</v>
      </c>
      <c r="U76" s="5">
        <f t="shared" si="6"/>
        <v>284.32134453781515</v>
      </c>
      <c r="V76" s="5">
        <f t="shared" si="6"/>
        <v>17.770084033613447</v>
      </c>
      <c r="W76" s="5">
        <f t="shared" si="6"/>
        <v>29.616806722689077</v>
      </c>
      <c r="X76" s="5">
        <f t="shared" si="6"/>
        <v>59.233613445378154</v>
      </c>
      <c r="Y76" s="5">
        <f t="shared" si="6"/>
        <v>88.850420168067231</v>
      </c>
      <c r="Z76" s="5">
        <f t="shared" si="5"/>
        <v>88.850420168067231</v>
      </c>
      <c r="AA76" s="5">
        <f t="shared" si="5"/>
        <v>118.46722689075631</v>
      </c>
    </row>
    <row r="77" spans="1:27" x14ac:dyDescent="0.25">
      <c r="A77" s="6">
        <v>75</v>
      </c>
      <c r="B77" s="7">
        <v>3401</v>
      </c>
      <c r="C77" s="7" t="s">
        <v>60</v>
      </c>
      <c r="D77" s="7">
        <v>90</v>
      </c>
      <c r="E77" s="19" t="s">
        <v>94</v>
      </c>
      <c r="F77" s="5" t="s">
        <v>96</v>
      </c>
      <c r="G77" s="5">
        <v>2.1</v>
      </c>
      <c r="I77" s="9">
        <v>99.197999999999993</v>
      </c>
      <c r="J77" s="5">
        <f t="shared" si="6"/>
        <v>0</v>
      </c>
      <c r="K77" s="5">
        <f t="shared" si="6"/>
        <v>0</v>
      </c>
      <c r="L77" s="5">
        <f t="shared" si="6"/>
        <v>0</v>
      </c>
      <c r="M77" s="5">
        <f t="shared" si="6"/>
        <v>0</v>
      </c>
      <c r="N77" s="5">
        <f t="shared" si="6"/>
        <v>0</v>
      </c>
      <c r="O77" s="5">
        <f t="shared" si="6"/>
        <v>0</v>
      </c>
      <c r="P77" s="5">
        <f t="shared" si="6"/>
        <v>0</v>
      </c>
      <c r="Q77" s="5">
        <f t="shared" si="6"/>
        <v>0</v>
      </c>
      <c r="R77" s="5">
        <f t="shared" si="6"/>
        <v>0</v>
      </c>
      <c r="S77" s="5">
        <f t="shared" si="6"/>
        <v>0</v>
      </c>
      <c r="T77" s="5">
        <f t="shared" si="6"/>
        <v>0</v>
      </c>
      <c r="U77" s="5">
        <f t="shared" si="6"/>
        <v>0</v>
      </c>
      <c r="V77" s="5">
        <f t="shared" si="6"/>
        <v>0</v>
      </c>
      <c r="W77" s="5">
        <f t="shared" si="6"/>
        <v>0</v>
      </c>
      <c r="X77" s="5">
        <f t="shared" si="6"/>
        <v>0</v>
      </c>
      <c r="Y77" s="5">
        <f t="shared" si="6"/>
        <v>0</v>
      </c>
      <c r="Z77" s="5">
        <f t="shared" si="5"/>
        <v>0</v>
      </c>
      <c r="AA77" s="5">
        <f t="shared" si="5"/>
        <v>0</v>
      </c>
    </row>
    <row r="78" spans="1:27" x14ac:dyDescent="0.25">
      <c r="A78" s="6">
        <v>76</v>
      </c>
      <c r="B78" s="7">
        <v>3402</v>
      </c>
      <c r="C78" s="7" t="s">
        <v>60</v>
      </c>
      <c r="D78" s="7">
        <v>90</v>
      </c>
      <c r="E78" s="19" t="s">
        <v>94</v>
      </c>
      <c r="F78" s="5" t="s">
        <v>96</v>
      </c>
      <c r="G78" s="5">
        <v>2.1</v>
      </c>
      <c r="I78" s="9">
        <v>175.35</v>
      </c>
      <c r="J78" s="5">
        <f t="shared" si="6"/>
        <v>0</v>
      </c>
      <c r="K78" s="5">
        <f t="shared" si="6"/>
        <v>0</v>
      </c>
      <c r="L78" s="5">
        <f t="shared" si="6"/>
        <v>0</v>
      </c>
      <c r="M78" s="5">
        <f t="shared" si="6"/>
        <v>0</v>
      </c>
      <c r="N78" s="5">
        <f t="shared" si="6"/>
        <v>0</v>
      </c>
      <c r="O78" s="5">
        <f t="shared" si="6"/>
        <v>0</v>
      </c>
      <c r="P78" s="5">
        <f t="shared" si="6"/>
        <v>0</v>
      </c>
      <c r="Q78" s="5">
        <f t="shared" si="6"/>
        <v>0</v>
      </c>
      <c r="R78" s="5">
        <f t="shared" si="6"/>
        <v>0</v>
      </c>
      <c r="S78" s="5">
        <f t="shared" si="6"/>
        <v>0</v>
      </c>
      <c r="T78" s="5">
        <f t="shared" si="6"/>
        <v>0</v>
      </c>
      <c r="U78" s="5">
        <f t="shared" si="6"/>
        <v>0</v>
      </c>
      <c r="V78" s="5">
        <f t="shared" si="6"/>
        <v>0</v>
      </c>
      <c r="W78" s="5">
        <f t="shared" si="6"/>
        <v>0</v>
      </c>
      <c r="X78" s="5">
        <f t="shared" si="6"/>
        <v>0</v>
      </c>
      <c r="Y78" s="5">
        <f t="shared" si="6"/>
        <v>0</v>
      </c>
      <c r="Z78" s="5">
        <f t="shared" si="5"/>
        <v>0</v>
      </c>
      <c r="AA78" s="5">
        <f t="shared" si="5"/>
        <v>0</v>
      </c>
    </row>
    <row r="79" spans="1:27" x14ac:dyDescent="0.25">
      <c r="A79" s="6">
        <v>77</v>
      </c>
      <c r="B79" s="7">
        <v>5301</v>
      </c>
      <c r="C79" s="7" t="s">
        <v>61</v>
      </c>
      <c r="D79" s="7">
        <v>70</v>
      </c>
      <c r="E79" s="23" t="s">
        <v>111</v>
      </c>
      <c r="F79" s="5" t="s">
        <v>102</v>
      </c>
      <c r="G79" s="5">
        <v>2.1</v>
      </c>
      <c r="H79" s="5">
        <v>1.1000000000000001</v>
      </c>
      <c r="I79" s="9">
        <v>117.23399999999999</v>
      </c>
      <c r="J79" s="5">
        <f t="shared" si="6"/>
        <v>9.1859017008717618</v>
      </c>
      <c r="K79" s="5">
        <f t="shared" si="6"/>
        <v>18.371803401743524</v>
      </c>
      <c r="L79" s="5">
        <f t="shared" si="6"/>
        <v>27.557705102615284</v>
      </c>
      <c r="M79" s="5">
        <f t="shared" si="6"/>
        <v>45.929508504358807</v>
      </c>
      <c r="N79" s="5">
        <f t="shared" si="6"/>
        <v>91.859017008717615</v>
      </c>
      <c r="O79" s="5">
        <f t="shared" si="6"/>
        <v>137.78852551307642</v>
      </c>
      <c r="P79" s="5">
        <f t="shared" si="6"/>
        <v>137.78852551307642</v>
      </c>
      <c r="Q79" s="5">
        <f t="shared" si="6"/>
        <v>183.71803401743523</v>
      </c>
      <c r="R79" s="5">
        <f t="shared" si="6"/>
        <v>229.64754252179401</v>
      </c>
      <c r="S79" s="5">
        <f t="shared" si="6"/>
        <v>275.57705102615284</v>
      </c>
      <c r="T79" s="5">
        <f t="shared" si="6"/>
        <v>367.43606803487046</v>
      </c>
      <c r="U79" s="5">
        <f t="shared" si="6"/>
        <v>440.92328164184454</v>
      </c>
      <c r="V79" s="5">
        <f t="shared" si="6"/>
        <v>27.557705102615284</v>
      </c>
      <c r="W79" s="5">
        <f t="shared" si="6"/>
        <v>45.929508504358807</v>
      </c>
      <c r="X79" s="5">
        <f t="shared" si="6"/>
        <v>91.859017008717615</v>
      </c>
      <c r="Y79" s="5">
        <f t="shared" ref="Y79:AA94" si="7">$H79*1000/$I79*Y$2*(100-$G79)/100</f>
        <v>137.78852551307642</v>
      </c>
      <c r="Z79" s="5">
        <f t="shared" si="7"/>
        <v>137.78852551307642</v>
      </c>
      <c r="AA79" s="5">
        <f t="shared" si="7"/>
        <v>183.71803401743523</v>
      </c>
    </row>
    <row r="80" spans="1:27" x14ac:dyDescent="0.25">
      <c r="A80" s="6">
        <v>78</v>
      </c>
      <c r="B80" s="7">
        <v>5302</v>
      </c>
      <c r="C80" s="7" t="s">
        <v>61</v>
      </c>
      <c r="D80" s="7">
        <v>135</v>
      </c>
      <c r="E80" s="23" t="s">
        <v>112</v>
      </c>
      <c r="F80" s="5" t="s">
        <v>102</v>
      </c>
      <c r="G80" s="5">
        <v>2.1</v>
      </c>
      <c r="H80" s="5">
        <v>1</v>
      </c>
      <c r="I80" s="9">
        <v>157.815</v>
      </c>
      <c r="J80" s="5">
        <f t="shared" ref="J80:Y94" si="8">$H80*1000/$I80*J$2*(100-$G80)/100</f>
        <v>6.2034660837056048</v>
      </c>
      <c r="K80" s="5">
        <f t="shared" si="8"/>
        <v>12.40693216741121</v>
      </c>
      <c r="L80" s="5">
        <f t="shared" si="8"/>
        <v>18.610398251116816</v>
      </c>
      <c r="M80" s="5">
        <f t="shared" si="8"/>
        <v>31.017330418528026</v>
      </c>
      <c r="N80" s="5">
        <f t="shared" si="8"/>
        <v>62.034660837056052</v>
      </c>
      <c r="O80" s="5">
        <f t="shared" si="8"/>
        <v>93.05199125558407</v>
      </c>
      <c r="P80" s="5">
        <f t="shared" si="8"/>
        <v>93.05199125558407</v>
      </c>
      <c r="Q80" s="5">
        <f t="shared" si="8"/>
        <v>124.0693216741121</v>
      </c>
      <c r="R80" s="5">
        <f t="shared" si="8"/>
        <v>155.08665209264012</v>
      </c>
      <c r="S80" s="5">
        <f t="shared" si="8"/>
        <v>186.10398251116814</v>
      </c>
      <c r="T80" s="5">
        <f t="shared" si="8"/>
        <v>248.13864334822421</v>
      </c>
      <c r="U80" s="5">
        <f t="shared" si="8"/>
        <v>297.76637201786906</v>
      </c>
      <c r="V80" s="5">
        <f t="shared" si="8"/>
        <v>18.610398251116816</v>
      </c>
      <c r="W80" s="5">
        <f t="shared" si="8"/>
        <v>31.017330418528026</v>
      </c>
      <c r="X80" s="5">
        <f t="shared" si="8"/>
        <v>62.034660837056052</v>
      </c>
      <c r="Y80" s="5">
        <f t="shared" si="8"/>
        <v>93.05199125558407</v>
      </c>
      <c r="Z80" s="5">
        <f t="shared" si="7"/>
        <v>93.05199125558407</v>
      </c>
      <c r="AA80" s="5">
        <f t="shared" si="7"/>
        <v>124.0693216741121</v>
      </c>
    </row>
    <row r="81" spans="1:27" x14ac:dyDescent="0.25">
      <c r="A81" s="6">
        <v>79</v>
      </c>
      <c r="B81" s="11">
        <v>5304</v>
      </c>
      <c r="C81" s="11" t="s">
        <v>61</v>
      </c>
      <c r="D81" s="11">
        <v>135</v>
      </c>
      <c r="E81" s="23" t="s">
        <v>112</v>
      </c>
      <c r="F81" s="5" t="s">
        <v>102</v>
      </c>
      <c r="G81" s="5">
        <v>2.1</v>
      </c>
      <c r="H81" s="5">
        <v>1</v>
      </c>
      <c r="I81" s="13">
        <v>236.7225</v>
      </c>
      <c r="J81" s="5">
        <f t="shared" si="8"/>
        <v>4.1356440558037368</v>
      </c>
      <c r="K81" s="5">
        <f t="shared" si="8"/>
        <v>8.2712881116074737</v>
      </c>
      <c r="L81" s="5">
        <f t="shared" si="8"/>
        <v>12.40693216741121</v>
      </c>
      <c r="M81" s="5">
        <f t="shared" si="8"/>
        <v>20.678220279018682</v>
      </c>
      <c r="N81" s="5">
        <f t="shared" si="8"/>
        <v>41.356440558037363</v>
      </c>
      <c r="O81" s="5">
        <f t="shared" si="8"/>
        <v>62.034660837056045</v>
      </c>
      <c r="P81" s="5">
        <f t="shared" si="8"/>
        <v>62.034660837056045</v>
      </c>
      <c r="Q81" s="5">
        <f t="shared" si="8"/>
        <v>82.712881116074726</v>
      </c>
      <c r="R81" s="5">
        <f t="shared" si="8"/>
        <v>103.39110139509341</v>
      </c>
      <c r="S81" s="5">
        <f t="shared" si="8"/>
        <v>124.06932167411209</v>
      </c>
      <c r="T81" s="5">
        <f t="shared" si="8"/>
        <v>165.42576223214945</v>
      </c>
      <c r="U81" s="5">
        <f t="shared" si="8"/>
        <v>198.51091467857935</v>
      </c>
      <c r="V81" s="5">
        <f t="shared" si="8"/>
        <v>12.40693216741121</v>
      </c>
      <c r="W81" s="5">
        <f t="shared" si="8"/>
        <v>20.678220279018682</v>
      </c>
      <c r="X81" s="5">
        <f t="shared" si="8"/>
        <v>41.356440558037363</v>
      </c>
      <c r="Y81" s="5">
        <f t="shared" si="8"/>
        <v>62.034660837056045</v>
      </c>
      <c r="Z81" s="5">
        <f t="shared" si="7"/>
        <v>62.034660837056045</v>
      </c>
      <c r="AA81" s="5">
        <f t="shared" si="7"/>
        <v>82.712881116074726</v>
      </c>
    </row>
    <row r="82" spans="1:27" x14ac:dyDescent="0.25">
      <c r="A82" s="6">
        <v>80</v>
      </c>
      <c r="B82" s="11">
        <v>5306</v>
      </c>
      <c r="C82" s="11" t="s">
        <v>61</v>
      </c>
      <c r="D82" s="11">
        <v>135</v>
      </c>
      <c r="E82" s="23" t="s">
        <v>112</v>
      </c>
      <c r="F82" s="5" t="s">
        <v>102</v>
      </c>
      <c r="G82" s="5">
        <v>2.1</v>
      </c>
      <c r="H82" s="5">
        <v>1</v>
      </c>
      <c r="I82" s="13">
        <v>236.7225</v>
      </c>
      <c r="J82" s="5">
        <f t="shared" si="8"/>
        <v>4.1356440558037368</v>
      </c>
      <c r="K82" s="5">
        <f t="shared" si="8"/>
        <v>8.2712881116074737</v>
      </c>
      <c r="L82" s="5">
        <f t="shared" si="8"/>
        <v>12.40693216741121</v>
      </c>
      <c r="M82" s="5">
        <f t="shared" si="8"/>
        <v>20.678220279018682</v>
      </c>
      <c r="N82" s="5">
        <f t="shared" si="8"/>
        <v>41.356440558037363</v>
      </c>
      <c r="O82" s="5">
        <f t="shared" si="8"/>
        <v>62.034660837056045</v>
      </c>
      <c r="P82" s="5">
        <f t="shared" si="8"/>
        <v>62.034660837056045</v>
      </c>
      <c r="Q82" s="5">
        <f t="shared" si="8"/>
        <v>82.712881116074726</v>
      </c>
      <c r="R82" s="5">
        <f t="shared" si="8"/>
        <v>103.39110139509341</v>
      </c>
      <c r="S82" s="5">
        <f t="shared" si="8"/>
        <v>124.06932167411209</v>
      </c>
      <c r="T82" s="5">
        <f t="shared" si="8"/>
        <v>165.42576223214945</v>
      </c>
      <c r="U82" s="5">
        <f t="shared" si="8"/>
        <v>198.51091467857935</v>
      </c>
      <c r="V82" s="5">
        <f t="shared" si="8"/>
        <v>12.40693216741121</v>
      </c>
      <c r="W82" s="5">
        <f t="shared" si="8"/>
        <v>20.678220279018682</v>
      </c>
      <c r="X82" s="5">
        <f t="shared" si="8"/>
        <v>41.356440558037363</v>
      </c>
      <c r="Y82" s="5">
        <f t="shared" si="8"/>
        <v>62.034660837056045</v>
      </c>
      <c r="Z82" s="5">
        <f t="shared" si="7"/>
        <v>62.034660837056045</v>
      </c>
      <c r="AA82" s="5">
        <f t="shared" si="7"/>
        <v>82.712881116074726</v>
      </c>
    </row>
    <row r="83" spans="1:27" x14ac:dyDescent="0.25">
      <c r="A83" s="6">
        <v>81</v>
      </c>
      <c r="B83" s="7">
        <v>5307</v>
      </c>
      <c r="C83" s="7" t="s">
        <v>61</v>
      </c>
      <c r="D83" s="7">
        <v>70</v>
      </c>
      <c r="E83" s="23" t="s">
        <v>111</v>
      </c>
      <c r="F83" s="5" t="s">
        <v>102</v>
      </c>
      <c r="G83" s="5">
        <v>2.1</v>
      </c>
      <c r="H83" s="5">
        <v>1.1000000000000001</v>
      </c>
      <c r="I83" s="9">
        <v>234.46799999999999</v>
      </c>
      <c r="J83" s="5">
        <f t="shared" si="8"/>
        <v>4.5929508504358809</v>
      </c>
      <c r="K83" s="5">
        <f t="shared" si="8"/>
        <v>9.1859017008717618</v>
      </c>
      <c r="L83" s="5">
        <f t="shared" si="8"/>
        <v>13.778852551307642</v>
      </c>
      <c r="M83" s="5">
        <f t="shared" si="8"/>
        <v>22.964754252179404</v>
      </c>
      <c r="N83" s="5">
        <f t="shared" si="8"/>
        <v>45.929508504358807</v>
      </c>
      <c r="O83" s="5">
        <f t="shared" si="8"/>
        <v>68.894262756538211</v>
      </c>
      <c r="P83" s="5">
        <f t="shared" si="8"/>
        <v>68.894262756538211</v>
      </c>
      <c r="Q83" s="5">
        <f t="shared" si="8"/>
        <v>91.859017008717615</v>
      </c>
      <c r="R83" s="5">
        <f t="shared" si="8"/>
        <v>114.823771260897</v>
      </c>
      <c r="S83" s="5">
        <f t="shared" si="8"/>
        <v>137.78852551307642</v>
      </c>
      <c r="T83" s="5">
        <f t="shared" si="8"/>
        <v>183.71803401743523</v>
      </c>
      <c r="U83" s="5">
        <f t="shared" si="8"/>
        <v>220.46164082092227</v>
      </c>
      <c r="V83" s="5">
        <f t="shared" si="8"/>
        <v>13.778852551307642</v>
      </c>
      <c r="W83" s="5">
        <f t="shared" si="8"/>
        <v>22.964754252179404</v>
      </c>
      <c r="X83" s="5">
        <f t="shared" si="8"/>
        <v>45.929508504358807</v>
      </c>
      <c r="Y83" s="5">
        <f t="shared" si="8"/>
        <v>68.894262756538211</v>
      </c>
      <c r="Z83" s="5">
        <f t="shared" si="7"/>
        <v>68.894262756538211</v>
      </c>
      <c r="AA83" s="5">
        <f t="shared" si="7"/>
        <v>91.859017008717615</v>
      </c>
    </row>
    <row r="84" spans="1:27" x14ac:dyDescent="0.25">
      <c r="A84" s="6">
        <v>82</v>
      </c>
      <c r="B84" s="7">
        <v>6301</v>
      </c>
      <c r="C84" s="7" t="s">
        <v>62</v>
      </c>
      <c r="D84" s="7">
        <v>70</v>
      </c>
      <c r="E84" s="8" t="s">
        <v>110</v>
      </c>
      <c r="F84" s="5" t="s">
        <v>104</v>
      </c>
      <c r="G84" s="5">
        <v>2.1</v>
      </c>
      <c r="H84" s="5">
        <v>1.1000000000000001</v>
      </c>
      <c r="I84" s="9">
        <v>117.23399999999999</v>
      </c>
      <c r="J84" s="5">
        <f t="shared" si="8"/>
        <v>9.1859017008717618</v>
      </c>
      <c r="K84" s="5">
        <f t="shared" si="8"/>
        <v>18.371803401743524</v>
      </c>
      <c r="L84" s="5">
        <f t="shared" si="8"/>
        <v>27.557705102615284</v>
      </c>
      <c r="M84" s="5">
        <f t="shared" si="8"/>
        <v>45.929508504358807</v>
      </c>
      <c r="N84" s="5">
        <f t="shared" si="8"/>
        <v>91.859017008717615</v>
      </c>
      <c r="O84" s="5">
        <f t="shared" si="8"/>
        <v>137.78852551307642</v>
      </c>
      <c r="P84" s="5">
        <f t="shared" si="8"/>
        <v>137.78852551307642</v>
      </c>
      <c r="Q84" s="5">
        <f t="shared" si="8"/>
        <v>183.71803401743523</v>
      </c>
      <c r="R84" s="5">
        <f t="shared" si="8"/>
        <v>229.64754252179401</v>
      </c>
      <c r="S84" s="5">
        <f t="shared" si="8"/>
        <v>275.57705102615284</v>
      </c>
      <c r="T84" s="5">
        <f t="shared" si="8"/>
        <v>367.43606803487046</v>
      </c>
      <c r="U84" s="5">
        <f t="shared" si="8"/>
        <v>440.92328164184454</v>
      </c>
      <c r="V84" s="5">
        <f t="shared" si="8"/>
        <v>27.557705102615284</v>
      </c>
      <c r="W84" s="5">
        <f t="shared" si="8"/>
        <v>45.929508504358807</v>
      </c>
      <c r="X84" s="5">
        <f t="shared" si="8"/>
        <v>91.859017008717615</v>
      </c>
      <c r="Y84" s="5">
        <f t="shared" si="8"/>
        <v>137.78852551307642</v>
      </c>
      <c r="Z84" s="5">
        <f t="shared" si="7"/>
        <v>137.78852551307642</v>
      </c>
      <c r="AA84" s="5">
        <f t="shared" si="7"/>
        <v>183.71803401743523</v>
      </c>
    </row>
    <row r="85" spans="1:27" x14ac:dyDescent="0.25">
      <c r="A85" s="6">
        <v>83</v>
      </c>
      <c r="B85" s="7">
        <v>6302</v>
      </c>
      <c r="C85" s="7" t="s">
        <v>62</v>
      </c>
      <c r="D85" s="7">
        <v>135</v>
      </c>
      <c r="E85" s="8" t="s">
        <v>109</v>
      </c>
      <c r="F85" s="5" t="s">
        <v>104</v>
      </c>
      <c r="G85" s="5">
        <v>2.1</v>
      </c>
      <c r="H85" s="5">
        <v>1</v>
      </c>
      <c r="I85" s="9">
        <v>157.815</v>
      </c>
      <c r="J85" s="5">
        <f t="shared" si="8"/>
        <v>6.2034660837056048</v>
      </c>
      <c r="K85" s="5">
        <f t="shared" si="8"/>
        <v>12.40693216741121</v>
      </c>
      <c r="L85" s="5">
        <f t="shared" si="8"/>
        <v>18.610398251116816</v>
      </c>
      <c r="M85" s="5">
        <f t="shared" si="8"/>
        <v>31.017330418528026</v>
      </c>
      <c r="N85" s="5">
        <f t="shared" si="8"/>
        <v>62.034660837056052</v>
      </c>
      <c r="O85" s="5">
        <f t="shared" si="8"/>
        <v>93.05199125558407</v>
      </c>
      <c r="P85" s="5">
        <f t="shared" si="8"/>
        <v>93.05199125558407</v>
      </c>
      <c r="Q85" s="5">
        <f t="shared" si="8"/>
        <v>124.0693216741121</v>
      </c>
      <c r="R85" s="5">
        <f t="shared" si="8"/>
        <v>155.08665209264012</v>
      </c>
      <c r="S85" s="5">
        <f t="shared" si="8"/>
        <v>186.10398251116814</v>
      </c>
      <c r="T85" s="5">
        <f t="shared" si="8"/>
        <v>248.13864334822421</v>
      </c>
      <c r="U85" s="5">
        <f t="shared" si="8"/>
        <v>297.76637201786906</v>
      </c>
      <c r="V85" s="5">
        <f t="shared" si="8"/>
        <v>18.610398251116816</v>
      </c>
      <c r="W85" s="5">
        <f t="shared" si="8"/>
        <v>31.017330418528026</v>
      </c>
      <c r="X85" s="5">
        <f t="shared" si="8"/>
        <v>62.034660837056052</v>
      </c>
      <c r="Y85" s="5">
        <f t="shared" si="8"/>
        <v>93.05199125558407</v>
      </c>
      <c r="Z85" s="5">
        <f t="shared" si="7"/>
        <v>93.05199125558407</v>
      </c>
      <c r="AA85" s="5">
        <f t="shared" si="7"/>
        <v>124.0693216741121</v>
      </c>
    </row>
    <row r="86" spans="1:27" x14ac:dyDescent="0.25">
      <c r="A86" s="6">
        <v>84</v>
      </c>
      <c r="B86" s="7">
        <v>6303</v>
      </c>
      <c r="C86" s="7" t="s">
        <v>63</v>
      </c>
      <c r="D86" s="7">
        <v>270</v>
      </c>
      <c r="E86" s="8" t="s">
        <v>108</v>
      </c>
      <c r="F86" s="5" t="s">
        <v>104</v>
      </c>
      <c r="G86" s="5">
        <v>2.1</v>
      </c>
      <c r="H86" s="5">
        <v>0.9</v>
      </c>
      <c r="I86" s="9">
        <v>158.81700000000001</v>
      </c>
      <c r="J86" s="5">
        <f t="shared" si="8"/>
        <v>5.547894746784034</v>
      </c>
      <c r="K86" s="5">
        <f t="shared" si="8"/>
        <v>11.095789493568068</v>
      </c>
      <c r="L86" s="5">
        <f t="shared" si="8"/>
        <v>16.643684240352101</v>
      </c>
      <c r="M86" s="5">
        <f t="shared" si="8"/>
        <v>27.739473733920171</v>
      </c>
      <c r="N86" s="5">
        <f t="shared" si="8"/>
        <v>55.478947467840342</v>
      </c>
      <c r="O86" s="5">
        <f t="shared" si="8"/>
        <v>83.21842120176052</v>
      </c>
      <c r="P86" s="5">
        <f t="shared" si="8"/>
        <v>83.21842120176052</v>
      </c>
      <c r="Q86" s="5">
        <f t="shared" si="8"/>
        <v>110.95789493568068</v>
      </c>
      <c r="R86" s="5">
        <f t="shared" si="8"/>
        <v>138.69736866960085</v>
      </c>
      <c r="S86" s="5">
        <f t="shared" si="8"/>
        <v>166.43684240352104</v>
      </c>
      <c r="T86" s="5">
        <f t="shared" si="8"/>
        <v>221.91578987136137</v>
      </c>
      <c r="U86" s="5">
        <f t="shared" si="8"/>
        <v>266.29894784563362</v>
      </c>
      <c r="V86" s="5">
        <f t="shared" si="8"/>
        <v>16.643684240352101</v>
      </c>
      <c r="W86" s="5">
        <f t="shared" si="8"/>
        <v>27.739473733920171</v>
      </c>
      <c r="X86" s="5">
        <f t="shared" si="8"/>
        <v>55.478947467840342</v>
      </c>
      <c r="Y86" s="5">
        <f t="shared" si="8"/>
        <v>83.21842120176052</v>
      </c>
      <c r="Z86" s="5">
        <f t="shared" si="7"/>
        <v>83.21842120176052</v>
      </c>
      <c r="AA86" s="5">
        <f t="shared" si="7"/>
        <v>110.95789493568068</v>
      </c>
    </row>
    <row r="87" spans="1:27" x14ac:dyDescent="0.25">
      <c r="A87" s="6">
        <v>85</v>
      </c>
      <c r="B87" s="7">
        <v>6304</v>
      </c>
      <c r="C87" s="7" t="s">
        <v>64</v>
      </c>
      <c r="D87" s="7">
        <v>70</v>
      </c>
      <c r="E87" s="8" t="s">
        <v>106</v>
      </c>
      <c r="F87" s="5" t="s">
        <v>96</v>
      </c>
      <c r="G87" s="5">
        <v>2.1</v>
      </c>
      <c r="H87" s="5">
        <v>1.1000000000000001</v>
      </c>
      <c r="I87" s="9">
        <v>117.23399999999999</v>
      </c>
      <c r="J87" s="5">
        <f>$H87*1000/$I87*J$2*(100-$G87)/100</f>
        <v>9.1859017008717618</v>
      </c>
      <c r="K87" s="5">
        <f t="shared" si="8"/>
        <v>18.371803401743524</v>
      </c>
      <c r="L87" s="5">
        <f t="shared" si="8"/>
        <v>27.557705102615284</v>
      </c>
      <c r="M87" s="5">
        <f t="shared" si="8"/>
        <v>45.929508504358807</v>
      </c>
      <c r="N87" s="5">
        <f t="shared" si="8"/>
        <v>91.859017008717615</v>
      </c>
      <c r="O87" s="5">
        <f t="shared" si="8"/>
        <v>137.78852551307642</v>
      </c>
      <c r="P87" s="5">
        <f t="shared" si="8"/>
        <v>137.78852551307642</v>
      </c>
      <c r="Q87" s="5">
        <f t="shared" si="8"/>
        <v>183.71803401743523</v>
      </c>
      <c r="R87" s="5">
        <f t="shared" si="8"/>
        <v>229.64754252179401</v>
      </c>
      <c r="S87" s="5">
        <f t="shared" si="8"/>
        <v>275.57705102615284</v>
      </c>
      <c r="T87" s="5">
        <f t="shared" si="8"/>
        <v>367.43606803487046</v>
      </c>
      <c r="U87" s="5">
        <f t="shared" si="8"/>
        <v>440.92328164184454</v>
      </c>
      <c r="V87" s="5">
        <f t="shared" si="8"/>
        <v>27.557705102615284</v>
      </c>
      <c r="W87" s="5">
        <f t="shared" si="8"/>
        <v>45.929508504358807</v>
      </c>
      <c r="X87" s="5">
        <f t="shared" si="8"/>
        <v>91.859017008717615</v>
      </c>
      <c r="Y87" s="5">
        <f t="shared" si="8"/>
        <v>137.78852551307642</v>
      </c>
      <c r="Z87" s="5">
        <f t="shared" si="7"/>
        <v>137.78852551307642</v>
      </c>
      <c r="AA87" s="5">
        <f t="shared" si="7"/>
        <v>183.71803401743523</v>
      </c>
    </row>
    <row r="88" spans="1:27" x14ac:dyDescent="0.25">
      <c r="A88" s="6">
        <v>86</v>
      </c>
      <c r="B88" s="7">
        <v>6305</v>
      </c>
      <c r="C88" s="7" t="s">
        <v>65</v>
      </c>
      <c r="D88" s="7">
        <v>135</v>
      </c>
      <c r="E88" s="8" t="s">
        <v>107</v>
      </c>
      <c r="F88" s="5" t="s">
        <v>96</v>
      </c>
      <c r="G88" s="5">
        <v>2.1</v>
      </c>
      <c r="H88" s="5">
        <v>1</v>
      </c>
      <c r="I88" s="9">
        <v>157.815</v>
      </c>
      <c r="J88" s="5">
        <f>$H88*1000/$I88*J$2*(100-$G88)/100</f>
        <v>6.2034660837056048</v>
      </c>
      <c r="K88" s="5">
        <f t="shared" si="8"/>
        <v>12.40693216741121</v>
      </c>
      <c r="L88" s="5">
        <f t="shared" si="8"/>
        <v>18.610398251116816</v>
      </c>
      <c r="M88" s="5">
        <f t="shared" si="8"/>
        <v>31.017330418528026</v>
      </c>
      <c r="N88" s="5">
        <f t="shared" si="8"/>
        <v>62.034660837056052</v>
      </c>
      <c r="O88" s="5">
        <f t="shared" si="8"/>
        <v>93.05199125558407</v>
      </c>
      <c r="P88" s="5">
        <f t="shared" si="8"/>
        <v>93.05199125558407</v>
      </c>
      <c r="Q88" s="5">
        <f t="shared" si="8"/>
        <v>124.0693216741121</v>
      </c>
      <c r="R88" s="5">
        <f t="shared" si="8"/>
        <v>155.08665209264012</v>
      </c>
      <c r="S88" s="5">
        <f t="shared" si="8"/>
        <v>186.10398251116814</v>
      </c>
      <c r="T88" s="5">
        <f t="shared" si="8"/>
        <v>248.13864334822421</v>
      </c>
      <c r="U88" s="5">
        <f t="shared" si="8"/>
        <v>297.76637201786906</v>
      </c>
      <c r="V88" s="5">
        <f t="shared" si="8"/>
        <v>18.610398251116816</v>
      </c>
      <c r="W88" s="5">
        <f t="shared" si="8"/>
        <v>31.017330418528026</v>
      </c>
      <c r="X88" s="5">
        <f t="shared" si="8"/>
        <v>62.034660837056052</v>
      </c>
      <c r="Y88" s="5">
        <f t="shared" si="8"/>
        <v>93.05199125558407</v>
      </c>
      <c r="Z88" s="5">
        <f t="shared" si="7"/>
        <v>93.05199125558407</v>
      </c>
      <c r="AA88" s="5">
        <f t="shared" si="7"/>
        <v>124.0693216741121</v>
      </c>
    </row>
    <row r="89" spans="1:27" x14ac:dyDescent="0.25">
      <c r="A89" s="6">
        <v>87</v>
      </c>
      <c r="B89" s="7">
        <v>7101</v>
      </c>
      <c r="C89" s="7" t="s">
        <v>32</v>
      </c>
      <c r="D89" s="7">
        <v>35</v>
      </c>
      <c r="E89" s="19" t="s">
        <v>66</v>
      </c>
      <c r="F89" s="5" t="s">
        <v>105</v>
      </c>
      <c r="G89" s="5">
        <v>2.1</v>
      </c>
      <c r="I89" s="9">
        <v>350</v>
      </c>
      <c r="J89" s="5">
        <f t="shared" si="8"/>
        <v>0</v>
      </c>
      <c r="K89" s="5">
        <f t="shared" si="8"/>
        <v>0</v>
      </c>
      <c r="L89" s="5">
        <f t="shared" si="8"/>
        <v>0</v>
      </c>
      <c r="M89" s="5">
        <f t="shared" si="8"/>
        <v>0</v>
      </c>
      <c r="N89" s="5">
        <f t="shared" si="8"/>
        <v>0</v>
      </c>
      <c r="O89" s="5">
        <f t="shared" si="8"/>
        <v>0</v>
      </c>
      <c r="P89" s="5">
        <f t="shared" si="8"/>
        <v>0</v>
      </c>
      <c r="Q89" s="5">
        <f t="shared" si="8"/>
        <v>0</v>
      </c>
      <c r="R89" s="5">
        <f t="shared" si="8"/>
        <v>0</v>
      </c>
      <c r="S89" s="5">
        <f t="shared" si="8"/>
        <v>0</v>
      </c>
      <c r="T89" s="5">
        <f t="shared" si="8"/>
        <v>0</v>
      </c>
      <c r="U89" s="5">
        <f t="shared" si="8"/>
        <v>0</v>
      </c>
      <c r="V89" s="5">
        <f t="shared" si="8"/>
        <v>0</v>
      </c>
      <c r="W89" s="5">
        <f t="shared" si="8"/>
        <v>0</v>
      </c>
      <c r="X89" s="5">
        <f t="shared" si="8"/>
        <v>0</v>
      </c>
      <c r="Y89" s="5">
        <f t="shared" si="8"/>
        <v>0</v>
      </c>
      <c r="Z89" s="5">
        <f t="shared" si="7"/>
        <v>0</v>
      </c>
      <c r="AA89" s="5">
        <f t="shared" si="7"/>
        <v>0</v>
      </c>
    </row>
    <row r="90" spans="1:27" x14ac:dyDescent="0.25">
      <c r="A90" s="6">
        <v>88</v>
      </c>
      <c r="B90" s="7">
        <v>7103</v>
      </c>
      <c r="C90" s="7" t="s">
        <v>32</v>
      </c>
      <c r="D90" s="7">
        <v>35</v>
      </c>
      <c r="E90" s="19" t="s">
        <v>86</v>
      </c>
      <c r="F90" s="5" t="s">
        <v>100</v>
      </c>
      <c r="G90" s="5">
        <v>2.1</v>
      </c>
      <c r="I90" s="9">
        <v>175</v>
      </c>
      <c r="J90" s="5">
        <f t="shared" si="8"/>
        <v>0</v>
      </c>
      <c r="K90" s="5">
        <f t="shared" si="8"/>
        <v>0</v>
      </c>
      <c r="L90" s="5">
        <f t="shared" si="8"/>
        <v>0</v>
      </c>
      <c r="M90" s="5">
        <f t="shared" si="8"/>
        <v>0</v>
      </c>
      <c r="N90" s="5">
        <f t="shared" si="8"/>
        <v>0</v>
      </c>
      <c r="O90" s="5">
        <f t="shared" si="8"/>
        <v>0</v>
      </c>
      <c r="P90" s="5">
        <f t="shared" si="8"/>
        <v>0</v>
      </c>
      <c r="Q90" s="5">
        <f t="shared" si="8"/>
        <v>0</v>
      </c>
      <c r="R90" s="5">
        <f t="shared" si="8"/>
        <v>0</v>
      </c>
      <c r="S90" s="5">
        <f t="shared" si="8"/>
        <v>0</v>
      </c>
      <c r="T90" s="5">
        <f t="shared" si="8"/>
        <v>0</v>
      </c>
      <c r="U90" s="5">
        <f t="shared" si="8"/>
        <v>0</v>
      </c>
      <c r="V90" s="5">
        <f t="shared" si="8"/>
        <v>0</v>
      </c>
      <c r="W90" s="5">
        <f t="shared" si="8"/>
        <v>0</v>
      </c>
      <c r="X90" s="5">
        <f t="shared" si="8"/>
        <v>0</v>
      </c>
      <c r="Y90" s="5">
        <f t="shared" si="8"/>
        <v>0</v>
      </c>
      <c r="Z90" s="5">
        <f t="shared" si="7"/>
        <v>0</v>
      </c>
      <c r="AA90" s="5">
        <f t="shared" si="7"/>
        <v>0</v>
      </c>
    </row>
    <row r="91" spans="1:27" ht="31.5" x14ac:dyDescent="0.25">
      <c r="A91" s="6">
        <v>89</v>
      </c>
      <c r="B91" s="11">
        <v>7104</v>
      </c>
      <c r="C91" s="15" t="s">
        <v>67</v>
      </c>
      <c r="D91" s="11">
        <v>35</v>
      </c>
      <c r="E91" s="20" t="s">
        <v>86</v>
      </c>
      <c r="F91" s="5" t="s">
        <v>100</v>
      </c>
      <c r="G91" s="5">
        <v>2.1</v>
      </c>
      <c r="I91" s="13">
        <v>870</v>
      </c>
      <c r="J91" s="5">
        <f t="shared" si="8"/>
        <v>0</v>
      </c>
      <c r="K91" s="5">
        <f t="shared" si="8"/>
        <v>0</v>
      </c>
      <c r="L91" s="5">
        <f t="shared" si="8"/>
        <v>0</v>
      </c>
      <c r="M91" s="5">
        <f t="shared" si="8"/>
        <v>0</v>
      </c>
      <c r="N91" s="5">
        <f t="shared" si="8"/>
        <v>0</v>
      </c>
      <c r="O91" s="5">
        <f t="shared" si="8"/>
        <v>0</v>
      </c>
      <c r="P91" s="5">
        <f t="shared" si="8"/>
        <v>0</v>
      </c>
      <c r="Q91" s="5">
        <f t="shared" si="8"/>
        <v>0</v>
      </c>
      <c r="R91" s="5">
        <f t="shared" si="8"/>
        <v>0</v>
      </c>
      <c r="S91" s="5">
        <f t="shared" si="8"/>
        <v>0</v>
      </c>
      <c r="T91" s="5">
        <f t="shared" si="8"/>
        <v>0</v>
      </c>
      <c r="U91" s="5">
        <f t="shared" si="8"/>
        <v>0</v>
      </c>
      <c r="V91" s="5">
        <f t="shared" si="8"/>
        <v>0</v>
      </c>
      <c r="W91" s="5">
        <f t="shared" si="8"/>
        <v>0</v>
      </c>
      <c r="X91" s="5">
        <f t="shared" si="8"/>
        <v>0</v>
      </c>
      <c r="Y91" s="5">
        <f t="shared" si="8"/>
        <v>0</v>
      </c>
      <c r="Z91" s="5">
        <f t="shared" si="7"/>
        <v>0</v>
      </c>
      <c r="AA91" s="5">
        <f t="shared" si="7"/>
        <v>0</v>
      </c>
    </row>
    <row r="92" spans="1:27" ht="30" x14ac:dyDescent="0.25">
      <c r="A92" s="6">
        <v>90</v>
      </c>
      <c r="B92" s="7">
        <v>7202</v>
      </c>
      <c r="C92" s="16" t="s">
        <v>68</v>
      </c>
      <c r="D92" s="7">
        <v>18</v>
      </c>
      <c r="E92" s="19" t="s">
        <v>87</v>
      </c>
      <c r="F92" s="5" t="s">
        <v>100</v>
      </c>
      <c r="G92" s="5">
        <v>2.1</v>
      </c>
      <c r="I92" s="9">
        <v>90.5</v>
      </c>
      <c r="J92" s="5">
        <f t="shared" si="8"/>
        <v>0</v>
      </c>
      <c r="K92" s="5">
        <f t="shared" si="8"/>
        <v>0</v>
      </c>
      <c r="L92" s="5">
        <f t="shared" si="8"/>
        <v>0</v>
      </c>
      <c r="M92" s="5">
        <f t="shared" si="8"/>
        <v>0</v>
      </c>
      <c r="N92" s="5">
        <f t="shared" si="8"/>
        <v>0</v>
      </c>
      <c r="O92" s="5">
        <f t="shared" si="8"/>
        <v>0</v>
      </c>
      <c r="P92" s="5">
        <f t="shared" si="8"/>
        <v>0</v>
      </c>
      <c r="Q92" s="5">
        <f t="shared" si="8"/>
        <v>0</v>
      </c>
      <c r="R92" s="5">
        <f t="shared" si="8"/>
        <v>0</v>
      </c>
      <c r="S92" s="5">
        <f t="shared" si="8"/>
        <v>0</v>
      </c>
      <c r="T92" s="5">
        <f t="shared" si="8"/>
        <v>0</v>
      </c>
      <c r="U92" s="5">
        <f t="shared" si="8"/>
        <v>0</v>
      </c>
      <c r="V92" s="5">
        <f t="shared" si="8"/>
        <v>0</v>
      </c>
      <c r="W92" s="5">
        <f t="shared" si="8"/>
        <v>0</v>
      </c>
      <c r="X92" s="5">
        <f t="shared" si="8"/>
        <v>0</v>
      </c>
      <c r="Y92" s="5">
        <f t="shared" si="8"/>
        <v>0</v>
      </c>
      <c r="Z92" s="5">
        <f t="shared" si="7"/>
        <v>0</v>
      </c>
      <c r="AA92" s="5">
        <f t="shared" si="7"/>
        <v>0</v>
      </c>
    </row>
    <row r="93" spans="1:27" x14ac:dyDescent="0.25">
      <c r="A93" s="17">
        <v>91</v>
      </c>
      <c r="B93" s="11">
        <v>5308</v>
      </c>
      <c r="C93" s="11" t="s">
        <v>61</v>
      </c>
      <c r="D93" s="11">
        <v>90</v>
      </c>
      <c r="E93" s="12" t="s">
        <v>113</v>
      </c>
      <c r="F93" s="5" t="s">
        <v>102</v>
      </c>
      <c r="G93" s="5">
        <v>2.1</v>
      </c>
      <c r="H93" s="5">
        <v>1.1000000000000001</v>
      </c>
      <c r="I93" s="13">
        <v>228</v>
      </c>
      <c r="J93" s="5">
        <f t="shared" si="8"/>
        <v>4.723245614035088</v>
      </c>
      <c r="K93" s="5">
        <f t="shared" si="8"/>
        <v>9.446491228070176</v>
      </c>
      <c r="L93" s="5">
        <f t="shared" si="8"/>
        <v>14.169736842105264</v>
      </c>
      <c r="M93" s="5">
        <f t="shared" si="8"/>
        <v>23.616228070175442</v>
      </c>
      <c r="N93" s="5">
        <f t="shared" si="8"/>
        <v>47.232456140350884</v>
      </c>
      <c r="O93" s="5">
        <f t="shared" si="8"/>
        <v>70.848684210526329</v>
      </c>
      <c r="P93" s="5">
        <f t="shared" si="8"/>
        <v>70.848684210526329</v>
      </c>
      <c r="Q93" s="5">
        <f t="shared" si="8"/>
        <v>94.464912280701768</v>
      </c>
      <c r="R93" s="5">
        <f t="shared" si="8"/>
        <v>118.08114035087719</v>
      </c>
      <c r="S93" s="5">
        <f t="shared" si="8"/>
        <v>141.69736842105266</v>
      </c>
      <c r="T93" s="5">
        <f t="shared" si="8"/>
        <v>188.92982456140354</v>
      </c>
      <c r="U93" s="5">
        <f t="shared" si="8"/>
        <v>226.71578947368423</v>
      </c>
      <c r="V93" s="5">
        <f t="shared" si="8"/>
        <v>14.169736842105264</v>
      </c>
      <c r="W93" s="5">
        <f t="shared" si="8"/>
        <v>23.616228070175442</v>
      </c>
      <c r="X93" s="5">
        <f t="shared" si="8"/>
        <v>47.232456140350884</v>
      </c>
      <c r="Y93" s="5">
        <f t="shared" si="8"/>
        <v>70.848684210526329</v>
      </c>
      <c r="Z93" s="5">
        <f t="shared" si="7"/>
        <v>70.848684210526329</v>
      </c>
      <c r="AA93" s="5">
        <f t="shared" si="7"/>
        <v>94.464912280701768</v>
      </c>
    </row>
    <row r="94" spans="1:27" x14ac:dyDescent="0.25">
      <c r="A94" s="17">
        <v>92</v>
      </c>
      <c r="B94" s="7">
        <v>6306</v>
      </c>
      <c r="C94" s="7" t="s">
        <v>65</v>
      </c>
      <c r="D94" s="7">
        <v>135</v>
      </c>
      <c r="E94" s="8" t="s">
        <v>107</v>
      </c>
      <c r="F94" s="5" t="s">
        <v>96</v>
      </c>
      <c r="G94" s="5">
        <v>2.1</v>
      </c>
      <c r="H94" s="5">
        <v>1</v>
      </c>
      <c r="I94" s="9">
        <v>243</v>
      </c>
      <c r="J94" s="5">
        <f t="shared" si="8"/>
        <v>4.0288065843621403</v>
      </c>
      <c r="K94" s="5">
        <f t="shared" si="8"/>
        <v>8.0576131687242807</v>
      </c>
      <c r="L94" s="5">
        <f t="shared" si="8"/>
        <v>12.086419753086421</v>
      </c>
      <c r="M94" s="5">
        <f t="shared" si="8"/>
        <v>20.144032921810702</v>
      </c>
      <c r="N94" s="5">
        <f t="shared" si="8"/>
        <v>40.288065843621403</v>
      </c>
      <c r="O94" s="5">
        <f t="shared" si="8"/>
        <v>60.432098765432102</v>
      </c>
      <c r="P94" s="5">
        <f t="shared" si="8"/>
        <v>60.432098765432102</v>
      </c>
      <c r="Q94" s="5">
        <f t="shared" si="8"/>
        <v>80.576131687242807</v>
      </c>
      <c r="R94" s="5">
        <f t="shared" si="8"/>
        <v>100.7201646090535</v>
      </c>
      <c r="S94" s="5">
        <f t="shared" si="8"/>
        <v>120.8641975308642</v>
      </c>
      <c r="T94" s="5">
        <f t="shared" si="8"/>
        <v>161.15226337448561</v>
      </c>
      <c r="U94" s="5">
        <f t="shared" si="8"/>
        <v>193.38271604938274</v>
      </c>
      <c r="V94" s="5">
        <f t="shared" si="8"/>
        <v>12.086419753086421</v>
      </c>
      <c r="W94" s="5">
        <f t="shared" si="8"/>
        <v>20.144032921810702</v>
      </c>
      <c r="X94" s="5">
        <f t="shared" si="8"/>
        <v>40.288065843621403</v>
      </c>
      <c r="Y94" s="5">
        <f t="shared" si="8"/>
        <v>60.432098765432102</v>
      </c>
      <c r="Z94" s="5">
        <f t="shared" si="7"/>
        <v>60.432098765432102</v>
      </c>
      <c r="AA94" s="5">
        <f t="shared" si="7"/>
        <v>80.576131687242807</v>
      </c>
    </row>
  </sheetData>
  <autoFilter ref="A2:AA94"/>
  <mergeCells count="9">
    <mergeCell ref="V1:W1"/>
    <mergeCell ref="X1:Y1"/>
    <mergeCell ref="Z1:AA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scale="8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dry weight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2026-08-20T05:37:39Z</dcterms:modified>
</cp:coreProperties>
</file>